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Instructions" sheetId="1" state="visible" r:id="rId1"/>
    <sheet name="1. Plot &amp; Site Log" sheetId="2" state="visible" r:id="rId2"/>
    <sheet name="2. Core Log" sheetId="3" state="visible" r:id="rId3"/>
    <sheet name="3. Peat Data" sheetId="4" state="visible" r:id="rId4"/>
    <sheet name="4. Chronology" sheetId="5" state="visible" r:id="rId5"/>
    <sheet name="5. Plot Summary" sheetId="6" state="visible" r:id="rId6"/>
    <sheet name="6. Site Summary" sheetId="7" state="visible" r:id="rId7"/>
    <sheet name="7. Settings" sheetId="8" state="visible" r:id="rId8"/>
    <sheet name="R1. Reference" sheetId="9" state="visible" r:id="rId9"/>
  </sheets>
  <definedNames>
    <definedName name="CARBON_FRACTION_OM">'7. Settings'!$B$5</definedName>
    <definedName name="OM_FACTOR_IS_LOCAL">'7. Settings'!$B$6</definedName>
    <definedName name="CO2E_FACTOR">'7. Settings'!$B$7</definedName>
    <definedName name="REFERENCE_DEPTH_CM">'7. Settings'!$B$8</definedName>
    <definedName name="PEATLAND_MIN_DEPTH_CM">'7. Settings'!$B$9</definedName>
    <definedName name="PLOT_AREA_M2">'7. Settings'!$B$10</definedName>
    <definedName name="TARGET_MARGIN">'7. Settings'!$B$11</definedName>
    <definedName name="TARGET_CONFIDENCE">'7. Settings'!$B$12</definedName>
    <definedName name="QC_BD_MIN">'7. Settings'!$B$13</definedName>
    <definedName name="QC_BD_MAX">'7. Settings'!$B$14</definedName>
    <definedName name="QC_CARBON_PCT_MAX">'7. Settings'!$B$15</definedName>
    <definedName name="QC_RECOVERY_MIN">'7. Settings'!$B$16</definedName>
    <definedName name="LORCA_MIN">'7. Settings'!$B$17</definedName>
    <definedName name="LORCA_MAX">'7. Settings'!$B$18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B4332"/>
      <sz val="10"/>
    </font>
    <font>
      <sz val="10"/>
    </font>
    <font>
      <b val="1"/>
      <color rgb="001B4332"/>
      <sz val="16"/>
    </font>
    <font>
      <b val="1"/>
      <color rgb="001B4332"/>
      <sz val="14"/>
    </font>
    <font>
      <i val="1"/>
      <color rgb="00666666"/>
      <sz val="9"/>
    </font>
    <font>
      <b val="1"/>
      <color rgb="00FFFFFF"/>
      <sz val="10"/>
    </font>
    <font>
      <name val="Consolas"/>
      <b val="1"/>
      <sz val="10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1B433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7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2" fillId="2" borderId="1" pivotButton="0" quotePrefix="0" xfId="0"/>
    <xf numFmtId="0" fontId="5" fillId="0" borderId="0" applyAlignment="1" pivotButton="0" quotePrefix="0" xfId="0">
      <alignment vertical="top" wrapText="1"/>
    </xf>
    <xf numFmtId="0" fontId="6" fillId="7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4" borderId="1" pivotButton="0" quotePrefix="0" xfId="0"/>
    <xf numFmtId="0" fontId="2" fillId="3" borderId="1" pivotButton="0" quotePrefix="0" xfId="0"/>
    <xf numFmtId="0" fontId="1" fillId="5" borderId="0" applyAlignment="1" pivotButton="0" quotePrefix="0" xfId="0">
      <alignment vertical="center"/>
    </xf>
    <xf numFmtId="0" fontId="2" fillId="5" borderId="1" pivotButton="0" quotePrefix="0" xfId="0"/>
    <xf numFmtId="0" fontId="8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7" customWidth="1" min="1" max="1"/>
    <col width="104" customWidth="1" min="2" max="2"/>
  </cols>
  <sheetData>
    <row r="1">
      <c r="A1" s="1" t="inlineStr">
        <is>
          <t>WETLAND CARBON CALCULATOR</t>
        </is>
      </c>
      <c r="B1" s="2" t="inlineStr"/>
    </row>
    <row r="2">
      <c r="A2" s="3" t="inlineStr"/>
      <c r="B2" s="2" t="inlineStr">
        <is>
          <t>WWF-Canada Carbon Measurement · Wetland Carbon Workshop</t>
        </is>
      </c>
    </row>
    <row r="3">
      <c r="A3" s="3" t="inlineStr"/>
      <c r="B3" s="2" t="inlineStr"/>
    </row>
    <row r="4">
      <c r="A4" s="4" t="inlineStr">
        <is>
          <t>What this workbook does</t>
        </is>
      </c>
      <c r="B4" s="2" t="inlineStr">
        <is>
          <t>Turns peat core measurements into a carbon stock in kg C/m², scales cores to plots, sites and your whole study area, and — if you have dated the core — converts the same carbon into accumulation rates. It follows 'Measuring Carbon in Peat Soils' (WWF-Canada, 2024), with the additions noted at the bottom of this sheet.</t>
        </is>
      </c>
    </row>
    <row r="5">
      <c r="A5" s="3" t="inlineStr"/>
      <c r="B5" s="2" t="inlineStr"/>
    </row>
    <row r="6">
      <c r="A6" s="4" t="inlineStr">
        <is>
          <t>COLOUR KEY</t>
        </is>
      </c>
      <c r="B6" s="2" t="inlineStr"/>
    </row>
    <row r="7">
      <c r="A7" s="5" t="inlineStr">
        <is>
          <t>Yellow</t>
        </is>
      </c>
      <c r="B7" s="2" t="inlineStr">
        <is>
          <t>TYPE HERE — field measurements you record.</t>
        </is>
      </c>
    </row>
    <row r="8">
      <c r="A8" s="6" t="inlineStr">
        <is>
          <t>Blue</t>
        </is>
      </c>
      <c r="B8" s="2" t="inlineStr">
        <is>
          <t>TYPE HERE — lab results, once they come back.</t>
        </is>
      </c>
    </row>
    <row r="9">
      <c r="A9" s="7" t="inlineStr">
        <is>
          <t>Grey</t>
        </is>
      </c>
      <c r="B9" s="2" t="inlineStr">
        <is>
          <t>Calculated for you. Do not type in grey cells.</t>
        </is>
      </c>
    </row>
    <row r="10">
      <c r="A10" s="8" t="inlineStr">
        <is>
          <t>Green</t>
        </is>
      </c>
      <c r="B10" s="2" t="inlineStr">
        <is>
          <t>Summary output.</t>
        </is>
      </c>
    </row>
    <row r="11">
      <c r="A11" s="9" t="inlineStr">
        <is>
          <t>Red</t>
        </is>
      </c>
      <c r="B11" s="2" t="inlineStr">
        <is>
          <t>A quality-control flag. Read it before trusting the row.</t>
        </is>
      </c>
    </row>
    <row r="12">
      <c r="A12" s="3" t="inlineStr"/>
      <c r="B12" s="2" t="inlineStr"/>
    </row>
    <row r="13">
      <c r="A13" s="4" t="inlineStr">
        <is>
          <t>ORDER OF WORK</t>
        </is>
      </c>
      <c r="B13" s="2" t="inlineStr"/>
    </row>
    <row r="14">
      <c r="A14" s="3" t="inlineStr">
        <is>
          <t>1</t>
        </is>
      </c>
      <c r="B14" s="2" t="inlineStr">
        <is>
          <t>Fill '1. Plot &amp; Site Log' FIRST — one row per plot. Everything joins to it on Plot ID.</t>
        </is>
      </c>
    </row>
    <row r="15">
      <c r="A15" s="3" t="inlineStr">
        <is>
          <t>2</t>
        </is>
      </c>
      <c r="B15" s="2" t="inlineStr">
        <is>
          <t>Fill '2. Core Log' — one row per core. Everything in the peat sheet joins to it on Core ID.</t>
        </is>
      </c>
    </row>
    <row r="16">
      <c r="A16" s="3" t="inlineStr">
        <is>
          <t>3</t>
        </is>
      </c>
      <c r="B16" s="2" t="inlineStr">
        <is>
          <t>Fill '3. Peat Data' — one row per section, as the core is sectioned.</t>
        </is>
      </c>
    </row>
    <row r="17">
      <c r="A17" s="3" t="inlineStr">
        <is>
          <t>4</t>
        </is>
      </c>
      <c r="B17" s="2" t="inlineStr">
        <is>
          <t>Add lab results (blue columns) to '3. Peat Data' when they return.</t>
        </is>
      </c>
    </row>
    <row r="18">
      <c r="A18" s="3" t="inlineStr">
        <is>
          <t>5</t>
        </is>
      </c>
      <c r="B18" s="2" t="inlineStr">
        <is>
          <t>OPTIONAL: if the core has been dated, fill '4. Chronology' to get accumulation rates.</t>
        </is>
      </c>
    </row>
    <row r="19">
      <c r="A19" s="3" t="inlineStr">
        <is>
          <t>6</t>
        </is>
      </c>
      <c r="B19" s="2" t="inlineStr">
        <is>
          <t>Read '5. Plot Summary' and '6. Site Summary'. Both calculate themselves.</t>
        </is>
      </c>
    </row>
    <row r="20">
      <c r="A20" s="3" t="inlineStr"/>
      <c r="B20" s="2" t="inlineStr"/>
    </row>
    <row r="21">
      <c r="A21" s="9" t="inlineStr">
        <is>
          <t>⚠ IDs MUST MATCH</t>
        </is>
      </c>
      <c r="B21" s="2" t="inlineStr">
        <is>
          <t>Plot ID joins the Core Log to the Plot &amp; Site Log; Core ID joins the Peat Data and the Chronology to the Core Log. A mismatch means that row's carbon never reaches the summary. Every sheet has a QC flags column that tells you when this happens.</t>
        </is>
      </c>
    </row>
    <row r="22">
      <c r="A22" s="3" t="inlineStr"/>
      <c r="B22" s="2" t="inlineStr"/>
    </row>
    <row r="23">
      <c r="A23" s="4" t="inlineStr">
        <is>
          <t>UNITS</t>
        </is>
      </c>
      <c r="B23" s="2" t="inlineStr"/>
    </row>
    <row r="24">
      <c r="A24" s="4" t="inlineStr">
        <is>
          <t>Depths</t>
        </is>
      </c>
      <c r="B24" s="2" t="inlineStr">
        <is>
          <t>centimetres (cm), measured down from the peat surface</t>
        </is>
      </c>
    </row>
    <row r="25">
      <c r="A25" s="4" t="inlineStr">
        <is>
          <t>Bulk density</t>
        </is>
      </c>
      <c r="B25" s="2" t="inlineStr">
        <is>
          <t>g/cm³ — oven-dry mass ÷ sample volume (see the basis note on '3. Peat Data')</t>
        </is>
      </c>
    </row>
    <row r="26">
      <c r="A26" s="4" t="inlineStr">
        <is>
          <t>Carbon content</t>
        </is>
      </c>
      <c r="B26" s="2" t="inlineStr">
        <is>
          <t>per cent of dry mass (%)</t>
        </is>
      </c>
    </row>
    <row r="27">
      <c r="A27" s="4" t="inlineStr">
        <is>
          <t>Carbon stock</t>
        </is>
      </c>
      <c r="B27" s="2" t="inlineStr">
        <is>
          <t>kg C/m² at core, plot and site level; kg C for totals</t>
        </is>
      </c>
    </row>
    <row r="28">
      <c r="A28" s="4" t="inlineStr">
        <is>
          <t>Accumulation rate</t>
        </is>
      </c>
      <c r="B28" s="2" t="inlineStr">
        <is>
          <t>g C/m²/yr — note the unit change: 1 kg C/m² per 1,000 yr = 1 g C/m²/yr</t>
        </is>
      </c>
    </row>
    <row r="29">
      <c r="A29" s="4" t="inlineStr">
        <is>
          <t>Age</t>
        </is>
      </c>
      <c r="B29" s="2" t="inlineStr">
        <is>
          <t>years before the year the core was taken</t>
        </is>
      </c>
    </row>
    <row r="30">
      <c r="A30" s="3" t="inlineStr"/>
      <c r="B30" s="2" t="inlineStr"/>
    </row>
    <row r="31">
      <c r="A31" s="4" t="inlineStr">
        <is>
          <t>TWO STOCK NUMBERS, AND WHY</t>
        </is>
      </c>
      <c r="B31" s="2" t="inlineStr"/>
    </row>
    <row r="32">
      <c r="A32" s="4" t="inlineStr">
        <is>
          <t>Full profile</t>
        </is>
      </c>
      <c r="B32" s="2" t="inlineStr">
        <is>
          <t>Stock over the whole peat profile, to the mineral contact. THIS IS THE HEADLINE NUMBER — it is what the peatland actually holds, and what the peatland literature reports.</t>
        </is>
      </c>
    </row>
    <row r="33">
      <c r="A33" s="4" t="inlineStr">
        <is>
          <t>To reference depth</t>
        </is>
      </c>
      <c r="B33" s="2" t="inlineStr">
        <is>
          <t>Stock integrated to a fixed depth (100 cm by default, set on '7. Settings'). Reported alongside so your numbers stay comparable with projects that sampled to a standard depth. Cores that stop short of it are flagged.</t>
        </is>
      </c>
    </row>
    <row r="34">
      <c r="A34" s="4" t="inlineStr">
        <is>
          <t>Why both</t>
        </is>
      </c>
      <c r="B34" s="2" t="inlineStr">
        <is>
          <t>Bansal et al. (2023) found 65% of wetland organic carbon sat between 30 and 120 cm. Report only a shallow fixed depth and you miss most of the store; report only full profiles and cores of different depths cannot be compared. So the workbook gives you both.</t>
        </is>
      </c>
    </row>
    <row r="35">
      <c r="A35" s="3" t="inlineStr"/>
      <c r="B35" s="2" t="inlineStr"/>
    </row>
    <row r="36">
      <c r="A36" s="4" t="inlineStr">
        <is>
          <t>WHAT'S BEYOND THE PRINTED GUIDE</t>
        </is>
      </c>
      <c r="B36" s="2" t="inlineStr"/>
    </row>
    <row r="37">
      <c r="A37" s="4" t="inlineStr">
        <is>
          <t>Uncertainty</t>
        </is>
      </c>
      <c r="B37" s="2" t="inlineStr">
        <is>
          <t>Site means carry a standard deviation, standard error and confidence interval, checked against the precision target you set in Part 2. The guide's Eq 1–8 give point estimates only.</t>
        </is>
      </c>
    </row>
    <row r="38">
      <c r="A38" s="4" t="inlineStr">
        <is>
          <t>Eq 5 correction</t>
        </is>
      </c>
      <c r="B38" s="2" t="inlineStr">
        <is>
          <t>The guide's printed Eq 5 has its right-hand side in g/cm² and its left-hand side in kg/m². This workbook uses the correct form — summing the kg/m² core values — which is also what the guide's own example spreadsheet does.</t>
        </is>
      </c>
    </row>
    <row r="39">
      <c r="A39" s="4" t="inlineStr">
        <is>
          <t>Carbon fraction</t>
        </is>
      </c>
      <c r="B39" s="2" t="inlineStr">
        <is>
          <t>Settable on '7. Settings', defaulting to the guide's 0.5. See 'R1. Reference' for why that is a convention rather than a constant.</t>
        </is>
      </c>
    </row>
    <row r="40">
      <c r="A40" s="4" t="inlineStr">
        <is>
          <t>Accumulation rates</t>
        </is>
      </c>
      <c r="B40" s="2" t="inlineStr">
        <is>
          <t>The guide raises them in its introduction and its glossary but gives no method. '4. Chronology' supplies one — see Part 5 of the workshop.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1" customWidth="1" min="4" max="4"/>
    <col width="20" customWidth="1" min="5" max="5"/>
    <col width="11" customWidth="1" min="6" max="6"/>
    <col width="11" customWidth="1" min="7" max="7"/>
    <col width="12" customWidth="1" min="8" max="8"/>
    <col width="10" customWidth="1" min="9" max="9"/>
    <col width="11" customWidth="1" min="10" max="10"/>
    <col width="13" customWidth="1" min="11" max="11"/>
    <col width="13" customWidth="1" min="12" max="12"/>
    <col width="16" customWidth="1" min="13" max="13"/>
    <col width="13" customWidth="1" min="14" max="14"/>
    <col width="12" customWidth="1" min="15" max="15"/>
    <col width="32" customWidth="1" min="16" max="16"/>
  </cols>
  <sheetData>
    <row r="1">
      <c r="A1" s="10" t="inlineStr">
        <is>
          <t>PLOT &amp; SITE LOG</t>
        </is>
      </c>
    </row>
    <row r="2" ht="34" customHeight="1">
      <c r="A2" s="15" t="inlineStr">
        <is>
          <t>ONE ROW PER PLOT. Fill this in first — everything joins to it on Plot ID. Water table depth is measured DOWN from the peat surface, so a positive number means the water table sits below the surface and a negative number means standing water above it. Microform matters: hollows accumulate more organic matter than hummocks, so recording it lets you stratify later.</t>
        </is>
      </c>
    </row>
    <row r="4" ht="42" customHeight="1">
      <c r="A4" s="16" t="inlineStr">
        <is>
          <t>Plot ID</t>
        </is>
      </c>
      <c r="B4" s="16" t="inlineStr">
        <is>
          <t>Site ID</t>
        </is>
      </c>
      <c r="C4" s="16" t="inlineStr">
        <is>
          <t>Study area</t>
        </is>
      </c>
      <c r="D4" s="16" t="inlineStr">
        <is>
          <t>Date</t>
        </is>
      </c>
      <c r="E4" s="16" t="inlineStr">
        <is>
          <t>Location</t>
        </is>
      </c>
      <c r="F4" s="16" t="inlineStr">
        <is>
          <t>Latitude</t>
        </is>
      </c>
      <c r="G4" s="16" t="inlineStr">
        <is>
          <t>Longitude</t>
        </is>
      </c>
      <c r="H4" s="16" t="inlineStr">
        <is>
          <t>GNSS accuracy (m)</t>
        </is>
      </c>
      <c r="I4" s="16" t="inlineStr">
        <is>
          <t>Datum</t>
        </is>
      </c>
      <c r="J4" s="16" t="inlineStr">
        <is>
          <t>Elevation (m)</t>
        </is>
      </c>
      <c r="K4" s="16" t="inlineStr">
        <is>
          <t>Wetland type</t>
        </is>
      </c>
      <c r="L4" s="16" t="inlineStr">
        <is>
          <t>Microform</t>
        </is>
      </c>
      <c r="M4" s="16" t="inlineStr">
        <is>
          <t>Vegetation zone</t>
        </is>
      </c>
      <c r="N4" s="16" t="inlineStr">
        <is>
          <t>Water table depth (cm)</t>
        </is>
      </c>
      <c r="O4" s="16" t="inlineStr">
        <is>
          <t>Plot area (m²)</t>
        </is>
      </c>
      <c r="P4" s="16" t="inlineStr">
        <is>
          <t>Notes</t>
        </is>
      </c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</row>
  </sheetData>
  <mergeCells count="1">
    <mergeCell ref="A2:P2"/>
  </mergeCells>
  <dataValidations count="3">
    <dataValidation sqref="K5:K64" showDropDown="0" showInputMessage="0" showErrorMessage="0" allowBlank="1" type="list">
      <formula1>='R1. Reference'!$A$21:$A$25</formula1>
    </dataValidation>
    <dataValidation sqref="L5:L64" showDropDown="0" showInputMessage="0" showErrorMessage="0" allowBlank="1" type="list">
      <formula1>"Hummock,Hollow,Lawn,Carpet,Not recorded"</formula1>
    </dataValidation>
    <dataValidation sqref="O5:O64" showDropDown="0" showInputMessage="0" showErrorMessage="0" allowBlank="1" type="list">
      <formula1>"1,4,16,25,100,400"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4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1" customWidth="1" min="4" max="4"/>
    <col width="11" customWidth="1" min="5" max="5"/>
    <col width="10" customWidth="1" min="6" max="6"/>
    <col width="12" customWidth="1" min="7" max="7"/>
    <col width="14" customWidth="1" min="8" max="8"/>
    <col width="13" customWidth="1" min="9" max="9"/>
    <col width="11" customWidth="1" min="10" max="10"/>
    <col width="14" customWidth="1" min="11" max="11"/>
    <col width="14" customWidth="1" min="12" max="12"/>
    <col width="12" customWidth="1" min="13" max="13"/>
    <col width="13" customWidth="1" min="14" max="14"/>
    <col width="13" customWidth="1" min="15" max="15"/>
    <col width="11" customWidth="1" min="16" max="16"/>
    <col width="14" customWidth="1" min="17" max="17"/>
    <col width="16" customWidth="1" min="18" max="18"/>
    <col width="16" customWidth="1" min="19" max="19"/>
    <col width="14" customWidth="1" min="20" max="20"/>
    <col width="46" customWidth="1" min="21" max="21"/>
    <col width="26" customWidth="1" min="22" max="22"/>
  </cols>
  <sheetData>
    <row r="1">
      <c r="A1" s="10" t="inlineStr">
        <is>
          <t>CORE LOG</t>
        </is>
      </c>
    </row>
    <row r="2" ht="34" customHeight="1">
      <c r="A2" s="15" t="inlineStr">
        <is>
          <t>ONE ROW PER CORE. A Russian (Macaulay) corer takes 50 cm at a time, so a 2 m core is four drives — log the core once here and its sections on the next sheet. BORE DEPTH is how deep the corer went; CORE LENGTH RECOVERED is what came back. For a side-filling corer these should be nearly equal: a shortfall means the chamber did not fill, NOT that the peat compressed.</t>
        </is>
      </c>
    </row>
    <row r="4" ht="42" customHeight="1">
      <c r="A4" s="16" t="inlineStr">
        <is>
          <t>Core ID</t>
        </is>
      </c>
      <c r="B4" s="16" t="inlineStr">
        <is>
          <t>Plot ID</t>
        </is>
      </c>
      <c r="C4" s="16" t="inlineStr">
        <is>
          <t>Latitude</t>
        </is>
      </c>
      <c r="D4" s="16" t="inlineStr">
        <is>
          <t>Longitude</t>
        </is>
      </c>
      <c r="E4" s="16" t="inlineStr">
        <is>
          <t>Coring date</t>
        </is>
      </c>
      <c r="F4" s="16" t="inlineStr">
        <is>
          <t>Drives taken</t>
        </is>
      </c>
      <c r="G4" s="16" t="inlineStr">
        <is>
          <t>Bore depth (cm)</t>
        </is>
      </c>
      <c r="H4" s="16" t="inlineStr">
        <is>
          <t>Core length recovered (cm)</t>
        </is>
      </c>
      <c r="I4" s="16" t="inlineStr">
        <is>
          <t>Surface compaction (cm)</t>
        </is>
      </c>
      <c r="J4" s="16" t="inlineStr">
        <is>
          <t>Recovery ratio</t>
        </is>
      </c>
      <c r="K4" s="16" t="inlineStr">
        <is>
          <t>Depth to mineral contact (cm)</t>
        </is>
      </c>
      <c r="L4" s="16" t="inlineStr">
        <is>
          <t>Reached mineral contact?</t>
        </is>
      </c>
      <c r="M4" s="16" t="inlineStr">
        <is>
          <t>von Post at base</t>
        </is>
      </c>
      <c r="N4" s="16" t="inlineStr">
        <is>
          <t>Chamber length (cm)</t>
        </is>
      </c>
      <c r="O4" s="16" t="inlineStr">
        <is>
          <t>Chamber diameter (cm)</t>
        </is>
      </c>
      <c r="P4" s="16" t="inlineStr">
        <is>
          <t>Photo series?</t>
        </is>
      </c>
      <c r="Q4" s="16" t="inlineStr">
        <is>
          <t>Deepest section logged (cm)</t>
        </is>
      </c>
      <c r="R4" s="16" t="inlineStr">
        <is>
          <t>Stock, full profile (kg C/m²)</t>
        </is>
      </c>
      <c r="S4" s="16" t="inlineStr">
        <is>
          <t>Stock to reference depth (kg C/m²)</t>
        </is>
      </c>
      <c r="T4" s="16" t="inlineStr">
        <is>
          <t>Reaches reference depth?</t>
        </is>
      </c>
      <c r="U4" s="16" t="inlineStr">
        <is>
          <t>QC flags</t>
        </is>
      </c>
      <c r="V4" s="16" t="inlineStr">
        <is>
          <t>Notes</t>
        </is>
      </c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8">
        <f>IF(OR($G5="",$H5="",$G5=0),"",$H5/$G5)</f>
        <v/>
      </c>
      <c r="K5" s="14" t="n"/>
      <c r="L5" s="14" t="n"/>
      <c r="M5" s="14" t="n"/>
      <c r="N5" s="14" t="n"/>
      <c r="O5" s="14" t="n"/>
      <c r="P5" s="14" t="n"/>
      <c r="Q5" s="18">
        <f>IF($A5="","",IF(SUMPRODUCT(MAX(('3. Peat Data'!$B$5:$B$604=$A5)*'3. Peat Data'!$F$5:$F$604))=0,"",SUMPRODUCT(MAX(('3. Peat Data'!$B$5:$B$604=$A5)*'3. Peat Data'!$F$5:$F$604))))</f>
        <v/>
      </c>
      <c r="R5" s="18">
        <f>IF($A5="","",IFERROR(SUMIFS('3. Peat Data'!$P$5:$P$604,'3. Peat Data'!$B$5:$B$604,$A5),""))</f>
        <v/>
      </c>
      <c r="S5" s="18">
        <f>IF($A5="","",IFERROR(SUMIFS('3. Peat Data'!$Q$5:$Q$604,'3. Peat Data'!$B$5:$B$604,$A5),""))</f>
        <v/>
      </c>
      <c r="T5" s="18">
        <f>IF(NOT(ISNUMBER($Q5)),"",IF($Q5&gt;=REFERENCE_DEPTH_CM,"Yes","No"))</f>
        <v/>
      </c>
      <c r="U5" s="18">
        <f>IF($A5="","",IF(AND($B5&lt;&gt;"",COUNTIF('1. Plot &amp; Site Log'!$A$5:$A$64,$B5)=0),"Plot ID not in Plot &amp; Site Log. ","")&amp;IF(NOT(ISNUMBER($Q5)),"No peat sections logged for this core. ","")&amp;IF($T5="No","Core stops short of the reference depth, so its reference-depth stock is an underestimate. Its full-profile stock is still valid. ","")&amp;IF($L5="No","Core did not reach the mineral contact — the full-profile stock is a MINIMUM, not the whole store. ","")&amp;IF(AND(ISNUMBER($K5),$K5&lt;PEATLAND_MIN_DEPTH_CM),"Organic depth under "&amp;PEATLAND_MIN_DEPTH_CM&amp;" cm: by the guide's definition this is not peatland. Report it, but say so. ","")&amp;IF(AND(ISNUMBER($J5),$J5&lt;QC_RECOVERY_MIN),"Recovered only "&amp;TEXT($J5,"0%")&amp;" of the bore depth — the chamber probably did not fill completely. Material is missing, which is not the same as compaction. ","")&amp;IF(AND(ISNUMBER($J5),$J5&gt;1.05),"Recovered more than the bore depth — check the two measurements. ","")&amp;IF(AND(ISNUMBER($I5),$I5&gt;2),"Surface compaction of "&amp;$I5&amp;" cm: depths in this core sit shallower than in the ground, so depth-limited stock is biased. Full-profile stock is unaffected. ",""))</f>
        <v/>
      </c>
      <c r="V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8">
        <f>IF(OR($G6="",$H6="",$G6=0),"",$H6/$G6)</f>
        <v/>
      </c>
      <c r="K6" s="14" t="n"/>
      <c r="L6" s="14" t="n"/>
      <c r="M6" s="14" t="n"/>
      <c r="N6" s="14" t="n"/>
      <c r="O6" s="14" t="n"/>
      <c r="P6" s="14" t="n"/>
      <c r="Q6" s="18">
        <f>IF($A6="","",IF(SUMPRODUCT(MAX(('3. Peat Data'!$B$5:$B$604=$A6)*'3. Peat Data'!$F$5:$F$604))=0,"",SUMPRODUCT(MAX(('3. Peat Data'!$B$5:$B$604=$A6)*'3. Peat Data'!$F$5:$F$604))))</f>
        <v/>
      </c>
      <c r="R6" s="18">
        <f>IF($A6="","",IFERROR(SUMIFS('3. Peat Data'!$P$5:$P$604,'3. Peat Data'!$B$5:$B$604,$A6),""))</f>
        <v/>
      </c>
      <c r="S6" s="18">
        <f>IF($A6="","",IFERROR(SUMIFS('3. Peat Data'!$Q$5:$Q$604,'3. Peat Data'!$B$5:$B$604,$A6),""))</f>
        <v/>
      </c>
      <c r="T6" s="18">
        <f>IF(NOT(ISNUMBER($Q6)),"",IF($Q6&gt;=REFERENCE_DEPTH_CM,"Yes","No"))</f>
        <v/>
      </c>
      <c r="U6" s="18">
        <f>IF($A6="","",IF(AND($B6&lt;&gt;"",COUNTIF('1. Plot &amp; Site Log'!$A$5:$A$64,$B6)=0),"Plot ID not in Plot &amp; Site Log. ","")&amp;IF(NOT(ISNUMBER($Q6)),"No peat sections logged for this core. ","")&amp;IF($T6="No","Core stops short of the reference depth, so its reference-depth stock is an underestimate. Its full-profile stock is still valid. ","")&amp;IF($L6="No","Core did not reach the mineral contact — the full-profile stock is a MINIMUM, not the whole store. ","")&amp;IF(AND(ISNUMBER($K6),$K6&lt;PEATLAND_MIN_DEPTH_CM),"Organic depth under "&amp;PEATLAND_MIN_DEPTH_CM&amp;" cm: by the guide's definition this is not peatland. Report it, but say so. ","")&amp;IF(AND(ISNUMBER($J6),$J6&lt;QC_RECOVERY_MIN),"Recovered only "&amp;TEXT($J6,"0%")&amp;" of the bore depth — the chamber probably did not fill completely. Material is missing, which is not the same as compaction. ","")&amp;IF(AND(ISNUMBER($J6),$J6&gt;1.05),"Recovered more than the bore depth — check the two measurements. ","")&amp;IF(AND(ISNUMBER($I6),$I6&gt;2),"Surface compaction of "&amp;$I6&amp;" cm: depths in this core sit shallower than in the ground, so depth-limited stock is biased. Full-profile stock is unaffected. ",""))</f>
        <v/>
      </c>
      <c r="V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8">
        <f>IF(OR($G7="",$H7="",$G7=0),"",$H7/$G7)</f>
        <v/>
      </c>
      <c r="K7" s="14" t="n"/>
      <c r="L7" s="14" t="n"/>
      <c r="M7" s="14" t="n"/>
      <c r="N7" s="14" t="n"/>
      <c r="O7" s="14" t="n"/>
      <c r="P7" s="14" t="n"/>
      <c r="Q7" s="18">
        <f>IF($A7="","",IF(SUMPRODUCT(MAX(('3. Peat Data'!$B$5:$B$604=$A7)*'3. Peat Data'!$F$5:$F$604))=0,"",SUMPRODUCT(MAX(('3. Peat Data'!$B$5:$B$604=$A7)*'3. Peat Data'!$F$5:$F$604))))</f>
        <v/>
      </c>
      <c r="R7" s="18">
        <f>IF($A7="","",IFERROR(SUMIFS('3. Peat Data'!$P$5:$P$604,'3. Peat Data'!$B$5:$B$604,$A7),""))</f>
        <v/>
      </c>
      <c r="S7" s="18">
        <f>IF($A7="","",IFERROR(SUMIFS('3. Peat Data'!$Q$5:$Q$604,'3. Peat Data'!$B$5:$B$604,$A7),""))</f>
        <v/>
      </c>
      <c r="T7" s="18">
        <f>IF(NOT(ISNUMBER($Q7)),"",IF($Q7&gt;=REFERENCE_DEPTH_CM,"Yes","No"))</f>
        <v/>
      </c>
      <c r="U7" s="18">
        <f>IF($A7="","",IF(AND($B7&lt;&gt;"",COUNTIF('1. Plot &amp; Site Log'!$A$5:$A$64,$B7)=0),"Plot ID not in Plot &amp; Site Log. ","")&amp;IF(NOT(ISNUMBER($Q7)),"No peat sections logged for this core. ","")&amp;IF($T7="No","Core stops short of the reference depth, so its reference-depth stock is an underestimate. Its full-profile stock is still valid. ","")&amp;IF($L7="No","Core did not reach the mineral contact — the full-profile stock is a MINIMUM, not the whole store. ","")&amp;IF(AND(ISNUMBER($K7),$K7&lt;PEATLAND_MIN_DEPTH_CM),"Organic depth under "&amp;PEATLAND_MIN_DEPTH_CM&amp;" cm: by the guide's definition this is not peatland. Report it, but say so. ","")&amp;IF(AND(ISNUMBER($J7),$J7&lt;QC_RECOVERY_MIN),"Recovered only "&amp;TEXT($J7,"0%")&amp;" of the bore depth — the chamber probably did not fill completely. Material is missing, which is not the same as compaction. ","")&amp;IF(AND(ISNUMBER($J7),$J7&gt;1.05),"Recovered more than the bore depth — check the two measurements. ","")&amp;IF(AND(ISNUMBER($I7),$I7&gt;2),"Surface compaction of "&amp;$I7&amp;" cm: depths in this core sit shallower than in the ground, so depth-limited stock is biased. Full-profile stock is unaffected. ",""))</f>
        <v/>
      </c>
      <c r="V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8">
        <f>IF(OR($G8="",$H8="",$G8=0),"",$H8/$G8)</f>
        <v/>
      </c>
      <c r="K8" s="14" t="n"/>
      <c r="L8" s="14" t="n"/>
      <c r="M8" s="14" t="n"/>
      <c r="N8" s="14" t="n"/>
      <c r="O8" s="14" t="n"/>
      <c r="P8" s="14" t="n"/>
      <c r="Q8" s="18">
        <f>IF($A8="","",IF(SUMPRODUCT(MAX(('3. Peat Data'!$B$5:$B$604=$A8)*'3. Peat Data'!$F$5:$F$604))=0,"",SUMPRODUCT(MAX(('3. Peat Data'!$B$5:$B$604=$A8)*'3. Peat Data'!$F$5:$F$604))))</f>
        <v/>
      </c>
      <c r="R8" s="18">
        <f>IF($A8="","",IFERROR(SUMIFS('3. Peat Data'!$P$5:$P$604,'3. Peat Data'!$B$5:$B$604,$A8),""))</f>
        <v/>
      </c>
      <c r="S8" s="18">
        <f>IF($A8="","",IFERROR(SUMIFS('3. Peat Data'!$Q$5:$Q$604,'3. Peat Data'!$B$5:$B$604,$A8),""))</f>
        <v/>
      </c>
      <c r="T8" s="18">
        <f>IF(NOT(ISNUMBER($Q8)),"",IF($Q8&gt;=REFERENCE_DEPTH_CM,"Yes","No"))</f>
        <v/>
      </c>
      <c r="U8" s="18">
        <f>IF($A8="","",IF(AND($B8&lt;&gt;"",COUNTIF('1. Plot &amp; Site Log'!$A$5:$A$64,$B8)=0),"Plot ID not in Plot &amp; Site Log. ","")&amp;IF(NOT(ISNUMBER($Q8)),"No peat sections logged for this core. ","")&amp;IF($T8="No","Core stops short of the reference depth, so its reference-depth stock is an underestimate. Its full-profile stock is still valid. ","")&amp;IF($L8="No","Core did not reach the mineral contact — the full-profile stock is a MINIMUM, not the whole store. ","")&amp;IF(AND(ISNUMBER($K8),$K8&lt;PEATLAND_MIN_DEPTH_CM),"Organic depth under "&amp;PEATLAND_MIN_DEPTH_CM&amp;" cm: by the guide's definition this is not peatland. Report it, but say so. ","")&amp;IF(AND(ISNUMBER($J8),$J8&lt;QC_RECOVERY_MIN),"Recovered only "&amp;TEXT($J8,"0%")&amp;" of the bore depth — the chamber probably did not fill completely. Material is missing, which is not the same as compaction. ","")&amp;IF(AND(ISNUMBER($J8),$J8&gt;1.05),"Recovered more than the bore depth — check the two measurements. ","")&amp;IF(AND(ISNUMBER($I8),$I8&gt;2),"Surface compaction of "&amp;$I8&amp;" cm: depths in this core sit shallower than in the ground, so depth-limited stock is biased. Full-profile stock is unaffected. ",""))</f>
        <v/>
      </c>
      <c r="V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8">
        <f>IF(OR($G9="",$H9="",$G9=0),"",$H9/$G9)</f>
        <v/>
      </c>
      <c r="K9" s="14" t="n"/>
      <c r="L9" s="14" t="n"/>
      <c r="M9" s="14" t="n"/>
      <c r="N9" s="14" t="n"/>
      <c r="O9" s="14" t="n"/>
      <c r="P9" s="14" t="n"/>
      <c r="Q9" s="18">
        <f>IF($A9="","",IF(SUMPRODUCT(MAX(('3. Peat Data'!$B$5:$B$604=$A9)*'3. Peat Data'!$F$5:$F$604))=0,"",SUMPRODUCT(MAX(('3. Peat Data'!$B$5:$B$604=$A9)*'3. Peat Data'!$F$5:$F$604))))</f>
        <v/>
      </c>
      <c r="R9" s="18">
        <f>IF($A9="","",IFERROR(SUMIFS('3. Peat Data'!$P$5:$P$604,'3. Peat Data'!$B$5:$B$604,$A9),""))</f>
        <v/>
      </c>
      <c r="S9" s="18">
        <f>IF($A9="","",IFERROR(SUMIFS('3. Peat Data'!$Q$5:$Q$604,'3. Peat Data'!$B$5:$B$604,$A9),""))</f>
        <v/>
      </c>
      <c r="T9" s="18">
        <f>IF(NOT(ISNUMBER($Q9)),"",IF($Q9&gt;=REFERENCE_DEPTH_CM,"Yes","No"))</f>
        <v/>
      </c>
      <c r="U9" s="18">
        <f>IF($A9="","",IF(AND($B9&lt;&gt;"",COUNTIF('1. Plot &amp; Site Log'!$A$5:$A$64,$B9)=0),"Plot ID not in Plot &amp; Site Log. ","")&amp;IF(NOT(ISNUMBER($Q9)),"No peat sections logged for this core. ","")&amp;IF($T9="No","Core stops short of the reference depth, so its reference-depth stock is an underestimate. Its full-profile stock is still valid. ","")&amp;IF($L9="No","Core did not reach the mineral contact — the full-profile stock is a MINIMUM, not the whole store. ","")&amp;IF(AND(ISNUMBER($K9),$K9&lt;PEATLAND_MIN_DEPTH_CM),"Organic depth under "&amp;PEATLAND_MIN_DEPTH_CM&amp;" cm: by the guide's definition this is not peatland. Report it, but say so. ","")&amp;IF(AND(ISNUMBER($J9),$J9&lt;QC_RECOVERY_MIN),"Recovered only "&amp;TEXT($J9,"0%")&amp;" of the bore depth — the chamber probably did not fill completely. Material is missing, which is not the same as compaction. ","")&amp;IF(AND(ISNUMBER($J9),$J9&gt;1.05),"Recovered more than the bore depth — check the two measurements. ","")&amp;IF(AND(ISNUMBER($I9),$I9&gt;2),"Surface compaction of "&amp;$I9&amp;" cm: depths in this core sit shallower than in the ground, so depth-limited stock is biased. Full-profile stock is unaffected. ",""))</f>
        <v/>
      </c>
      <c r="V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8">
        <f>IF(OR($G10="",$H10="",$G10=0),"",$H10/$G10)</f>
        <v/>
      </c>
      <c r="K10" s="14" t="n"/>
      <c r="L10" s="14" t="n"/>
      <c r="M10" s="14" t="n"/>
      <c r="N10" s="14" t="n"/>
      <c r="O10" s="14" t="n"/>
      <c r="P10" s="14" t="n"/>
      <c r="Q10" s="18">
        <f>IF($A10="","",IF(SUMPRODUCT(MAX(('3. Peat Data'!$B$5:$B$604=$A10)*'3. Peat Data'!$F$5:$F$604))=0,"",SUMPRODUCT(MAX(('3. Peat Data'!$B$5:$B$604=$A10)*'3. Peat Data'!$F$5:$F$604))))</f>
        <v/>
      </c>
      <c r="R10" s="18">
        <f>IF($A10="","",IFERROR(SUMIFS('3. Peat Data'!$P$5:$P$604,'3. Peat Data'!$B$5:$B$604,$A10),""))</f>
        <v/>
      </c>
      <c r="S10" s="18">
        <f>IF($A10="","",IFERROR(SUMIFS('3. Peat Data'!$Q$5:$Q$604,'3. Peat Data'!$B$5:$B$604,$A10),""))</f>
        <v/>
      </c>
      <c r="T10" s="18">
        <f>IF(NOT(ISNUMBER($Q10)),"",IF($Q10&gt;=REFERENCE_DEPTH_CM,"Yes","No"))</f>
        <v/>
      </c>
      <c r="U10" s="18">
        <f>IF($A10="","",IF(AND($B10&lt;&gt;"",COUNTIF('1. Plot &amp; Site Log'!$A$5:$A$64,$B10)=0),"Plot ID not in Plot &amp; Site Log. ","")&amp;IF(NOT(ISNUMBER($Q10)),"No peat sections logged for this core. ","")&amp;IF($T10="No","Core stops short of the reference depth, so its reference-depth stock is an underestimate. Its full-profile stock is still valid. ","")&amp;IF($L10="No","Core did not reach the mineral contact — the full-profile stock is a MINIMUM, not the whole store. ","")&amp;IF(AND(ISNUMBER($K10),$K10&lt;PEATLAND_MIN_DEPTH_CM),"Organic depth under "&amp;PEATLAND_MIN_DEPTH_CM&amp;" cm: by the guide's definition this is not peatland. Report it, but say so. ","")&amp;IF(AND(ISNUMBER($J10),$J10&lt;QC_RECOVERY_MIN),"Recovered only "&amp;TEXT($J10,"0%")&amp;" of the bore depth — the chamber probably did not fill completely. Material is missing, which is not the same as compaction. ","")&amp;IF(AND(ISNUMBER($J10),$J10&gt;1.05),"Recovered more than the bore depth — check the two measurements. ","")&amp;IF(AND(ISNUMBER($I10),$I10&gt;2),"Surface compaction of "&amp;$I10&amp;" cm: depths in this core sit shallower than in the ground, so depth-limited stock is biased. Full-profile stock is unaffected. ",""))</f>
        <v/>
      </c>
      <c r="V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8">
        <f>IF(OR($G11="",$H11="",$G11=0),"",$H11/$G11)</f>
        <v/>
      </c>
      <c r="K11" s="14" t="n"/>
      <c r="L11" s="14" t="n"/>
      <c r="M11" s="14" t="n"/>
      <c r="N11" s="14" t="n"/>
      <c r="O11" s="14" t="n"/>
      <c r="P11" s="14" t="n"/>
      <c r="Q11" s="18">
        <f>IF($A11="","",IF(SUMPRODUCT(MAX(('3. Peat Data'!$B$5:$B$604=$A11)*'3. Peat Data'!$F$5:$F$604))=0,"",SUMPRODUCT(MAX(('3. Peat Data'!$B$5:$B$604=$A11)*'3. Peat Data'!$F$5:$F$604))))</f>
        <v/>
      </c>
      <c r="R11" s="18">
        <f>IF($A11="","",IFERROR(SUMIFS('3. Peat Data'!$P$5:$P$604,'3. Peat Data'!$B$5:$B$604,$A11),""))</f>
        <v/>
      </c>
      <c r="S11" s="18">
        <f>IF($A11="","",IFERROR(SUMIFS('3. Peat Data'!$Q$5:$Q$604,'3. Peat Data'!$B$5:$B$604,$A11),""))</f>
        <v/>
      </c>
      <c r="T11" s="18">
        <f>IF(NOT(ISNUMBER($Q11)),"",IF($Q11&gt;=REFERENCE_DEPTH_CM,"Yes","No"))</f>
        <v/>
      </c>
      <c r="U11" s="18">
        <f>IF($A11="","",IF(AND($B11&lt;&gt;"",COUNTIF('1. Plot &amp; Site Log'!$A$5:$A$64,$B11)=0),"Plot ID not in Plot &amp; Site Log. ","")&amp;IF(NOT(ISNUMBER($Q11)),"No peat sections logged for this core. ","")&amp;IF($T11="No","Core stops short of the reference depth, so its reference-depth stock is an underestimate. Its full-profile stock is still valid. ","")&amp;IF($L11="No","Core did not reach the mineral contact — the full-profile stock is a MINIMUM, not the whole store. ","")&amp;IF(AND(ISNUMBER($K11),$K11&lt;PEATLAND_MIN_DEPTH_CM),"Organic depth under "&amp;PEATLAND_MIN_DEPTH_CM&amp;" cm: by the guide's definition this is not peatland. Report it, but say so. ","")&amp;IF(AND(ISNUMBER($J11),$J11&lt;QC_RECOVERY_MIN),"Recovered only "&amp;TEXT($J11,"0%")&amp;" of the bore depth — the chamber probably did not fill completely. Material is missing, which is not the same as compaction. ","")&amp;IF(AND(ISNUMBER($J11),$J11&gt;1.05),"Recovered more than the bore depth — check the two measurements. ","")&amp;IF(AND(ISNUMBER($I11),$I11&gt;2),"Surface compaction of "&amp;$I11&amp;" cm: depths in this core sit shallower than in the ground, so depth-limited stock is biased. Full-profile stock is unaffected. ",""))</f>
        <v/>
      </c>
      <c r="V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8">
        <f>IF(OR($G12="",$H12="",$G12=0),"",$H12/$G12)</f>
        <v/>
      </c>
      <c r="K12" s="14" t="n"/>
      <c r="L12" s="14" t="n"/>
      <c r="M12" s="14" t="n"/>
      <c r="N12" s="14" t="n"/>
      <c r="O12" s="14" t="n"/>
      <c r="P12" s="14" t="n"/>
      <c r="Q12" s="18">
        <f>IF($A12="","",IF(SUMPRODUCT(MAX(('3. Peat Data'!$B$5:$B$604=$A12)*'3. Peat Data'!$F$5:$F$604))=0,"",SUMPRODUCT(MAX(('3. Peat Data'!$B$5:$B$604=$A12)*'3. Peat Data'!$F$5:$F$604))))</f>
        <v/>
      </c>
      <c r="R12" s="18">
        <f>IF($A12="","",IFERROR(SUMIFS('3. Peat Data'!$P$5:$P$604,'3. Peat Data'!$B$5:$B$604,$A12),""))</f>
        <v/>
      </c>
      <c r="S12" s="18">
        <f>IF($A12="","",IFERROR(SUMIFS('3. Peat Data'!$Q$5:$Q$604,'3. Peat Data'!$B$5:$B$604,$A12),""))</f>
        <v/>
      </c>
      <c r="T12" s="18">
        <f>IF(NOT(ISNUMBER($Q12)),"",IF($Q12&gt;=REFERENCE_DEPTH_CM,"Yes","No"))</f>
        <v/>
      </c>
      <c r="U12" s="18">
        <f>IF($A12="","",IF(AND($B12&lt;&gt;"",COUNTIF('1. Plot &amp; Site Log'!$A$5:$A$64,$B12)=0),"Plot ID not in Plot &amp; Site Log. ","")&amp;IF(NOT(ISNUMBER($Q12)),"No peat sections logged for this core. ","")&amp;IF($T12="No","Core stops short of the reference depth, so its reference-depth stock is an underestimate. Its full-profile stock is still valid. ","")&amp;IF($L12="No","Core did not reach the mineral contact — the full-profile stock is a MINIMUM, not the whole store. ","")&amp;IF(AND(ISNUMBER($K12),$K12&lt;PEATLAND_MIN_DEPTH_CM),"Organic depth under "&amp;PEATLAND_MIN_DEPTH_CM&amp;" cm: by the guide's definition this is not peatland. Report it, but say so. ","")&amp;IF(AND(ISNUMBER($J12),$J12&lt;QC_RECOVERY_MIN),"Recovered only "&amp;TEXT($J12,"0%")&amp;" of the bore depth — the chamber probably did not fill completely. Material is missing, which is not the same as compaction. ","")&amp;IF(AND(ISNUMBER($J12),$J12&gt;1.05),"Recovered more than the bore depth — check the two measurements. ","")&amp;IF(AND(ISNUMBER($I12),$I12&gt;2),"Surface compaction of "&amp;$I12&amp;" cm: depths in this core sit shallower than in the ground, so depth-limited stock is biased. Full-profile stock is unaffected. ",""))</f>
        <v/>
      </c>
      <c r="V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8">
        <f>IF(OR($G13="",$H13="",$G13=0),"",$H13/$G13)</f>
        <v/>
      </c>
      <c r="K13" s="14" t="n"/>
      <c r="L13" s="14" t="n"/>
      <c r="M13" s="14" t="n"/>
      <c r="N13" s="14" t="n"/>
      <c r="O13" s="14" t="n"/>
      <c r="P13" s="14" t="n"/>
      <c r="Q13" s="18">
        <f>IF($A13="","",IF(SUMPRODUCT(MAX(('3. Peat Data'!$B$5:$B$604=$A13)*'3. Peat Data'!$F$5:$F$604))=0,"",SUMPRODUCT(MAX(('3. Peat Data'!$B$5:$B$604=$A13)*'3. Peat Data'!$F$5:$F$604))))</f>
        <v/>
      </c>
      <c r="R13" s="18">
        <f>IF($A13="","",IFERROR(SUMIFS('3. Peat Data'!$P$5:$P$604,'3. Peat Data'!$B$5:$B$604,$A13),""))</f>
        <v/>
      </c>
      <c r="S13" s="18">
        <f>IF($A13="","",IFERROR(SUMIFS('3. Peat Data'!$Q$5:$Q$604,'3. Peat Data'!$B$5:$B$604,$A13),""))</f>
        <v/>
      </c>
      <c r="T13" s="18">
        <f>IF(NOT(ISNUMBER($Q13)),"",IF($Q13&gt;=REFERENCE_DEPTH_CM,"Yes","No"))</f>
        <v/>
      </c>
      <c r="U13" s="18">
        <f>IF($A13="","",IF(AND($B13&lt;&gt;"",COUNTIF('1. Plot &amp; Site Log'!$A$5:$A$64,$B13)=0),"Plot ID not in Plot &amp; Site Log. ","")&amp;IF(NOT(ISNUMBER($Q13)),"No peat sections logged for this core. ","")&amp;IF($T13="No","Core stops short of the reference depth, so its reference-depth stock is an underestimate. Its full-profile stock is still valid. ","")&amp;IF($L13="No","Core did not reach the mineral contact — the full-profile stock is a MINIMUM, not the whole store. ","")&amp;IF(AND(ISNUMBER($K13),$K13&lt;PEATLAND_MIN_DEPTH_CM),"Organic depth under "&amp;PEATLAND_MIN_DEPTH_CM&amp;" cm: by the guide's definition this is not peatland. Report it, but say so. ","")&amp;IF(AND(ISNUMBER($J13),$J13&lt;QC_RECOVERY_MIN),"Recovered only "&amp;TEXT($J13,"0%")&amp;" of the bore depth — the chamber probably did not fill completely. Material is missing, which is not the same as compaction. ","")&amp;IF(AND(ISNUMBER($J13),$J13&gt;1.05),"Recovered more than the bore depth — check the two measurements. ","")&amp;IF(AND(ISNUMBER($I13),$I13&gt;2),"Surface compaction of "&amp;$I13&amp;" cm: depths in this core sit shallower than in the ground, so depth-limited stock is biased. Full-profile stock is unaffected. ",""))</f>
        <v/>
      </c>
      <c r="V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8">
        <f>IF(OR($G14="",$H14="",$G14=0),"",$H14/$G14)</f>
        <v/>
      </c>
      <c r="K14" s="14" t="n"/>
      <c r="L14" s="14" t="n"/>
      <c r="M14" s="14" t="n"/>
      <c r="N14" s="14" t="n"/>
      <c r="O14" s="14" t="n"/>
      <c r="P14" s="14" t="n"/>
      <c r="Q14" s="18">
        <f>IF($A14="","",IF(SUMPRODUCT(MAX(('3. Peat Data'!$B$5:$B$604=$A14)*'3. Peat Data'!$F$5:$F$604))=0,"",SUMPRODUCT(MAX(('3. Peat Data'!$B$5:$B$604=$A14)*'3. Peat Data'!$F$5:$F$604))))</f>
        <v/>
      </c>
      <c r="R14" s="18">
        <f>IF($A14="","",IFERROR(SUMIFS('3. Peat Data'!$P$5:$P$604,'3. Peat Data'!$B$5:$B$604,$A14),""))</f>
        <v/>
      </c>
      <c r="S14" s="18">
        <f>IF($A14="","",IFERROR(SUMIFS('3. Peat Data'!$Q$5:$Q$604,'3. Peat Data'!$B$5:$B$604,$A14),""))</f>
        <v/>
      </c>
      <c r="T14" s="18">
        <f>IF(NOT(ISNUMBER($Q14)),"",IF($Q14&gt;=REFERENCE_DEPTH_CM,"Yes","No"))</f>
        <v/>
      </c>
      <c r="U14" s="18">
        <f>IF($A14="","",IF(AND($B14&lt;&gt;"",COUNTIF('1. Plot &amp; Site Log'!$A$5:$A$64,$B14)=0),"Plot ID not in Plot &amp; Site Log. ","")&amp;IF(NOT(ISNUMBER($Q14)),"No peat sections logged for this core. ","")&amp;IF($T14="No","Core stops short of the reference depth, so its reference-depth stock is an underestimate. Its full-profile stock is still valid. ","")&amp;IF($L14="No","Core did not reach the mineral contact — the full-profile stock is a MINIMUM, not the whole store. ","")&amp;IF(AND(ISNUMBER($K14),$K14&lt;PEATLAND_MIN_DEPTH_CM),"Organic depth under "&amp;PEATLAND_MIN_DEPTH_CM&amp;" cm: by the guide's definition this is not peatland. Report it, but say so. ","")&amp;IF(AND(ISNUMBER($J14),$J14&lt;QC_RECOVERY_MIN),"Recovered only "&amp;TEXT($J14,"0%")&amp;" of the bore depth — the chamber probably did not fill completely. Material is missing, which is not the same as compaction. ","")&amp;IF(AND(ISNUMBER($J14),$J14&gt;1.05),"Recovered more than the bore depth — check the two measurements. ","")&amp;IF(AND(ISNUMBER($I14),$I14&gt;2),"Surface compaction of "&amp;$I14&amp;" cm: depths in this core sit shallower than in the ground, so depth-limited stock is biased. Full-profile stock is unaffected. ",""))</f>
        <v/>
      </c>
      <c r="V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8">
        <f>IF(OR($G15="",$H15="",$G15=0),"",$H15/$G15)</f>
        <v/>
      </c>
      <c r="K15" s="14" t="n"/>
      <c r="L15" s="14" t="n"/>
      <c r="M15" s="14" t="n"/>
      <c r="N15" s="14" t="n"/>
      <c r="O15" s="14" t="n"/>
      <c r="P15" s="14" t="n"/>
      <c r="Q15" s="18">
        <f>IF($A15="","",IF(SUMPRODUCT(MAX(('3. Peat Data'!$B$5:$B$604=$A15)*'3. Peat Data'!$F$5:$F$604))=0,"",SUMPRODUCT(MAX(('3. Peat Data'!$B$5:$B$604=$A15)*'3. Peat Data'!$F$5:$F$604))))</f>
        <v/>
      </c>
      <c r="R15" s="18">
        <f>IF($A15="","",IFERROR(SUMIFS('3. Peat Data'!$P$5:$P$604,'3. Peat Data'!$B$5:$B$604,$A15),""))</f>
        <v/>
      </c>
      <c r="S15" s="18">
        <f>IF($A15="","",IFERROR(SUMIFS('3. Peat Data'!$Q$5:$Q$604,'3. Peat Data'!$B$5:$B$604,$A15),""))</f>
        <v/>
      </c>
      <c r="T15" s="18">
        <f>IF(NOT(ISNUMBER($Q15)),"",IF($Q15&gt;=REFERENCE_DEPTH_CM,"Yes","No"))</f>
        <v/>
      </c>
      <c r="U15" s="18">
        <f>IF($A15="","",IF(AND($B15&lt;&gt;"",COUNTIF('1. Plot &amp; Site Log'!$A$5:$A$64,$B15)=0),"Plot ID not in Plot &amp; Site Log. ","")&amp;IF(NOT(ISNUMBER($Q15)),"No peat sections logged for this core. ","")&amp;IF($T15="No","Core stops short of the reference depth, so its reference-depth stock is an underestimate. Its full-profile stock is still valid. ","")&amp;IF($L15="No","Core did not reach the mineral contact — the full-profile stock is a MINIMUM, not the whole store. ","")&amp;IF(AND(ISNUMBER($K15),$K15&lt;PEATLAND_MIN_DEPTH_CM),"Organic depth under "&amp;PEATLAND_MIN_DEPTH_CM&amp;" cm: by the guide's definition this is not peatland. Report it, but say so. ","")&amp;IF(AND(ISNUMBER($J15),$J15&lt;QC_RECOVERY_MIN),"Recovered only "&amp;TEXT($J15,"0%")&amp;" of the bore depth — the chamber probably did not fill completely. Material is missing, which is not the same as compaction. ","")&amp;IF(AND(ISNUMBER($J15),$J15&gt;1.05),"Recovered more than the bore depth — check the two measurements. ","")&amp;IF(AND(ISNUMBER($I15),$I15&gt;2),"Surface compaction of "&amp;$I15&amp;" cm: depths in this core sit shallower than in the ground, so depth-limited stock is biased. Full-profile stock is unaffected. ",""))</f>
        <v/>
      </c>
      <c r="V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8">
        <f>IF(OR($G16="",$H16="",$G16=0),"",$H16/$G16)</f>
        <v/>
      </c>
      <c r="K16" s="14" t="n"/>
      <c r="L16" s="14" t="n"/>
      <c r="M16" s="14" t="n"/>
      <c r="N16" s="14" t="n"/>
      <c r="O16" s="14" t="n"/>
      <c r="P16" s="14" t="n"/>
      <c r="Q16" s="18">
        <f>IF($A16="","",IF(SUMPRODUCT(MAX(('3. Peat Data'!$B$5:$B$604=$A16)*'3. Peat Data'!$F$5:$F$604))=0,"",SUMPRODUCT(MAX(('3. Peat Data'!$B$5:$B$604=$A16)*'3. Peat Data'!$F$5:$F$604))))</f>
        <v/>
      </c>
      <c r="R16" s="18">
        <f>IF($A16="","",IFERROR(SUMIFS('3. Peat Data'!$P$5:$P$604,'3. Peat Data'!$B$5:$B$604,$A16),""))</f>
        <v/>
      </c>
      <c r="S16" s="18">
        <f>IF($A16="","",IFERROR(SUMIFS('3. Peat Data'!$Q$5:$Q$604,'3. Peat Data'!$B$5:$B$604,$A16),""))</f>
        <v/>
      </c>
      <c r="T16" s="18">
        <f>IF(NOT(ISNUMBER($Q16)),"",IF($Q16&gt;=REFERENCE_DEPTH_CM,"Yes","No"))</f>
        <v/>
      </c>
      <c r="U16" s="18">
        <f>IF($A16="","",IF(AND($B16&lt;&gt;"",COUNTIF('1. Plot &amp; Site Log'!$A$5:$A$64,$B16)=0),"Plot ID not in Plot &amp; Site Log. ","")&amp;IF(NOT(ISNUMBER($Q16)),"No peat sections logged for this core. ","")&amp;IF($T16="No","Core stops short of the reference depth, so its reference-depth stock is an underestimate. Its full-profile stock is still valid. ","")&amp;IF($L16="No","Core did not reach the mineral contact — the full-profile stock is a MINIMUM, not the whole store. ","")&amp;IF(AND(ISNUMBER($K16),$K16&lt;PEATLAND_MIN_DEPTH_CM),"Organic depth under "&amp;PEATLAND_MIN_DEPTH_CM&amp;" cm: by the guide's definition this is not peatland. Report it, but say so. ","")&amp;IF(AND(ISNUMBER($J16),$J16&lt;QC_RECOVERY_MIN),"Recovered only "&amp;TEXT($J16,"0%")&amp;" of the bore depth — the chamber probably did not fill completely. Material is missing, which is not the same as compaction. ","")&amp;IF(AND(ISNUMBER($J16),$J16&gt;1.05),"Recovered more than the bore depth — check the two measurements. ","")&amp;IF(AND(ISNUMBER($I16),$I16&gt;2),"Surface compaction of "&amp;$I16&amp;" cm: depths in this core sit shallower than in the ground, so depth-limited stock is biased. Full-profile stock is unaffected. ",""))</f>
        <v/>
      </c>
      <c r="V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8">
        <f>IF(OR($G17="",$H17="",$G17=0),"",$H17/$G17)</f>
        <v/>
      </c>
      <c r="K17" s="14" t="n"/>
      <c r="L17" s="14" t="n"/>
      <c r="M17" s="14" t="n"/>
      <c r="N17" s="14" t="n"/>
      <c r="O17" s="14" t="n"/>
      <c r="P17" s="14" t="n"/>
      <c r="Q17" s="18">
        <f>IF($A17="","",IF(SUMPRODUCT(MAX(('3. Peat Data'!$B$5:$B$604=$A17)*'3. Peat Data'!$F$5:$F$604))=0,"",SUMPRODUCT(MAX(('3. Peat Data'!$B$5:$B$604=$A17)*'3. Peat Data'!$F$5:$F$604))))</f>
        <v/>
      </c>
      <c r="R17" s="18">
        <f>IF($A17="","",IFERROR(SUMIFS('3. Peat Data'!$P$5:$P$604,'3. Peat Data'!$B$5:$B$604,$A17),""))</f>
        <v/>
      </c>
      <c r="S17" s="18">
        <f>IF($A17="","",IFERROR(SUMIFS('3. Peat Data'!$Q$5:$Q$604,'3. Peat Data'!$B$5:$B$604,$A17),""))</f>
        <v/>
      </c>
      <c r="T17" s="18">
        <f>IF(NOT(ISNUMBER($Q17)),"",IF($Q17&gt;=REFERENCE_DEPTH_CM,"Yes","No"))</f>
        <v/>
      </c>
      <c r="U17" s="18">
        <f>IF($A17="","",IF(AND($B17&lt;&gt;"",COUNTIF('1. Plot &amp; Site Log'!$A$5:$A$64,$B17)=0),"Plot ID not in Plot &amp; Site Log. ","")&amp;IF(NOT(ISNUMBER($Q17)),"No peat sections logged for this core. ","")&amp;IF($T17="No","Core stops short of the reference depth, so its reference-depth stock is an underestimate. Its full-profile stock is still valid. ","")&amp;IF($L17="No","Core did not reach the mineral contact — the full-profile stock is a MINIMUM, not the whole store. ","")&amp;IF(AND(ISNUMBER($K17),$K17&lt;PEATLAND_MIN_DEPTH_CM),"Organic depth under "&amp;PEATLAND_MIN_DEPTH_CM&amp;" cm: by the guide's definition this is not peatland. Report it, but say so. ","")&amp;IF(AND(ISNUMBER($J17),$J17&lt;QC_RECOVERY_MIN),"Recovered only "&amp;TEXT($J17,"0%")&amp;" of the bore depth — the chamber probably did not fill completely. Material is missing, which is not the same as compaction. ","")&amp;IF(AND(ISNUMBER($J17),$J17&gt;1.05),"Recovered more than the bore depth — check the two measurements. ","")&amp;IF(AND(ISNUMBER($I17),$I17&gt;2),"Surface compaction of "&amp;$I17&amp;" cm: depths in this core sit shallower than in the ground, so depth-limited stock is biased. Full-profile stock is unaffected. ",""))</f>
        <v/>
      </c>
      <c r="V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8">
        <f>IF(OR($G18="",$H18="",$G18=0),"",$H18/$G18)</f>
        <v/>
      </c>
      <c r="K18" s="14" t="n"/>
      <c r="L18" s="14" t="n"/>
      <c r="M18" s="14" t="n"/>
      <c r="N18" s="14" t="n"/>
      <c r="O18" s="14" t="n"/>
      <c r="P18" s="14" t="n"/>
      <c r="Q18" s="18">
        <f>IF($A18="","",IF(SUMPRODUCT(MAX(('3. Peat Data'!$B$5:$B$604=$A18)*'3. Peat Data'!$F$5:$F$604))=0,"",SUMPRODUCT(MAX(('3. Peat Data'!$B$5:$B$604=$A18)*'3. Peat Data'!$F$5:$F$604))))</f>
        <v/>
      </c>
      <c r="R18" s="18">
        <f>IF($A18="","",IFERROR(SUMIFS('3. Peat Data'!$P$5:$P$604,'3. Peat Data'!$B$5:$B$604,$A18),""))</f>
        <v/>
      </c>
      <c r="S18" s="18">
        <f>IF($A18="","",IFERROR(SUMIFS('3. Peat Data'!$Q$5:$Q$604,'3. Peat Data'!$B$5:$B$604,$A18),""))</f>
        <v/>
      </c>
      <c r="T18" s="18">
        <f>IF(NOT(ISNUMBER($Q18)),"",IF($Q18&gt;=REFERENCE_DEPTH_CM,"Yes","No"))</f>
        <v/>
      </c>
      <c r="U18" s="18">
        <f>IF($A18="","",IF(AND($B18&lt;&gt;"",COUNTIF('1. Plot &amp; Site Log'!$A$5:$A$64,$B18)=0),"Plot ID not in Plot &amp; Site Log. ","")&amp;IF(NOT(ISNUMBER($Q18)),"No peat sections logged for this core. ","")&amp;IF($T18="No","Core stops short of the reference depth, so its reference-depth stock is an underestimate. Its full-profile stock is still valid. ","")&amp;IF($L18="No","Core did not reach the mineral contact — the full-profile stock is a MINIMUM, not the whole store. ","")&amp;IF(AND(ISNUMBER($K18),$K18&lt;PEATLAND_MIN_DEPTH_CM),"Organic depth under "&amp;PEATLAND_MIN_DEPTH_CM&amp;" cm: by the guide's definition this is not peatland. Report it, but say so. ","")&amp;IF(AND(ISNUMBER($J18),$J18&lt;QC_RECOVERY_MIN),"Recovered only "&amp;TEXT($J18,"0%")&amp;" of the bore depth — the chamber probably did not fill completely. Material is missing, which is not the same as compaction. ","")&amp;IF(AND(ISNUMBER($J18),$J18&gt;1.05),"Recovered more than the bore depth — check the two measurements. ","")&amp;IF(AND(ISNUMBER($I18),$I18&gt;2),"Surface compaction of "&amp;$I18&amp;" cm: depths in this core sit shallower than in the ground, so depth-limited stock is biased. Full-profile stock is unaffected. ",""))</f>
        <v/>
      </c>
      <c r="V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8">
        <f>IF(OR($G19="",$H19="",$G19=0),"",$H19/$G19)</f>
        <v/>
      </c>
      <c r="K19" s="14" t="n"/>
      <c r="L19" s="14" t="n"/>
      <c r="M19" s="14" t="n"/>
      <c r="N19" s="14" t="n"/>
      <c r="O19" s="14" t="n"/>
      <c r="P19" s="14" t="n"/>
      <c r="Q19" s="18">
        <f>IF($A19="","",IF(SUMPRODUCT(MAX(('3. Peat Data'!$B$5:$B$604=$A19)*'3. Peat Data'!$F$5:$F$604))=0,"",SUMPRODUCT(MAX(('3. Peat Data'!$B$5:$B$604=$A19)*'3. Peat Data'!$F$5:$F$604))))</f>
        <v/>
      </c>
      <c r="R19" s="18">
        <f>IF($A19="","",IFERROR(SUMIFS('3. Peat Data'!$P$5:$P$604,'3. Peat Data'!$B$5:$B$604,$A19),""))</f>
        <v/>
      </c>
      <c r="S19" s="18">
        <f>IF($A19="","",IFERROR(SUMIFS('3. Peat Data'!$Q$5:$Q$604,'3. Peat Data'!$B$5:$B$604,$A19),""))</f>
        <v/>
      </c>
      <c r="T19" s="18">
        <f>IF(NOT(ISNUMBER($Q19)),"",IF($Q19&gt;=REFERENCE_DEPTH_CM,"Yes","No"))</f>
        <v/>
      </c>
      <c r="U19" s="18">
        <f>IF($A19="","",IF(AND($B19&lt;&gt;"",COUNTIF('1. Plot &amp; Site Log'!$A$5:$A$64,$B19)=0),"Plot ID not in Plot &amp; Site Log. ","")&amp;IF(NOT(ISNUMBER($Q19)),"No peat sections logged for this core. ","")&amp;IF($T19="No","Core stops short of the reference depth, so its reference-depth stock is an underestimate. Its full-profile stock is still valid. ","")&amp;IF($L19="No","Core did not reach the mineral contact — the full-profile stock is a MINIMUM, not the whole store. ","")&amp;IF(AND(ISNUMBER($K19),$K19&lt;PEATLAND_MIN_DEPTH_CM),"Organic depth under "&amp;PEATLAND_MIN_DEPTH_CM&amp;" cm: by the guide's definition this is not peatland. Report it, but say so. ","")&amp;IF(AND(ISNUMBER($J19),$J19&lt;QC_RECOVERY_MIN),"Recovered only "&amp;TEXT($J19,"0%")&amp;" of the bore depth — the chamber probably did not fill completely. Material is missing, which is not the same as compaction. ","")&amp;IF(AND(ISNUMBER($J19),$J19&gt;1.05),"Recovered more than the bore depth — check the two measurements. ","")&amp;IF(AND(ISNUMBER($I19),$I19&gt;2),"Surface compaction of "&amp;$I19&amp;" cm: depths in this core sit shallower than in the ground, so depth-limited stock is biased. Full-profile stock is unaffected. ",""))</f>
        <v/>
      </c>
      <c r="V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8">
        <f>IF(OR($G20="",$H20="",$G20=0),"",$H20/$G20)</f>
        <v/>
      </c>
      <c r="K20" s="14" t="n"/>
      <c r="L20" s="14" t="n"/>
      <c r="M20" s="14" t="n"/>
      <c r="N20" s="14" t="n"/>
      <c r="O20" s="14" t="n"/>
      <c r="P20" s="14" t="n"/>
      <c r="Q20" s="18">
        <f>IF($A20="","",IF(SUMPRODUCT(MAX(('3. Peat Data'!$B$5:$B$604=$A20)*'3. Peat Data'!$F$5:$F$604))=0,"",SUMPRODUCT(MAX(('3. Peat Data'!$B$5:$B$604=$A20)*'3. Peat Data'!$F$5:$F$604))))</f>
        <v/>
      </c>
      <c r="R20" s="18">
        <f>IF($A20="","",IFERROR(SUMIFS('3. Peat Data'!$P$5:$P$604,'3. Peat Data'!$B$5:$B$604,$A20),""))</f>
        <v/>
      </c>
      <c r="S20" s="18">
        <f>IF($A20="","",IFERROR(SUMIFS('3. Peat Data'!$Q$5:$Q$604,'3. Peat Data'!$B$5:$B$604,$A20),""))</f>
        <v/>
      </c>
      <c r="T20" s="18">
        <f>IF(NOT(ISNUMBER($Q20)),"",IF($Q20&gt;=REFERENCE_DEPTH_CM,"Yes","No"))</f>
        <v/>
      </c>
      <c r="U20" s="18">
        <f>IF($A20="","",IF(AND($B20&lt;&gt;"",COUNTIF('1. Plot &amp; Site Log'!$A$5:$A$64,$B20)=0),"Plot ID not in Plot &amp; Site Log. ","")&amp;IF(NOT(ISNUMBER($Q20)),"No peat sections logged for this core. ","")&amp;IF($T20="No","Core stops short of the reference depth, so its reference-depth stock is an underestimate. Its full-profile stock is still valid. ","")&amp;IF($L20="No","Core did not reach the mineral contact — the full-profile stock is a MINIMUM, not the whole store. ","")&amp;IF(AND(ISNUMBER($K20),$K20&lt;PEATLAND_MIN_DEPTH_CM),"Organic depth under "&amp;PEATLAND_MIN_DEPTH_CM&amp;" cm: by the guide's definition this is not peatland. Report it, but say so. ","")&amp;IF(AND(ISNUMBER($J20),$J20&lt;QC_RECOVERY_MIN),"Recovered only "&amp;TEXT($J20,"0%")&amp;" of the bore depth — the chamber probably did not fill completely. Material is missing, which is not the same as compaction. ","")&amp;IF(AND(ISNUMBER($J20),$J20&gt;1.05),"Recovered more than the bore depth — check the two measurements. ","")&amp;IF(AND(ISNUMBER($I20),$I20&gt;2),"Surface compaction of "&amp;$I20&amp;" cm: depths in this core sit shallower than in the ground, so depth-limited stock is biased. Full-profile stock is unaffected. ",""))</f>
        <v/>
      </c>
      <c r="V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8">
        <f>IF(OR($G21="",$H21="",$G21=0),"",$H21/$G21)</f>
        <v/>
      </c>
      <c r="K21" s="14" t="n"/>
      <c r="L21" s="14" t="n"/>
      <c r="M21" s="14" t="n"/>
      <c r="N21" s="14" t="n"/>
      <c r="O21" s="14" t="n"/>
      <c r="P21" s="14" t="n"/>
      <c r="Q21" s="18">
        <f>IF($A21="","",IF(SUMPRODUCT(MAX(('3. Peat Data'!$B$5:$B$604=$A21)*'3. Peat Data'!$F$5:$F$604))=0,"",SUMPRODUCT(MAX(('3. Peat Data'!$B$5:$B$604=$A21)*'3. Peat Data'!$F$5:$F$604))))</f>
        <v/>
      </c>
      <c r="R21" s="18">
        <f>IF($A21="","",IFERROR(SUMIFS('3. Peat Data'!$P$5:$P$604,'3. Peat Data'!$B$5:$B$604,$A21),""))</f>
        <v/>
      </c>
      <c r="S21" s="18">
        <f>IF($A21="","",IFERROR(SUMIFS('3. Peat Data'!$Q$5:$Q$604,'3. Peat Data'!$B$5:$B$604,$A21),""))</f>
        <v/>
      </c>
      <c r="T21" s="18">
        <f>IF(NOT(ISNUMBER($Q21)),"",IF($Q21&gt;=REFERENCE_DEPTH_CM,"Yes","No"))</f>
        <v/>
      </c>
      <c r="U21" s="18">
        <f>IF($A21="","",IF(AND($B21&lt;&gt;"",COUNTIF('1. Plot &amp; Site Log'!$A$5:$A$64,$B21)=0),"Plot ID not in Plot &amp; Site Log. ","")&amp;IF(NOT(ISNUMBER($Q21)),"No peat sections logged for this core. ","")&amp;IF($T21="No","Core stops short of the reference depth, so its reference-depth stock is an underestimate. Its full-profile stock is still valid. ","")&amp;IF($L21="No","Core did not reach the mineral contact — the full-profile stock is a MINIMUM, not the whole store. ","")&amp;IF(AND(ISNUMBER($K21),$K21&lt;PEATLAND_MIN_DEPTH_CM),"Organic depth under "&amp;PEATLAND_MIN_DEPTH_CM&amp;" cm: by the guide's definition this is not peatland. Report it, but say so. ","")&amp;IF(AND(ISNUMBER($J21),$J21&lt;QC_RECOVERY_MIN),"Recovered only "&amp;TEXT($J21,"0%")&amp;" of the bore depth — the chamber probably did not fill completely. Material is missing, which is not the same as compaction. ","")&amp;IF(AND(ISNUMBER($J21),$J21&gt;1.05),"Recovered more than the bore depth — check the two measurements. ","")&amp;IF(AND(ISNUMBER($I21),$I21&gt;2),"Surface compaction of "&amp;$I21&amp;" cm: depths in this core sit shallower than in the ground, so depth-limited stock is biased. Full-profile stock is unaffected. ",""))</f>
        <v/>
      </c>
      <c r="V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8">
        <f>IF(OR($G22="",$H22="",$G22=0),"",$H22/$G22)</f>
        <v/>
      </c>
      <c r="K22" s="14" t="n"/>
      <c r="L22" s="14" t="n"/>
      <c r="M22" s="14" t="n"/>
      <c r="N22" s="14" t="n"/>
      <c r="O22" s="14" t="n"/>
      <c r="P22" s="14" t="n"/>
      <c r="Q22" s="18">
        <f>IF($A22="","",IF(SUMPRODUCT(MAX(('3. Peat Data'!$B$5:$B$604=$A22)*'3. Peat Data'!$F$5:$F$604))=0,"",SUMPRODUCT(MAX(('3. Peat Data'!$B$5:$B$604=$A22)*'3. Peat Data'!$F$5:$F$604))))</f>
        <v/>
      </c>
      <c r="R22" s="18">
        <f>IF($A22="","",IFERROR(SUMIFS('3. Peat Data'!$P$5:$P$604,'3. Peat Data'!$B$5:$B$604,$A22),""))</f>
        <v/>
      </c>
      <c r="S22" s="18">
        <f>IF($A22="","",IFERROR(SUMIFS('3. Peat Data'!$Q$5:$Q$604,'3. Peat Data'!$B$5:$B$604,$A22),""))</f>
        <v/>
      </c>
      <c r="T22" s="18">
        <f>IF(NOT(ISNUMBER($Q22)),"",IF($Q22&gt;=REFERENCE_DEPTH_CM,"Yes","No"))</f>
        <v/>
      </c>
      <c r="U22" s="18">
        <f>IF($A22="","",IF(AND($B22&lt;&gt;"",COUNTIF('1. Plot &amp; Site Log'!$A$5:$A$64,$B22)=0),"Plot ID not in Plot &amp; Site Log. ","")&amp;IF(NOT(ISNUMBER($Q22)),"No peat sections logged for this core. ","")&amp;IF($T22="No","Core stops short of the reference depth, so its reference-depth stock is an underestimate. Its full-profile stock is still valid. ","")&amp;IF($L22="No","Core did not reach the mineral contact — the full-profile stock is a MINIMUM, not the whole store. ","")&amp;IF(AND(ISNUMBER($K22),$K22&lt;PEATLAND_MIN_DEPTH_CM),"Organic depth under "&amp;PEATLAND_MIN_DEPTH_CM&amp;" cm: by the guide's definition this is not peatland. Report it, but say so. ","")&amp;IF(AND(ISNUMBER($J22),$J22&lt;QC_RECOVERY_MIN),"Recovered only "&amp;TEXT($J22,"0%")&amp;" of the bore depth — the chamber probably did not fill completely. Material is missing, which is not the same as compaction. ","")&amp;IF(AND(ISNUMBER($J22),$J22&gt;1.05),"Recovered more than the bore depth — check the two measurements. ","")&amp;IF(AND(ISNUMBER($I22),$I22&gt;2),"Surface compaction of "&amp;$I22&amp;" cm: depths in this core sit shallower than in the ground, so depth-limited stock is biased. Full-profile stock is unaffected. ",""))</f>
        <v/>
      </c>
      <c r="V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8">
        <f>IF(OR($G23="",$H23="",$G23=0),"",$H23/$G23)</f>
        <v/>
      </c>
      <c r="K23" s="14" t="n"/>
      <c r="L23" s="14" t="n"/>
      <c r="M23" s="14" t="n"/>
      <c r="N23" s="14" t="n"/>
      <c r="O23" s="14" t="n"/>
      <c r="P23" s="14" t="n"/>
      <c r="Q23" s="18">
        <f>IF($A23="","",IF(SUMPRODUCT(MAX(('3. Peat Data'!$B$5:$B$604=$A23)*'3. Peat Data'!$F$5:$F$604))=0,"",SUMPRODUCT(MAX(('3. Peat Data'!$B$5:$B$604=$A23)*'3. Peat Data'!$F$5:$F$604))))</f>
        <v/>
      </c>
      <c r="R23" s="18">
        <f>IF($A23="","",IFERROR(SUMIFS('3. Peat Data'!$P$5:$P$604,'3. Peat Data'!$B$5:$B$604,$A23),""))</f>
        <v/>
      </c>
      <c r="S23" s="18">
        <f>IF($A23="","",IFERROR(SUMIFS('3. Peat Data'!$Q$5:$Q$604,'3. Peat Data'!$B$5:$B$604,$A23),""))</f>
        <v/>
      </c>
      <c r="T23" s="18">
        <f>IF(NOT(ISNUMBER($Q23)),"",IF($Q23&gt;=REFERENCE_DEPTH_CM,"Yes","No"))</f>
        <v/>
      </c>
      <c r="U23" s="18">
        <f>IF($A23="","",IF(AND($B23&lt;&gt;"",COUNTIF('1. Plot &amp; Site Log'!$A$5:$A$64,$B23)=0),"Plot ID not in Plot &amp; Site Log. ","")&amp;IF(NOT(ISNUMBER($Q23)),"No peat sections logged for this core. ","")&amp;IF($T23="No","Core stops short of the reference depth, so its reference-depth stock is an underestimate. Its full-profile stock is still valid. ","")&amp;IF($L23="No","Core did not reach the mineral contact — the full-profile stock is a MINIMUM, not the whole store. ","")&amp;IF(AND(ISNUMBER($K23),$K23&lt;PEATLAND_MIN_DEPTH_CM),"Organic depth under "&amp;PEATLAND_MIN_DEPTH_CM&amp;" cm: by the guide's definition this is not peatland. Report it, but say so. ","")&amp;IF(AND(ISNUMBER($J23),$J23&lt;QC_RECOVERY_MIN),"Recovered only "&amp;TEXT($J23,"0%")&amp;" of the bore depth — the chamber probably did not fill completely. Material is missing, which is not the same as compaction. ","")&amp;IF(AND(ISNUMBER($J23),$J23&gt;1.05),"Recovered more than the bore depth — check the two measurements. ","")&amp;IF(AND(ISNUMBER($I23),$I23&gt;2),"Surface compaction of "&amp;$I23&amp;" cm: depths in this core sit shallower than in the ground, so depth-limited stock is biased. Full-profile stock is unaffected. ",""))</f>
        <v/>
      </c>
      <c r="V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8">
        <f>IF(OR($G24="",$H24="",$G24=0),"",$H24/$G24)</f>
        <v/>
      </c>
      <c r="K24" s="14" t="n"/>
      <c r="L24" s="14" t="n"/>
      <c r="M24" s="14" t="n"/>
      <c r="N24" s="14" t="n"/>
      <c r="O24" s="14" t="n"/>
      <c r="P24" s="14" t="n"/>
      <c r="Q24" s="18">
        <f>IF($A24="","",IF(SUMPRODUCT(MAX(('3. Peat Data'!$B$5:$B$604=$A24)*'3. Peat Data'!$F$5:$F$604))=0,"",SUMPRODUCT(MAX(('3. Peat Data'!$B$5:$B$604=$A24)*'3. Peat Data'!$F$5:$F$604))))</f>
        <v/>
      </c>
      <c r="R24" s="18">
        <f>IF($A24="","",IFERROR(SUMIFS('3. Peat Data'!$P$5:$P$604,'3. Peat Data'!$B$5:$B$604,$A24),""))</f>
        <v/>
      </c>
      <c r="S24" s="18">
        <f>IF($A24="","",IFERROR(SUMIFS('3. Peat Data'!$Q$5:$Q$604,'3. Peat Data'!$B$5:$B$604,$A24),""))</f>
        <v/>
      </c>
      <c r="T24" s="18">
        <f>IF(NOT(ISNUMBER($Q24)),"",IF($Q24&gt;=REFERENCE_DEPTH_CM,"Yes","No"))</f>
        <v/>
      </c>
      <c r="U24" s="18">
        <f>IF($A24="","",IF(AND($B24&lt;&gt;"",COUNTIF('1. Plot &amp; Site Log'!$A$5:$A$64,$B24)=0),"Plot ID not in Plot &amp; Site Log. ","")&amp;IF(NOT(ISNUMBER($Q24)),"No peat sections logged for this core. ","")&amp;IF($T24="No","Core stops short of the reference depth, so its reference-depth stock is an underestimate. Its full-profile stock is still valid. ","")&amp;IF($L24="No","Core did not reach the mineral contact — the full-profile stock is a MINIMUM, not the whole store. ","")&amp;IF(AND(ISNUMBER($K24),$K24&lt;PEATLAND_MIN_DEPTH_CM),"Organic depth under "&amp;PEATLAND_MIN_DEPTH_CM&amp;" cm: by the guide's definition this is not peatland. Report it, but say so. ","")&amp;IF(AND(ISNUMBER($J24),$J24&lt;QC_RECOVERY_MIN),"Recovered only "&amp;TEXT($J24,"0%")&amp;" of the bore depth — the chamber probably did not fill completely. Material is missing, which is not the same as compaction. ","")&amp;IF(AND(ISNUMBER($J24),$J24&gt;1.05),"Recovered more than the bore depth — check the two measurements. ","")&amp;IF(AND(ISNUMBER($I24),$I24&gt;2),"Surface compaction of "&amp;$I24&amp;" cm: depths in this core sit shallower than in the ground, so depth-limited stock is biased. Full-profile stock is unaffected. ",""))</f>
        <v/>
      </c>
      <c r="V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8">
        <f>IF(OR($G25="",$H25="",$G25=0),"",$H25/$G25)</f>
        <v/>
      </c>
      <c r="K25" s="14" t="n"/>
      <c r="L25" s="14" t="n"/>
      <c r="M25" s="14" t="n"/>
      <c r="N25" s="14" t="n"/>
      <c r="O25" s="14" t="n"/>
      <c r="P25" s="14" t="n"/>
      <c r="Q25" s="18">
        <f>IF($A25="","",IF(SUMPRODUCT(MAX(('3. Peat Data'!$B$5:$B$604=$A25)*'3. Peat Data'!$F$5:$F$604))=0,"",SUMPRODUCT(MAX(('3. Peat Data'!$B$5:$B$604=$A25)*'3. Peat Data'!$F$5:$F$604))))</f>
        <v/>
      </c>
      <c r="R25" s="18">
        <f>IF($A25="","",IFERROR(SUMIFS('3. Peat Data'!$P$5:$P$604,'3. Peat Data'!$B$5:$B$604,$A25),""))</f>
        <v/>
      </c>
      <c r="S25" s="18">
        <f>IF($A25="","",IFERROR(SUMIFS('3. Peat Data'!$Q$5:$Q$604,'3. Peat Data'!$B$5:$B$604,$A25),""))</f>
        <v/>
      </c>
      <c r="T25" s="18">
        <f>IF(NOT(ISNUMBER($Q25)),"",IF($Q25&gt;=REFERENCE_DEPTH_CM,"Yes","No"))</f>
        <v/>
      </c>
      <c r="U25" s="18">
        <f>IF($A25="","",IF(AND($B25&lt;&gt;"",COUNTIF('1. Plot &amp; Site Log'!$A$5:$A$64,$B25)=0),"Plot ID not in Plot &amp; Site Log. ","")&amp;IF(NOT(ISNUMBER($Q25)),"No peat sections logged for this core. ","")&amp;IF($T25="No","Core stops short of the reference depth, so its reference-depth stock is an underestimate. Its full-profile stock is still valid. ","")&amp;IF($L25="No","Core did not reach the mineral contact — the full-profile stock is a MINIMUM, not the whole store. ","")&amp;IF(AND(ISNUMBER($K25),$K25&lt;PEATLAND_MIN_DEPTH_CM),"Organic depth under "&amp;PEATLAND_MIN_DEPTH_CM&amp;" cm: by the guide's definition this is not peatland. Report it, but say so. ","")&amp;IF(AND(ISNUMBER($J25),$J25&lt;QC_RECOVERY_MIN),"Recovered only "&amp;TEXT($J25,"0%")&amp;" of the bore depth — the chamber probably did not fill completely. Material is missing, which is not the same as compaction. ","")&amp;IF(AND(ISNUMBER($J25),$J25&gt;1.05),"Recovered more than the bore depth — check the two measurements. ","")&amp;IF(AND(ISNUMBER($I25),$I25&gt;2),"Surface compaction of "&amp;$I25&amp;" cm: depths in this core sit shallower than in the ground, so depth-limited stock is biased. Full-profile stock is unaffected. ",""))</f>
        <v/>
      </c>
      <c r="V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8">
        <f>IF(OR($G26="",$H26="",$G26=0),"",$H26/$G26)</f>
        <v/>
      </c>
      <c r="K26" s="14" t="n"/>
      <c r="L26" s="14" t="n"/>
      <c r="M26" s="14" t="n"/>
      <c r="N26" s="14" t="n"/>
      <c r="O26" s="14" t="n"/>
      <c r="P26" s="14" t="n"/>
      <c r="Q26" s="18">
        <f>IF($A26="","",IF(SUMPRODUCT(MAX(('3. Peat Data'!$B$5:$B$604=$A26)*'3. Peat Data'!$F$5:$F$604))=0,"",SUMPRODUCT(MAX(('3. Peat Data'!$B$5:$B$604=$A26)*'3. Peat Data'!$F$5:$F$604))))</f>
        <v/>
      </c>
      <c r="R26" s="18">
        <f>IF($A26="","",IFERROR(SUMIFS('3. Peat Data'!$P$5:$P$604,'3. Peat Data'!$B$5:$B$604,$A26),""))</f>
        <v/>
      </c>
      <c r="S26" s="18">
        <f>IF($A26="","",IFERROR(SUMIFS('3. Peat Data'!$Q$5:$Q$604,'3. Peat Data'!$B$5:$B$604,$A26),""))</f>
        <v/>
      </c>
      <c r="T26" s="18">
        <f>IF(NOT(ISNUMBER($Q26)),"",IF($Q26&gt;=REFERENCE_DEPTH_CM,"Yes","No"))</f>
        <v/>
      </c>
      <c r="U26" s="18">
        <f>IF($A26="","",IF(AND($B26&lt;&gt;"",COUNTIF('1. Plot &amp; Site Log'!$A$5:$A$64,$B26)=0),"Plot ID not in Plot &amp; Site Log. ","")&amp;IF(NOT(ISNUMBER($Q26)),"No peat sections logged for this core. ","")&amp;IF($T26="No","Core stops short of the reference depth, so its reference-depth stock is an underestimate. Its full-profile stock is still valid. ","")&amp;IF($L26="No","Core did not reach the mineral contact — the full-profile stock is a MINIMUM, not the whole store. ","")&amp;IF(AND(ISNUMBER($K26),$K26&lt;PEATLAND_MIN_DEPTH_CM),"Organic depth under "&amp;PEATLAND_MIN_DEPTH_CM&amp;" cm: by the guide's definition this is not peatland. Report it, but say so. ","")&amp;IF(AND(ISNUMBER($J26),$J26&lt;QC_RECOVERY_MIN),"Recovered only "&amp;TEXT($J26,"0%")&amp;" of the bore depth — the chamber probably did not fill completely. Material is missing, which is not the same as compaction. ","")&amp;IF(AND(ISNUMBER($J26),$J26&gt;1.05),"Recovered more than the bore depth — check the two measurements. ","")&amp;IF(AND(ISNUMBER($I26),$I26&gt;2),"Surface compaction of "&amp;$I26&amp;" cm: depths in this core sit shallower than in the ground, so depth-limited stock is biased. Full-profile stock is unaffected. ",""))</f>
        <v/>
      </c>
      <c r="V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8">
        <f>IF(OR($G27="",$H27="",$G27=0),"",$H27/$G27)</f>
        <v/>
      </c>
      <c r="K27" s="14" t="n"/>
      <c r="L27" s="14" t="n"/>
      <c r="M27" s="14" t="n"/>
      <c r="N27" s="14" t="n"/>
      <c r="O27" s="14" t="n"/>
      <c r="P27" s="14" t="n"/>
      <c r="Q27" s="18">
        <f>IF($A27="","",IF(SUMPRODUCT(MAX(('3. Peat Data'!$B$5:$B$604=$A27)*'3. Peat Data'!$F$5:$F$604))=0,"",SUMPRODUCT(MAX(('3. Peat Data'!$B$5:$B$604=$A27)*'3. Peat Data'!$F$5:$F$604))))</f>
        <v/>
      </c>
      <c r="R27" s="18">
        <f>IF($A27="","",IFERROR(SUMIFS('3. Peat Data'!$P$5:$P$604,'3. Peat Data'!$B$5:$B$604,$A27),""))</f>
        <v/>
      </c>
      <c r="S27" s="18">
        <f>IF($A27="","",IFERROR(SUMIFS('3. Peat Data'!$Q$5:$Q$604,'3. Peat Data'!$B$5:$B$604,$A27),""))</f>
        <v/>
      </c>
      <c r="T27" s="18">
        <f>IF(NOT(ISNUMBER($Q27)),"",IF($Q27&gt;=REFERENCE_DEPTH_CM,"Yes","No"))</f>
        <v/>
      </c>
      <c r="U27" s="18">
        <f>IF($A27="","",IF(AND($B27&lt;&gt;"",COUNTIF('1. Plot &amp; Site Log'!$A$5:$A$64,$B27)=0),"Plot ID not in Plot &amp; Site Log. ","")&amp;IF(NOT(ISNUMBER($Q27)),"No peat sections logged for this core. ","")&amp;IF($T27="No","Core stops short of the reference depth, so its reference-depth stock is an underestimate. Its full-profile stock is still valid. ","")&amp;IF($L27="No","Core did not reach the mineral contact — the full-profile stock is a MINIMUM, not the whole store. ","")&amp;IF(AND(ISNUMBER($K27),$K27&lt;PEATLAND_MIN_DEPTH_CM),"Organic depth under "&amp;PEATLAND_MIN_DEPTH_CM&amp;" cm: by the guide's definition this is not peatland. Report it, but say so. ","")&amp;IF(AND(ISNUMBER($J27),$J27&lt;QC_RECOVERY_MIN),"Recovered only "&amp;TEXT($J27,"0%")&amp;" of the bore depth — the chamber probably did not fill completely. Material is missing, which is not the same as compaction. ","")&amp;IF(AND(ISNUMBER($J27),$J27&gt;1.05),"Recovered more than the bore depth — check the two measurements. ","")&amp;IF(AND(ISNUMBER($I27),$I27&gt;2),"Surface compaction of "&amp;$I27&amp;" cm: depths in this core sit shallower than in the ground, so depth-limited stock is biased. Full-profile stock is unaffected. ",""))</f>
        <v/>
      </c>
      <c r="V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8">
        <f>IF(OR($G28="",$H28="",$G28=0),"",$H28/$G28)</f>
        <v/>
      </c>
      <c r="K28" s="14" t="n"/>
      <c r="L28" s="14" t="n"/>
      <c r="M28" s="14" t="n"/>
      <c r="N28" s="14" t="n"/>
      <c r="O28" s="14" t="n"/>
      <c r="P28" s="14" t="n"/>
      <c r="Q28" s="18">
        <f>IF($A28="","",IF(SUMPRODUCT(MAX(('3. Peat Data'!$B$5:$B$604=$A28)*'3. Peat Data'!$F$5:$F$604))=0,"",SUMPRODUCT(MAX(('3. Peat Data'!$B$5:$B$604=$A28)*'3. Peat Data'!$F$5:$F$604))))</f>
        <v/>
      </c>
      <c r="R28" s="18">
        <f>IF($A28="","",IFERROR(SUMIFS('3. Peat Data'!$P$5:$P$604,'3. Peat Data'!$B$5:$B$604,$A28),""))</f>
        <v/>
      </c>
      <c r="S28" s="18">
        <f>IF($A28="","",IFERROR(SUMIFS('3. Peat Data'!$Q$5:$Q$604,'3. Peat Data'!$B$5:$B$604,$A28),""))</f>
        <v/>
      </c>
      <c r="T28" s="18">
        <f>IF(NOT(ISNUMBER($Q28)),"",IF($Q28&gt;=REFERENCE_DEPTH_CM,"Yes","No"))</f>
        <v/>
      </c>
      <c r="U28" s="18">
        <f>IF($A28="","",IF(AND($B28&lt;&gt;"",COUNTIF('1. Plot &amp; Site Log'!$A$5:$A$64,$B28)=0),"Plot ID not in Plot &amp; Site Log. ","")&amp;IF(NOT(ISNUMBER($Q28)),"No peat sections logged for this core. ","")&amp;IF($T28="No","Core stops short of the reference depth, so its reference-depth stock is an underestimate. Its full-profile stock is still valid. ","")&amp;IF($L28="No","Core did not reach the mineral contact — the full-profile stock is a MINIMUM, not the whole store. ","")&amp;IF(AND(ISNUMBER($K28),$K28&lt;PEATLAND_MIN_DEPTH_CM),"Organic depth under "&amp;PEATLAND_MIN_DEPTH_CM&amp;" cm: by the guide's definition this is not peatland. Report it, but say so. ","")&amp;IF(AND(ISNUMBER($J28),$J28&lt;QC_RECOVERY_MIN),"Recovered only "&amp;TEXT($J28,"0%")&amp;" of the bore depth — the chamber probably did not fill completely. Material is missing, which is not the same as compaction. ","")&amp;IF(AND(ISNUMBER($J28),$J28&gt;1.05),"Recovered more than the bore depth — check the two measurements. ","")&amp;IF(AND(ISNUMBER($I28),$I28&gt;2),"Surface compaction of "&amp;$I28&amp;" cm: depths in this core sit shallower than in the ground, so depth-limited stock is biased. Full-profile stock is unaffected. ",""))</f>
        <v/>
      </c>
      <c r="V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8">
        <f>IF(OR($G29="",$H29="",$G29=0),"",$H29/$G29)</f>
        <v/>
      </c>
      <c r="K29" s="14" t="n"/>
      <c r="L29" s="14" t="n"/>
      <c r="M29" s="14" t="n"/>
      <c r="N29" s="14" t="n"/>
      <c r="O29" s="14" t="n"/>
      <c r="P29" s="14" t="n"/>
      <c r="Q29" s="18">
        <f>IF($A29="","",IF(SUMPRODUCT(MAX(('3. Peat Data'!$B$5:$B$604=$A29)*'3. Peat Data'!$F$5:$F$604))=0,"",SUMPRODUCT(MAX(('3. Peat Data'!$B$5:$B$604=$A29)*'3. Peat Data'!$F$5:$F$604))))</f>
        <v/>
      </c>
      <c r="R29" s="18">
        <f>IF($A29="","",IFERROR(SUMIFS('3. Peat Data'!$P$5:$P$604,'3. Peat Data'!$B$5:$B$604,$A29),""))</f>
        <v/>
      </c>
      <c r="S29" s="18">
        <f>IF($A29="","",IFERROR(SUMIFS('3. Peat Data'!$Q$5:$Q$604,'3. Peat Data'!$B$5:$B$604,$A29),""))</f>
        <v/>
      </c>
      <c r="T29" s="18">
        <f>IF(NOT(ISNUMBER($Q29)),"",IF($Q29&gt;=REFERENCE_DEPTH_CM,"Yes","No"))</f>
        <v/>
      </c>
      <c r="U29" s="18">
        <f>IF($A29="","",IF(AND($B29&lt;&gt;"",COUNTIF('1. Plot &amp; Site Log'!$A$5:$A$64,$B29)=0),"Plot ID not in Plot &amp; Site Log. ","")&amp;IF(NOT(ISNUMBER($Q29)),"No peat sections logged for this core. ","")&amp;IF($T29="No","Core stops short of the reference depth, so its reference-depth stock is an underestimate. Its full-profile stock is still valid. ","")&amp;IF($L29="No","Core did not reach the mineral contact — the full-profile stock is a MINIMUM, not the whole store. ","")&amp;IF(AND(ISNUMBER($K29),$K29&lt;PEATLAND_MIN_DEPTH_CM),"Organic depth under "&amp;PEATLAND_MIN_DEPTH_CM&amp;" cm: by the guide's definition this is not peatland. Report it, but say so. ","")&amp;IF(AND(ISNUMBER($J29),$J29&lt;QC_RECOVERY_MIN),"Recovered only "&amp;TEXT($J29,"0%")&amp;" of the bore depth — the chamber probably did not fill completely. Material is missing, which is not the same as compaction. ","")&amp;IF(AND(ISNUMBER($J29),$J29&gt;1.05),"Recovered more than the bore depth — check the two measurements. ","")&amp;IF(AND(ISNUMBER($I29),$I29&gt;2),"Surface compaction of "&amp;$I29&amp;" cm: depths in this core sit shallower than in the ground, so depth-limited stock is biased. Full-profile stock is unaffected. ",""))</f>
        <v/>
      </c>
      <c r="V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8">
        <f>IF(OR($G30="",$H30="",$G30=0),"",$H30/$G30)</f>
        <v/>
      </c>
      <c r="K30" s="14" t="n"/>
      <c r="L30" s="14" t="n"/>
      <c r="M30" s="14" t="n"/>
      <c r="N30" s="14" t="n"/>
      <c r="O30" s="14" t="n"/>
      <c r="P30" s="14" t="n"/>
      <c r="Q30" s="18">
        <f>IF($A30="","",IF(SUMPRODUCT(MAX(('3. Peat Data'!$B$5:$B$604=$A30)*'3. Peat Data'!$F$5:$F$604))=0,"",SUMPRODUCT(MAX(('3. Peat Data'!$B$5:$B$604=$A30)*'3. Peat Data'!$F$5:$F$604))))</f>
        <v/>
      </c>
      <c r="R30" s="18">
        <f>IF($A30="","",IFERROR(SUMIFS('3. Peat Data'!$P$5:$P$604,'3. Peat Data'!$B$5:$B$604,$A30),""))</f>
        <v/>
      </c>
      <c r="S30" s="18">
        <f>IF($A30="","",IFERROR(SUMIFS('3. Peat Data'!$Q$5:$Q$604,'3. Peat Data'!$B$5:$B$604,$A30),""))</f>
        <v/>
      </c>
      <c r="T30" s="18">
        <f>IF(NOT(ISNUMBER($Q30)),"",IF($Q30&gt;=REFERENCE_DEPTH_CM,"Yes","No"))</f>
        <v/>
      </c>
      <c r="U30" s="18">
        <f>IF($A30="","",IF(AND($B30&lt;&gt;"",COUNTIF('1. Plot &amp; Site Log'!$A$5:$A$64,$B30)=0),"Plot ID not in Plot &amp; Site Log. ","")&amp;IF(NOT(ISNUMBER($Q30)),"No peat sections logged for this core. ","")&amp;IF($T30="No","Core stops short of the reference depth, so its reference-depth stock is an underestimate. Its full-profile stock is still valid. ","")&amp;IF($L30="No","Core did not reach the mineral contact — the full-profile stock is a MINIMUM, not the whole store. ","")&amp;IF(AND(ISNUMBER($K30),$K30&lt;PEATLAND_MIN_DEPTH_CM),"Organic depth under "&amp;PEATLAND_MIN_DEPTH_CM&amp;" cm: by the guide's definition this is not peatland. Report it, but say so. ","")&amp;IF(AND(ISNUMBER($J30),$J30&lt;QC_RECOVERY_MIN),"Recovered only "&amp;TEXT($J30,"0%")&amp;" of the bore depth — the chamber probably did not fill completely. Material is missing, which is not the same as compaction. ","")&amp;IF(AND(ISNUMBER($J30),$J30&gt;1.05),"Recovered more than the bore depth — check the two measurements. ","")&amp;IF(AND(ISNUMBER($I30),$I30&gt;2),"Surface compaction of "&amp;$I30&amp;" cm: depths in this core sit shallower than in the ground, so depth-limited stock is biased. Full-profile stock is unaffected. ",""))</f>
        <v/>
      </c>
      <c r="V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8">
        <f>IF(OR($G31="",$H31="",$G31=0),"",$H31/$G31)</f>
        <v/>
      </c>
      <c r="K31" s="14" t="n"/>
      <c r="L31" s="14" t="n"/>
      <c r="M31" s="14" t="n"/>
      <c r="N31" s="14" t="n"/>
      <c r="O31" s="14" t="n"/>
      <c r="P31" s="14" t="n"/>
      <c r="Q31" s="18">
        <f>IF($A31="","",IF(SUMPRODUCT(MAX(('3. Peat Data'!$B$5:$B$604=$A31)*'3. Peat Data'!$F$5:$F$604))=0,"",SUMPRODUCT(MAX(('3. Peat Data'!$B$5:$B$604=$A31)*'3. Peat Data'!$F$5:$F$604))))</f>
        <v/>
      </c>
      <c r="R31" s="18">
        <f>IF($A31="","",IFERROR(SUMIFS('3. Peat Data'!$P$5:$P$604,'3. Peat Data'!$B$5:$B$604,$A31),""))</f>
        <v/>
      </c>
      <c r="S31" s="18">
        <f>IF($A31="","",IFERROR(SUMIFS('3. Peat Data'!$Q$5:$Q$604,'3. Peat Data'!$B$5:$B$604,$A31),""))</f>
        <v/>
      </c>
      <c r="T31" s="18">
        <f>IF(NOT(ISNUMBER($Q31)),"",IF($Q31&gt;=REFERENCE_DEPTH_CM,"Yes","No"))</f>
        <v/>
      </c>
      <c r="U31" s="18">
        <f>IF($A31="","",IF(AND($B31&lt;&gt;"",COUNTIF('1. Plot &amp; Site Log'!$A$5:$A$64,$B31)=0),"Plot ID not in Plot &amp; Site Log. ","")&amp;IF(NOT(ISNUMBER($Q31)),"No peat sections logged for this core. ","")&amp;IF($T31="No","Core stops short of the reference depth, so its reference-depth stock is an underestimate. Its full-profile stock is still valid. ","")&amp;IF($L31="No","Core did not reach the mineral contact — the full-profile stock is a MINIMUM, not the whole store. ","")&amp;IF(AND(ISNUMBER($K31),$K31&lt;PEATLAND_MIN_DEPTH_CM),"Organic depth under "&amp;PEATLAND_MIN_DEPTH_CM&amp;" cm: by the guide's definition this is not peatland. Report it, but say so. ","")&amp;IF(AND(ISNUMBER($J31),$J31&lt;QC_RECOVERY_MIN),"Recovered only "&amp;TEXT($J31,"0%")&amp;" of the bore depth — the chamber probably did not fill completely. Material is missing, which is not the same as compaction. ","")&amp;IF(AND(ISNUMBER($J31),$J31&gt;1.05),"Recovered more than the bore depth — check the two measurements. ","")&amp;IF(AND(ISNUMBER($I31),$I31&gt;2),"Surface compaction of "&amp;$I31&amp;" cm: depths in this core sit shallower than in the ground, so depth-limited stock is biased. Full-profile stock is unaffected. ",""))</f>
        <v/>
      </c>
      <c r="V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8">
        <f>IF(OR($G32="",$H32="",$G32=0),"",$H32/$G32)</f>
        <v/>
      </c>
      <c r="K32" s="14" t="n"/>
      <c r="L32" s="14" t="n"/>
      <c r="M32" s="14" t="n"/>
      <c r="N32" s="14" t="n"/>
      <c r="O32" s="14" t="n"/>
      <c r="P32" s="14" t="n"/>
      <c r="Q32" s="18">
        <f>IF($A32="","",IF(SUMPRODUCT(MAX(('3. Peat Data'!$B$5:$B$604=$A32)*'3. Peat Data'!$F$5:$F$604))=0,"",SUMPRODUCT(MAX(('3. Peat Data'!$B$5:$B$604=$A32)*'3. Peat Data'!$F$5:$F$604))))</f>
        <v/>
      </c>
      <c r="R32" s="18">
        <f>IF($A32="","",IFERROR(SUMIFS('3. Peat Data'!$P$5:$P$604,'3. Peat Data'!$B$5:$B$604,$A32),""))</f>
        <v/>
      </c>
      <c r="S32" s="18">
        <f>IF($A32="","",IFERROR(SUMIFS('3. Peat Data'!$Q$5:$Q$604,'3. Peat Data'!$B$5:$B$604,$A32),""))</f>
        <v/>
      </c>
      <c r="T32" s="18">
        <f>IF(NOT(ISNUMBER($Q32)),"",IF($Q32&gt;=REFERENCE_DEPTH_CM,"Yes","No"))</f>
        <v/>
      </c>
      <c r="U32" s="18">
        <f>IF($A32="","",IF(AND($B32&lt;&gt;"",COUNTIF('1. Plot &amp; Site Log'!$A$5:$A$64,$B32)=0),"Plot ID not in Plot &amp; Site Log. ","")&amp;IF(NOT(ISNUMBER($Q32)),"No peat sections logged for this core. ","")&amp;IF($T32="No","Core stops short of the reference depth, so its reference-depth stock is an underestimate. Its full-profile stock is still valid. ","")&amp;IF($L32="No","Core did not reach the mineral contact — the full-profile stock is a MINIMUM, not the whole store. ","")&amp;IF(AND(ISNUMBER($K32),$K32&lt;PEATLAND_MIN_DEPTH_CM),"Organic depth under "&amp;PEATLAND_MIN_DEPTH_CM&amp;" cm: by the guide's definition this is not peatland. Report it, but say so. ","")&amp;IF(AND(ISNUMBER($J32),$J32&lt;QC_RECOVERY_MIN),"Recovered only "&amp;TEXT($J32,"0%")&amp;" of the bore depth — the chamber probably did not fill completely. Material is missing, which is not the same as compaction. ","")&amp;IF(AND(ISNUMBER($J32),$J32&gt;1.05),"Recovered more than the bore depth — check the two measurements. ","")&amp;IF(AND(ISNUMBER($I32),$I32&gt;2),"Surface compaction of "&amp;$I32&amp;" cm: depths in this core sit shallower than in the ground, so depth-limited stock is biased. Full-profile stock is unaffected. ",""))</f>
        <v/>
      </c>
      <c r="V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8">
        <f>IF(OR($G33="",$H33="",$G33=0),"",$H33/$G33)</f>
        <v/>
      </c>
      <c r="K33" s="14" t="n"/>
      <c r="L33" s="14" t="n"/>
      <c r="M33" s="14" t="n"/>
      <c r="N33" s="14" t="n"/>
      <c r="O33" s="14" t="n"/>
      <c r="P33" s="14" t="n"/>
      <c r="Q33" s="18">
        <f>IF($A33="","",IF(SUMPRODUCT(MAX(('3. Peat Data'!$B$5:$B$604=$A33)*'3. Peat Data'!$F$5:$F$604))=0,"",SUMPRODUCT(MAX(('3. Peat Data'!$B$5:$B$604=$A33)*'3. Peat Data'!$F$5:$F$604))))</f>
        <v/>
      </c>
      <c r="R33" s="18">
        <f>IF($A33="","",IFERROR(SUMIFS('3. Peat Data'!$P$5:$P$604,'3. Peat Data'!$B$5:$B$604,$A33),""))</f>
        <v/>
      </c>
      <c r="S33" s="18">
        <f>IF($A33="","",IFERROR(SUMIFS('3. Peat Data'!$Q$5:$Q$604,'3. Peat Data'!$B$5:$B$604,$A33),""))</f>
        <v/>
      </c>
      <c r="T33" s="18">
        <f>IF(NOT(ISNUMBER($Q33)),"",IF($Q33&gt;=REFERENCE_DEPTH_CM,"Yes","No"))</f>
        <v/>
      </c>
      <c r="U33" s="18">
        <f>IF($A33="","",IF(AND($B33&lt;&gt;"",COUNTIF('1. Plot &amp; Site Log'!$A$5:$A$64,$B33)=0),"Plot ID not in Plot &amp; Site Log. ","")&amp;IF(NOT(ISNUMBER($Q33)),"No peat sections logged for this core. ","")&amp;IF($T33="No","Core stops short of the reference depth, so its reference-depth stock is an underestimate. Its full-profile stock is still valid. ","")&amp;IF($L33="No","Core did not reach the mineral contact — the full-profile stock is a MINIMUM, not the whole store. ","")&amp;IF(AND(ISNUMBER($K33),$K33&lt;PEATLAND_MIN_DEPTH_CM),"Organic depth under "&amp;PEATLAND_MIN_DEPTH_CM&amp;" cm: by the guide's definition this is not peatland. Report it, but say so. ","")&amp;IF(AND(ISNUMBER($J33),$J33&lt;QC_RECOVERY_MIN),"Recovered only "&amp;TEXT($J33,"0%")&amp;" of the bore depth — the chamber probably did not fill completely. Material is missing, which is not the same as compaction. ","")&amp;IF(AND(ISNUMBER($J33),$J33&gt;1.05),"Recovered more than the bore depth — check the two measurements. ","")&amp;IF(AND(ISNUMBER($I33),$I33&gt;2),"Surface compaction of "&amp;$I33&amp;" cm: depths in this core sit shallower than in the ground, so depth-limited stock is biased. Full-profile stock is unaffected. ",""))</f>
        <v/>
      </c>
      <c r="V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8">
        <f>IF(OR($G34="",$H34="",$G34=0),"",$H34/$G34)</f>
        <v/>
      </c>
      <c r="K34" s="14" t="n"/>
      <c r="L34" s="14" t="n"/>
      <c r="M34" s="14" t="n"/>
      <c r="N34" s="14" t="n"/>
      <c r="O34" s="14" t="n"/>
      <c r="P34" s="14" t="n"/>
      <c r="Q34" s="18">
        <f>IF($A34="","",IF(SUMPRODUCT(MAX(('3. Peat Data'!$B$5:$B$604=$A34)*'3. Peat Data'!$F$5:$F$604))=0,"",SUMPRODUCT(MAX(('3. Peat Data'!$B$5:$B$604=$A34)*'3. Peat Data'!$F$5:$F$604))))</f>
        <v/>
      </c>
      <c r="R34" s="18">
        <f>IF($A34="","",IFERROR(SUMIFS('3. Peat Data'!$P$5:$P$604,'3. Peat Data'!$B$5:$B$604,$A34),""))</f>
        <v/>
      </c>
      <c r="S34" s="18">
        <f>IF($A34="","",IFERROR(SUMIFS('3. Peat Data'!$Q$5:$Q$604,'3. Peat Data'!$B$5:$B$604,$A34),""))</f>
        <v/>
      </c>
      <c r="T34" s="18">
        <f>IF(NOT(ISNUMBER($Q34)),"",IF($Q34&gt;=REFERENCE_DEPTH_CM,"Yes","No"))</f>
        <v/>
      </c>
      <c r="U34" s="18">
        <f>IF($A34="","",IF(AND($B34&lt;&gt;"",COUNTIF('1. Plot &amp; Site Log'!$A$5:$A$64,$B34)=0),"Plot ID not in Plot &amp; Site Log. ","")&amp;IF(NOT(ISNUMBER($Q34)),"No peat sections logged for this core. ","")&amp;IF($T34="No","Core stops short of the reference depth, so its reference-depth stock is an underestimate. Its full-profile stock is still valid. ","")&amp;IF($L34="No","Core did not reach the mineral contact — the full-profile stock is a MINIMUM, not the whole store. ","")&amp;IF(AND(ISNUMBER($K34),$K34&lt;PEATLAND_MIN_DEPTH_CM),"Organic depth under "&amp;PEATLAND_MIN_DEPTH_CM&amp;" cm: by the guide's definition this is not peatland. Report it, but say so. ","")&amp;IF(AND(ISNUMBER($J34),$J34&lt;QC_RECOVERY_MIN),"Recovered only "&amp;TEXT($J34,"0%")&amp;" of the bore depth — the chamber probably did not fill completely. Material is missing, which is not the same as compaction. ","")&amp;IF(AND(ISNUMBER($J34),$J34&gt;1.05),"Recovered more than the bore depth — check the two measurements. ","")&amp;IF(AND(ISNUMBER($I34),$I34&gt;2),"Surface compaction of "&amp;$I34&amp;" cm: depths in this core sit shallower than in the ground, so depth-limited stock is biased. Full-profile stock is unaffected. ",""))</f>
        <v/>
      </c>
      <c r="V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8">
        <f>IF(OR($G35="",$H35="",$G35=0),"",$H35/$G35)</f>
        <v/>
      </c>
      <c r="K35" s="14" t="n"/>
      <c r="L35" s="14" t="n"/>
      <c r="M35" s="14" t="n"/>
      <c r="N35" s="14" t="n"/>
      <c r="O35" s="14" t="n"/>
      <c r="P35" s="14" t="n"/>
      <c r="Q35" s="18">
        <f>IF($A35="","",IF(SUMPRODUCT(MAX(('3. Peat Data'!$B$5:$B$604=$A35)*'3. Peat Data'!$F$5:$F$604))=0,"",SUMPRODUCT(MAX(('3. Peat Data'!$B$5:$B$604=$A35)*'3. Peat Data'!$F$5:$F$604))))</f>
        <v/>
      </c>
      <c r="R35" s="18">
        <f>IF($A35="","",IFERROR(SUMIFS('3. Peat Data'!$P$5:$P$604,'3. Peat Data'!$B$5:$B$604,$A35),""))</f>
        <v/>
      </c>
      <c r="S35" s="18">
        <f>IF($A35="","",IFERROR(SUMIFS('3. Peat Data'!$Q$5:$Q$604,'3. Peat Data'!$B$5:$B$604,$A35),""))</f>
        <v/>
      </c>
      <c r="T35" s="18">
        <f>IF(NOT(ISNUMBER($Q35)),"",IF($Q35&gt;=REFERENCE_DEPTH_CM,"Yes","No"))</f>
        <v/>
      </c>
      <c r="U35" s="18">
        <f>IF($A35="","",IF(AND($B35&lt;&gt;"",COUNTIF('1. Plot &amp; Site Log'!$A$5:$A$64,$B35)=0),"Plot ID not in Plot &amp; Site Log. ","")&amp;IF(NOT(ISNUMBER($Q35)),"No peat sections logged for this core. ","")&amp;IF($T35="No","Core stops short of the reference depth, so its reference-depth stock is an underestimate. Its full-profile stock is still valid. ","")&amp;IF($L35="No","Core did not reach the mineral contact — the full-profile stock is a MINIMUM, not the whole store. ","")&amp;IF(AND(ISNUMBER($K35),$K35&lt;PEATLAND_MIN_DEPTH_CM),"Organic depth under "&amp;PEATLAND_MIN_DEPTH_CM&amp;" cm: by the guide's definition this is not peatland. Report it, but say so. ","")&amp;IF(AND(ISNUMBER($J35),$J35&lt;QC_RECOVERY_MIN),"Recovered only "&amp;TEXT($J35,"0%")&amp;" of the bore depth — the chamber probably did not fill completely. Material is missing, which is not the same as compaction. ","")&amp;IF(AND(ISNUMBER($J35),$J35&gt;1.05),"Recovered more than the bore depth — check the two measurements. ","")&amp;IF(AND(ISNUMBER($I35),$I35&gt;2),"Surface compaction of "&amp;$I35&amp;" cm: depths in this core sit shallower than in the ground, so depth-limited stock is biased. Full-profile stock is unaffected. ",""))</f>
        <v/>
      </c>
      <c r="V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8">
        <f>IF(OR($G36="",$H36="",$G36=0),"",$H36/$G36)</f>
        <v/>
      </c>
      <c r="K36" s="14" t="n"/>
      <c r="L36" s="14" t="n"/>
      <c r="M36" s="14" t="n"/>
      <c r="N36" s="14" t="n"/>
      <c r="O36" s="14" t="n"/>
      <c r="P36" s="14" t="n"/>
      <c r="Q36" s="18">
        <f>IF($A36="","",IF(SUMPRODUCT(MAX(('3. Peat Data'!$B$5:$B$604=$A36)*'3. Peat Data'!$F$5:$F$604))=0,"",SUMPRODUCT(MAX(('3. Peat Data'!$B$5:$B$604=$A36)*'3. Peat Data'!$F$5:$F$604))))</f>
        <v/>
      </c>
      <c r="R36" s="18">
        <f>IF($A36="","",IFERROR(SUMIFS('3. Peat Data'!$P$5:$P$604,'3. Peat Data'!$B$5:$B$604,$A36),""))</f>
        <v/>
      </c>
      <c r="S36" s="18">
        <f>IF($A36="","",IFERROR(SUMIFS('3. Peat Data'!$Q$5:$Q$604,'3. Peat Data'!$B$5:$B$604,$A36),""))</f>
        <v/>
      </c>
      <c r="T36" s="18">
        <f>IF(NOT(ISNUMBER($Q36)),"",IF($Q36&gt;=REFERENCE_DEPTH_CM,"Yes","No"))</f>
        <v/>
      </c>
      <c r="U36" s="18">
        <f>IF($A36="","",IF(AND($B36&lt;&gt;"",COUNTIF('1. Plot &amp; Site Log'!$A$5:$A$64,$B36)=0),"Plot ID not in Plot &amp; Site Log. ","")&amp;IF(NOT(ISNUMBER($Q36)),"No peat sections logged for this core. ","")&amp;IF($T36="No","Core stops short of the reference depth, so its reference-depth stock is an underestimate. Its full-profile stock is still valid. ","")&amp;IF($L36="No","Core did not reach the mineral contact — the full-profile stock is a MINIMUM, not the whole store. ","")&amp;IF(AND(ISNUMBER($K36),$K36&lt;PEATLAND_MIN_DEPTH_CM),"Organic depth under "&amp;PEATLAND_MIN_DEPTH_CM&amp;" cm: by the guide's definition this is not peatland. Report it, but say so. ","")&amp;IF(AND(ISNUMBER($J36),$J36&lt;QC_RECOVERY_MIN),"Recovered only "&amp;TEXT($J36,"0%")&amp;" of the bore depth — the chamber probably did not fill completely. Material is missing, which is not the same as compaction. ","")&amp;IF(AND(ISNUMBER($J36),$J36&gt;1.05),"Recovered more than the bore depth — check the two measurements. ","")&amp;IF(AND(ISNUMBER($I36),$I36&gt;2),"Surface compaction of "&amp;$I36&amp;" cm: depths in this core sit shallower than in the ground, so depth-limited stock is biased. Full-profile stock is unaffected. ",""))</f>
        <v/>
      </c>
      <c r="V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8">
        <f>IF(OR($G37="",$H37="",$G37=0),"",$H37/$G37)</f>
        <v/>
      </c>
      <c r="K37" s="14" t="n"/>
      <c r="L37" s="14" t="n"/>
      <c r="M37" s="14" t="n"/>
      <c r="N37" s="14" t="n"/>
      <c r="O37" s="14" t="n"/>
      <c r="P37" s="14" t="n"/>
      <c r="Q37" s="18">
        <f>IF($A37="","",IF(SUMPRODUCT(MAX(('3. Peat Data'!$B$5:$B$604=$A37)*'3. Peat Data'!$F$5:$F$604))=0,"",SUMPRODUCT(MAX(('3. Peat Data'!$B$5:$B$604=$A37)*'3. Peat Data'!$F$5:$F$604))))</f>
        <v/>
      </c>
      <c r="R37" s="18">
        <f>IF($A37="","",IFERROR(SUMIFS('3. Peat Data'!$P$5:$P$604,'3. Peat Data'!$B$5:$B$604,$A37),""))</f>
        <v/>
      </c>
      <c r="S37" s="18">
        <f>IF($A37="","",IFERROR(SUMIFS('3. Peat Data'!$Q$5:$Q$604,'3. Peat Data'!$B$5:$B$604,$A37),""))</f>
        <v/>
      </c>
      <c r="T37" s="18">
        <f>IF(NOT(ISNUMBER($Q37)),"",IF($Q37&gt;=REFERENCE_DEPTH_CM,"Yes","No"))</f>
        <v/>
      </c>
      <c r="U37" s="18">
        <f>IF($A37="","",IF(AND($B37&lt;&gt;"",COUNTIF('1. Plot &amp; Site Log'!$A$5:$A$64,$B37)=0),"Plot ID not in Plot &amp; Site Log. ","")&amp;IF(NOT(ISNUMBER($Q37)),"No peat sections logged for this core. ","")&amp;IF($T37="No","Core stops short of the reference depth, so its reference-depth stock is an underestimate. Its full-profile stock is still valid. ","")&amp;IF($L37="No","Core did not reach the mineral contact — the full-profile stock is a MINIMUM, not the whole store. ","")&amp;IF(AND(ISNUMBER($K37),$K37&lt;PEATLAND_MIN_DEPTH_CM),"Organic depth under "&amp;PEATLAND_MIN_DEPTH_CM&amp;" cm: by the guide's definition this is not peatland. Report it, but say so. ","")&amp;IF(AND(ISNUMBER($J37),$J37&lt;QC_RECOVERY_MIN),"Recovered only "&amp;TEXT($J37,"0%")&amp;" of the bore depth — the chamber probably did not fill completely. Material is missing, which is not the same as compaction. ","")&amp;IF(AND(ISNUMBER($J37),$J37&gt;1.05),"Recovered more than the bore depth — check the two measurements. ","")&amp;IF(AND(ISNUMBER($I37),$I37&gt;2),"Surface compaction of "&amp;$I37&amp;" cm: depths in this core sit shallower than in the ground, so depth-limited stock is biased. Full-profile stock is unaffected. ",""))</f>
        <v/>
      </c>
      <c r="V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8">
        <f>IF(OR($G38="",$H38="",$G38=0),"",$H38/$G38)</f>
        <v/>
      </c>
      <c r="K38" s="14" t="n"/>
      <c r="L38" s="14" t="n"/>
      <c r="M38" s="14" t="n"/>
      <c r="N38" s="14" t="n"/>
      <c r="O38" s="14" t="n"/>
      <c r="P38" s="14" t="n"/>
      <c r="Q38" s="18">
        <f>IF($A38="","",IF(SUMPRODUCT(MAX(('3. Peat Data'!$B$5:$B$604=$A38)*'3. Peat Data'!$F$5:$F$604))=0,"",SUMPRODUCT(MAX(('3. Peat Data'!$B$5:$B$604=$A38)*'3. Peat Data'!$F$5:$F$604))))</f>
        <v/>
      </c>
      <c r="R38" s="18">
        <f>IF($A38="","",IFERROR(SUMIFS('3. Peat Data'!$P$5:$P$604,'3. Peat Data'!$B$5:$B$604,$A38),""))</f>
        <v/>
      </c>
      <c r="S38" s="18">
        <f>IF($A38="","",IFERROR(SUMIFS('3. Peat Data'!$Q$5:$Q$604,'3. Peat Data'!$B$5:$B$604,$A38),""))</f>
        <v/>
      </c>
      <c r="T38" s="18">
        <f>IF(NOT(ISNUMBER($Q38)),"",IF($Q38&gt;=REFERENCE_DEPTH_CM,"Yes","No"))</f>
        <v/>
      </c>
      <c r="U38" s="18">
        <f>IF($A38="","",IF(AND($B38&lt;&gt;"",COUNTIF('1. Plot &amp; Site Log'!$A$5:$A$64,$B38)=0),"Plot ID not in Plot &amp; Site Log. ","")&amp;IF(NOT(ISNUMBER($Q38)),"No peat sections logged for this core. ","")&amp;IF($T38="No","Core stops short of the reference depth, so its reference-depth stock is an underestimate. Its full-profile stock is still valid. ","")&amp;IF($L38="No","Core did not reach the mineral contact — the full-profile stock is a MINIMUM, not the whole store. ","")&amp;IF(AND(ISNUMBER($K38),$K38&lt;PEATLAND_MIN_DEPTH_CM),"Organic depth under "&amp;PEATLAND_MIN_DEPTH_CM&amp;" cm: by the guide's definition this is not peatland. Report it, but say so. ","")&amp;IF(AND(ISNUMBER($J38),$J38&lt;QC_RECOVERY_MIN),"Recovered only "&amp;TEXT($J38,"0%")&amp;" of the bore depth — the chamber probably did not fill completely. Material is missing, which is not the same as compaction. ","")&amp;IF(AND(ISNUMBER($J38),$J38&gt;1.05),"Recovered more than the bore depth — check the two measurements. ","")&amp;IF(AND(ISNUMBER($I38),$I38&gt;2),"Surface compaction of "&amp;$I38&amp;" cm: depths in this core sit shallower than in the ground, so depth-limited stock is biased. Full-profile stock is unaffected. ",""))</f>
        <v/>
      </c>
      <c r="V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8">
        <f>IF(OR($G39="",$H39="",$G39=0),"",$H39/$G39)</f>
        <v/>
      </c>
      <c r="K39" s="14" t="n"/>
      <c r="L39" s="14" t="n"/>
      <c r="M39" s="14" t="n"/>
      <c r="N39" s="14" t="n"/>
      <c r="O39" s="14" t="n"/>
      <c r="P39" s="14" t="n"/>
      <c r="Q39" s="18">
        <f>IF($A39="","",IF(SUMPRODUCT(MAX(('3. Peat Data'!$B$5:$B$604=$A39)*'3. Peat Data'!$F$5:$F$604))=0,"",SUMPRODUCT(MAX(('3. Peat Data'!$B$5:$B$604=$A39)*'3. Peat Data'!$F$5:$F$604))))</f>
        <v/>
      </c>
      <c r="R39" s="18">
        <f>IF($A39="","",IFERROR(SUMIFS('3. Peat Data'!$P$5:$P$604,'3. Peat Data'!$B$5:$B$604,$A39),""))</f>
        <v/>
      </c>
      <c r="S39" s="18">
        <f>IF($A39="","",IFERROR(SUMIFS('3. Peat Data'!$Q$5:$Q$604,'3. Peat Data'!$B$5:$B$604,$A39),""))</f>
        <v/>
      </c>
      <c r="T39" s="18">
        <f>IF(NOT(ISNUMBER($Q39)),"",IF($Q39&gt;=REFERENCE_DEPTH_CM,"Yes","No"))</f>
        <v/>
      </c>
      <c r="U39" s="18">
        <f>IF($A39="","",IF(AND($B39&lt;&gt;"",COUNTIF('1. Plot &amp; Site Log'!$A$5:$A$64,$B39)=0),"Plot ID not in Plot &amp; Site Log. ","")&amp;IF(NOT(ISNUMBER($Q39)),"No peat sections logged for this core. ","")&amp;IF($T39="No","Core stops short of the reference depth, so its reference-depth stock is an underestimate. Its full-profile stock is still valid. ","")&amp;IF($L39="No","Core did not reach the mineral contact — the full-profile stock is a MINIMUM, not the whole store. ","")&amp;IF(AND(ISNUMBER($K39),$K39&lt;PEATLAND_MIN_DEPTH_CM),"Organic depth under "&amp;PEATLAND_MIN_DEPTH_CM&amp;" cm: by the guide's definition this is not peatland. Report it, but say so. ","")&amp;IF(AND(ISNUMBER($J39),$J39&lt;QC_RECOVERY_MIN),"Recovered only "&amp;TEXT($J39,"0%")&amp;" of the bore depth — the chamber probably did not fill completely. Material is missing, which is not the same as compaction. ","")&amp;IF(AND(ISNUMBER($J39),$J39&gt;1.05),"Recovered more than the bore depth — check the two measurements. ","")&amp;IF(AND(ISNUMBER($I39),$I39&gt;2),"Surface compaction of "&amp;$I39&amp;" cm: depths in this core sit shallower than in the ground, so depth-limited stock is biased. Full-profile stock is unaffected. ",""))</f>
        <v/>
      </c>
      <c r="V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8">
        <f>IF(OR($G40="",$H40="",$G40=0),"",$H40/$G40)</f>
        <v/>
      </c>
      <c r="K40" s="14" t="n"/>
      <c r="L40" s="14" t="n"/>
      <c r="M40" s="14" t="n"/>
      <c r="N40" s="14" t="n"/>
      <c r="O40" s="14" t="n"/>
      <c r="P40" s="14" t="n"/>
      <c r="Q40" s="18">
        <f>IF($A40="","",IF(SUMPRODUCT(MAX(('3. Peat Data'!$B$5:$B$604=$A40)*'3. Peat Data'!$F$5:$F$604))=0,"",SUMPRODUCT(MAX(('3. Peat Data'!$B$5:$B$604=$A40)*'3. Peat Data'!$F$5:$F$604))))</f>
        <v/>
      </c>
      <c r="R40" s="18">
        <f>IF($A40="","",IFERROR(SUMIFS('3. Peat Data'!$P$5:$P$604,'3. Peat Data'!$B$5:$B$604,$A40),""))</f>
        <v/>
      </c>
      <c r="S40" s="18">
        <f>IF($A40="","",IFERROR(SUMIFS('3. Peat Data'!$Q$5:$Q$604,'3. Peat Data'!$B$5:$B$604,$A40),""))</f>
        <v/>
      </c>
      <c r="T40" s="18">
        <f>IF(NOT(ISNUMBER($Q40)),"",IF($Q40&gt;=REFERENCE_DEPTH_CM,"Yes","No"))</f>
        <v/>
      </c>
      <c r="U40" s="18">
        <f>IF($A40="","",IF(AND($B40&lt;&gt;"",COUNTIF('1. Plot &amp; Site Log'!$A$5:$A$64,$B40)=0),"Plot ID not in Plot &amp; Site Log. ","")&amp;IF(NOT(ISNUMBER($Q40)),"No peat sections logged for this core. ","")&amp;IF($T40="No","Core stops short of the reference depth, so its reference-depth stock is an underestimate. Its full-profile stock is still valid. ","")&amp;IF($L40="No","Core did not reach the mineral contact — the full-profile stock is a MINIMUM, not the whole store. ","")&amp;IF(AND(ISNUMBER($K40),$K40&lt;PEATLAND_MIN_DEPTH_CM),"Organic depth under "&amp;PEATLAND_MIN_DEPTH_CM&amp;" cm: by the guide's definition this is not peatland. Report it, but say so. ","")&amp;IF(AND(ISNUMBER($J40),$J40&lt;QC_RECOVERY_MIN),"Recovered only "&amp;TEXT($J40,"0%")&amp;" of the bore depth — the chamber probably did not fill completely. Material is missing, which is not the same as compaction. ","")&amp;IF(AND(ISNUMBER($J40),$J40&gt;1.05),"Recovered more than the bore depth — check the two measurements. ","")&amp;IF(AND(ISNUMBER($I40),$I40&gt;2),"Surface compaction of "&amp;$I40&amp;" cm: depths in this core sit shallower than in the ground, so depth-limited stock is biased. Full-profile stock is unaffected. ",""))</f>
        <v/>
      </c>
      <c r="V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8">
        <f>IF(OR($G41="",$H41="",$G41=0),"",$H41/$G41)</f>
        <v/>
      </c>
      <c r="K41" s="14" t="n"/>
      <c r="L41" s="14" t="n"/>
      <c r="M41" s="14" t="n"/>
      <c r="N41" s="14" t="n"/>
      <c r="O41" s="14" t="n"/>
      <c r="P41" s="14" t="n"/>
      <c r="Q41" s="18">
        <f>IF($A41="","",IF(SUMPRODUCT(MAX(('3. Peat Data'!$B$5:$B$604=$A41)*'3. Peat Data'!$F$5:$F$604))=0,"",SUMPRODUCT(MAX(('3. Peat Data'!$B$5:$B$604=$A41)*'3. Peat Data'!$F$5:$F$604))))</f>
        <v/>
      </c>
      <c r="R41" s="18">
        <f>IF($A41="","",IFERROR(SUMIFS('3. Peat Data'!$P$5:$P$604,'3. Peat Data'!$B$5:$B$604,$A41),""))</f>
        <v/>
      </c>
      <c r="S41" s="18">
        <f>IF($A41="","",IFERROR(SUMIFS('3. Peat Data'!$Q$5:$Q$604,'3. Peat Data'!$B$5:$B$604,$A41),""))</f>
        <v/>
      </c>
      <c r="T41" s="18">
        <f>IF(NOT(ISNUMBER($Q41)),"",IF($Q41&gt;=REFERENCE_DEPTH_CM,"Yes","No"))</f>
        <v/>
      </c>
      <c r="U41" s="18">
        <f>IF($A41="","",IF(AND($B41&lt;&gt;"",COUNTIF('1. Plot &amp; Site Log'!$A$5:$A$64,$B41)=0),"Plot ID not in Plot &amp; Site Log. ","")&amp;IF(NOT(ISNUMBER($Q41)),"No peat sections logged for this core. ","")&amp;IF($T41="No","Core stops short of the reference depth, so its reference-depth stock is an underestimate. Its full-profile stock is still valid. ","")&amp;IF($L41="No","Core did not reach the mineral contact — the full-profile stock is a MINIMUM, not the whole store. ","")&amp;IF(AND(ISNUMBER($K41),$K41&lt;PEATLAND_MIN_DEPTH_CM),"Organic depth under "&amp;PEATLAND_MIN_DEPTH_CM&amp;" cm: by the guide's definition this is not peatland. Report it, but say so. ","")&amp;IF(AND(ISNUMBER($J41),$J41&lt;QC_RECOVERY_MIN),"Recovered only "&amp;TEXT($J41,"0%")&amp;" of the bore depth — the chamber probably did not fill completely. Material is missing, which is not the same as compaction. ","")&amp;IF(AND(ISNUMBER($J41),$J41&gt;1.05),"Recovered more than the bore depth — check the two measurements. ","")&amp;IF(AND(ISNUMBER($I41),$I41&gt;2),"Surface compaction of "&amp;$I41&amp;" cm: depths in this core sit shallower than in the ground, so depth-limited stock is biased. Full-profile stock is unaffected. ",""))</f>
        <v/>
      </c>
      <c r="V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8">
        <f>IF(OR($G42="",$H42="",$G42=0),"",$H42/$G42)</f>
        <v/>
      </c>
      <c r="K42" s="14" t="n"/>
      <c r="L42" s="14" t="n"/>
      <c r="M42" s="14" t="n"/>
      <c r="N42" s="14" t="n"/>
      <c r="O42" s="14" t="n"/>
      <c r="P42" s="14" t="n"/>
      <c r="Q42" s="18">
        <f>IF($A42="","",IF(SUMPRODUCT(MAX(('3. Peat Data'!$B$5:$B$604=$A42)*'3. Peat Data'!$F$5:$F$604))=0,"",SUMPRODUCT(MAX(('3. Peat Data'!$B$5:$B$604=$A42)*'3. Peat Data'!$F$5:$F$604))))</f>
        <v/>
      </c>
      <c r="R42" s="18">
        <f>IF($A42="","",IFERROR(SUMIFS('3. Peat Data'!$P$5:$P$604,'3. Peat Data'!$B$5:$B$604,$A42),""))</f>
        <v/>
      </c>
      <c r="S42" s="18">
        <f>IF($A42="","",IFERROR(SUMIFS('3. Peat Data'!$Q$5:$Q$604,'3. Peat Data'!$B$5:$B$604,$A42),""))</f>
        <v/>
      </c>
      <c r="T42" s="18">
        <f>IF(NOT(ISNUMBER($Q42)),"",IF($Q42&gt;=REFERENCE_DEPTH_CM,"Yes","No"))</f>
        <v/>
      </c>
      <c r="U42" s="18">
        <f>IF($A42="","",IF(AND($B42&lt;&gt;"",COUNTIF('1. Plot &amp; Site Log'!$A$5:$A$64,$B42)=0),"Plot ID not in Plot &amp; Site Log. ","")&amp;IF(NOT(ISNUMBER($Q42)),"No peat sections logged for this core. ","")&amp;IF($T42="No","Core stops short of the reference depth, so its reference-depth stock is an underestimate. Its full-profile stock is still valid. ","")&amp;IF($L42="No","Core did not reach the mineral contact — the full-profile stock is a MINIMUM, not the whole store. ","")&amp;IF(AND(ISNUMBER($K42),$K42&lt;PEATLAND_MIN_DEPTH_CM),"Organic depth under "&amp;PEATLAND_MIN_DEPTH_CM&amp;" cm: by the guide's definition this is not peatland. Report it, but say so. ","")&amp;IF(AND(ISNUMBER($J42),$J42&lt;QC_RECOVERY_MIN),"Recovered only "&amp;TEXT($J42,"0%")&amp;" of the bore depth — the chamber probably did not fill completely. Material is missing, which is not the same as compaction. ","")&amp;IF(AND(ISNUMBER($J42),$J42&gt;1.05),"Recovered more than the bore depth — check the two measurements. ","")&amp;IF(AND(ISNUMBER($I42),$I42&gt;2),"Surface compaction of "&amp;$I42&amp;" cm: depths in this core sit shallower than in the ground, so depth-limited stock is biased. Full-profile stock is unaffected. ",""))</f>
        <v/>
      </c>
      <c r="V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8">
        <f>IF(OR($G43="",$H43="",$G43=0),"",$H43/$G43)</f>
        <v/>
      </c>
      <c r="K43" s="14" t="n"/>
      <c r="L43" s="14" t="n"/>
      <c r="M43" s="14" t="n"/>
      <c r="N43" s="14" t="n"/>
      <c r="O43" s="14" t="n"/>
      <c r="P43" s="14" t="n"/>
      <c r="Q43" s="18">
        <f>IF($A43="","",IF(SUMPRODUCT(MAX(('3. Peat Data'!$B$5:$B$604=$A43)*'3. Peat Data'!$F$5:$F$604))=0,"",SUMPRODUCT(MAX(('3. Peat Data'!$B$5:$B$604=$A43)*'3. Peat Data'!$F$5:$F$604))))</f>
        <v/>
      </c>
      <c r="R43" s="18">
        <f>IF($A43="","",IFERROR(SUMIFS('3. Peat Data'!$P$5:$P$604,'3. Peat Data'!$B$5:$B$604,$A43),""))</f>
        <v/>
      </c>
      <c r="S43" s="18">
        <f>IF($A43="","",IFERROR(SUMIFS('3. Peat Data'!$Q$5:$Q$604,'3. Peat Data'!$B$5:$B$604,$A43),""))</f>
        <v/>
      </c>
      <c r="T43" s="18">
        <f>IF(NOT(ISNUMBER($Q43)),"",IF($Q43&gt;=REFERENCE_DEPTH_CM,"Yes","No"))</f>
        <v/>
      </c>
      <c r="U43" s="18">
        <f>IF($A43="","",IF(AND($B43&lt;&gt;"",COUNTIF('1. Plot &amp; Site Log'!$A$5:$A$64,$B43)=0),"Plot ID not in Plot &amp; Site Log. ","")&amp;IF(NOT(ISNUMBER($Q43)),"No peat sections logged for this core. ","")&amp;IF($T43="No","Core stops short of the reference depth, so its reference-depth stock is an underestimate. Its full-profile stock is still valid. ","")&amp;IF($L43="No","Core did not reach the mineral contact — the full-profile stock is a MINIMUM, not the whole store. ","")&amp;IF(AND(ISNUMBER($K43),$K43&lt;PEATLAND_MIN_DEPTH_CM),"Organic depth under "&amp;PEATLAND_MIN_DEPTH_CM&amp;" cm: by the guide's definition this is not peatland. Report it, but say so. ","")&amp;IF(AND(ISNUMBER($J43),$J43&lt;QC_RECOVERY_MIN),"Recovered only "&amp;TEXT($J43,"0%")&amp;" of the bore depth — the chamber probably did not fill completely. Material is missing, which is not the same as compaction. ","")&amp;IF(AND(ISNUMBER($J43),$J43&gt;1.05),"Recovered more than the bore depth — check the two measurements. ","")&amp;IF(AND(ISNUMBER($I43),$I43&gt;2),"Surface compaction of "&amp;$I43&amp;" cm: depths in this core sit shallower than in the ground, so depth-limited stock is biased. Full-profile stock is unaffected. ",""))</f>
        <v/>
      </c>
      <c r="V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8">
        <f>IF(OR($G44="",$H44="",$G44=0),"",$H44/$G44)</f>
        <v/>
      </c>
      <c r="K44" s="14" t="n"/>
      <c r="L44" s="14" t="n"/>
      <c r="M44" s="14" t="n"/>
      <c r="N44" s="14" t="n"/>
      <c r="O44" s="14" t="n"/>
      <c r="P44" s="14" t="n"/>
      <c r="Q44" s="18">
        <f>IF($A44="","",IF(SUMPRODUCT(MAX(('3. Peat Data'!$B$5:$B$604=$A44)*'3. Peat Data'!$F$5:$F$604))=0,"",SUMPRODUCT(MAX(('3. Peat Data'!$B$5:$B$604=$A44)*'3. Peat Data'!$F$5:$F$604))))</f>
        <v/>
      </c>
      <c r="R44" s="18">
        <f>IF($A44="","",IFERROR(SUMIFS('3. Peat Data'!$P$5:$P$604,'3. Peat Data'!$B$5:$B$604,$A44),""))</f>
        <v/>
      </c>
      <c r="S44" s="18">
        <f>IF($A44="","",IFERROR(SUMIFS('3. Peat Data'!$Q$5:$Q$604,'3. Peat Data'!$B$5:$B$604,$A44),""))</f>
        <v/>
      </c>
      <c r="T44" s="18">
        <f>IF(NOT(ISNUMBER($Q44)),"",IF($Q44&gt;=REFERENCE_DEPTH_CM,"Yes","No"))</f>
        <v/>
      </c>
      <c r="U44" s="18">
        <f>IF($A44="","",IF(AND($B44&lt;&gt;"",COUNTIF('1. Plot &amp; Site Log'!$A$5:$A$64,$B44)=0),"Plot ID not in Plot &amp; Site Log. ","")&amp;IF(NOT(ISNUMBER($Q44)),"No peat sections logged for this core. ","")&amp;IF($T44="No","Core stops short of the reference depth, so its reference-depth stock is an underestimate. Its full-profile stock is still valid. ","")&amp;IF($L44="No","Core did not reach the mineral contact — the full-profile stock is a MINIMUM, not the whole store. ","")&amp;IF(AND(ISNUMBER($K44),$K44&lt;PEATLAND_MIN_DEPTH_CM),"Organic depth under "&amp;PEATLAND_MIN_DEPTH_CM&amp;" cm: by the guide's definition this is not peatland. Report it, but say so. ","")&amp;IF(AND(ISNUMBER($J44),$J44&lt;QC_RECOVERY_MIN),"Recovered only "&amp;TEXT($J44,"0%")&amp;" of the bore depth — the chamber probably did not fill completely. Material is missing, which is not the same as compaction. ","")&amp;IF(AND(ISNUMBER($J44),$J44&gt;1.05),"Recovered more than the bore depth — check the two measurements. ","")&amp;IF(AND(ISNUMBER($I44),$I44&gt;2),"Surface compaction of "&amp;$I44&amp;" cm: depths in this core sit shallower than in the ground, so depth-limited stock is biased. Full-profile stock is unaffected. ",""))</f>
        <v/>
      </c>
      <c r="V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8">
        <f>IF(OR($G45="",$H45="",$G45=0),"",$H45/$G45)</f>
        <v/>
      </c>
      <c r="K45" s="14" t="n"/>
      <c r="L45" s="14" t="n"/>
      <c r="M45" s="14" t="n"/>
      <c r="N45" s="14" t="n"/>
      <c r="O45" s="14" t="n"/>
      <c r="P45" s="14" t="n"/>
      <c r="Q45" s="18">
        <f>IF($A45="","",IF(SUMPRODUCT(MAX(('3. Peat Data'!$B$5:$B$604=$A45)*'3. Peat Data'!$F$5:$F$604))=0,"",SUMPRODUCT(MAX(('3. Peat Data'!$B$5:$B$604=$A45)*'3. Peat Data'!$F$5:$F$604))))</f>
        <v/>
      </c>
      <c r="R45" s="18">
        <f>IF($A45="","",IFERROR(SUMIFS('3. Peat Data'!$P$5:$P$604,'3. Peat Data'!$B$5:$B$604,$A45),""))</f>
        <v/>
      </c>
      <c r="S45" s="18">
        <f>IF($A45="","",IFERROR(SUMIFS('3. Peat Data'!$Q$5:$Q$604,'3. Peat Data'!$B$5:$B$604,$A45),""))</f>
        <v/>
      </c>
      <c r="T45" s="18">
        <f>IF(NOT(ISNUMBER($Q45)),"",IF($Q45&gt;=REFERENCE_DEPTH_CM,"Yes","No"))</f>
        <v/>
      </c>
      <c r="U45" s="18">
        <f>IF($A45="","",IF(AND($B45&lt;&gt;"",COUNTIF('1. Plot &amp; Site Log'!$A$5:$A$64,$B45)=0),"Plot ID not in Plot &amp; Site Log. ","")&amp;IF(NOT(ISNUMBER($Q45)),"No peat sections logged for this core. ","")&amp;IF($T45="No","Core stops short of the reference depth, so its reference-depth stock is an underestimate. Its full-profile stock is still valid. ","")&amp;IF($L45="No","Core did not reach the mineral contact — the full-profile stock is a MINIMUM, not the whole store. ","")&amp;IF(AND(ISNUMBER($K45),$K45&lt;PEATLAND_MIN_DEPTH_CM),"Organic depth under "&amp;PEATLAND_MIN_DEPTH_CM&amp;" cm: by the guide's definition this is not peatland. Report it, but say so. ","")&amp;IF(AND(ISNUMBER($J45),$J45&lt;QC_RECOVERY_MIN),"Recovered only "&amp;TEXT($J45,"0%")&amp;" of the bore depth — the chamber probably did not fill completely. Material is missing, which is not the same as compaction. ","")&amp;IF(AND(ISNUMBER($J45),$J45&gt;1.05),"Recovered more than the bore depth — check the two measurements. ","")&amp;IF(AND(ISNUMBER($I45),$I45&gt;2),"Surface compaction of "&amp;$I45&amp;" cm: depths in this core sit shallower than in the ground, so depth-limited stock is biased. Full-profile stock is unaffected. ",""))</f>
        <v/>
      </c>
      <c r="V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8">
        <f>IF(OR($G46="",$H46="",$G46=0),"",$H46/$G46)</f>
        <v/>
      </c>
      <c r="K46" s="14" t="n"/>
      <c r="L46" s="14" t="n"/>
      <c r="M46" s="14" t="n"/>
      <c r="N46" s="14" t="n"/>
      <c r="O46" s="14" t="n"/>
      <c r="P46" s="14" t="n"/>
      <c r="Q46" s="18">
        <f>IF($A46="","",IF(SUMPRODUCT(MAX(('3. Peat Data'!$B$5:$B$604=$A46)*'3. Peat Data'!$F$5:$F$604))=0,"",SUMPRODUCT(MAX(('3. Peat Data'!$B$5:$B$604=$A46)*'3. Peat Data'!$F$5:$F$604))))</f>
        <v/>
      </c>
      <c r="R46" s="18">
        <f>IF($A46="","",IFERROR(SUMIFS('3. Peat Data'!$P$5:$P$604,'3. Peat Data'!$B$5:$B$604,$A46),""))</f>
        <v/>
      </c>
      <c r="S46" s="18">
        <f>IF($A46="","",IFERROR(SUMIFS('3. Peat Data'!$Q$5:$Q$604,'3. Peat Data'!$B$5:$B$604,$A46),""))</f>
        <v/>
      </c>
      <c r="T46" s="18">
        <f>IF(NOT(ISNUMBER($Q46)),"",IF($Q46&gt;=REFERENCE_DEPTH_CM,"Yes","No"))</f>
        <v/>
      </c>
      <c r="U46" s="18">
        <f>IF($A46="","",IF(AND($B46&lt;&gt;"",COUNTIF('1. Plot &amp; Site Log'!$A$5:$A$64,$B46)=0),"Plot ID not in Plot &amp; Site Log. ","")&amp;IF(NOT(ISNUMBER($Q46)),"No peat sections logged for this core. ","")&amp;IF($T46="No","Core stops short of the reference depth, so its reference-depth stock is an underestimate. Its full-profile stock is still valid. ","")&amp;IF($L46="No","Core did not reach the mineral contact — the full-profile stock is a MINIMUM, not the whole store. ","")&amp;IF(AND(ISNUMBER($K46),$K46&lt;PEATLAND_MIN_DEPTH_CM),"Organic depth under "&amp;PEATLAND_MIN_DEPTH_CM&amp;" cm: by the guide's definition this is not peatland. Report it, but say so. ","")&amp;IF(AND(ISNUMBER($J46),$J46&lt;QC_RECOVERY_MIN),"Recovered only "&amp;TEXT($J46,"0%")&amp;" of the bore depth — the chamber probably did not fill completely. Material is missing, which is not the same as compaction. ","")&amp;IF(AND(ISNUMBER($J46),$J46&gt;1.05),"Recovered more than the bore depth — check the two measurements. ","")&amp;IF(AND(ISNUMBER($I46),$I46&gt;2),"Surface compaction of "&amp;$I46&amp;" cm: depths in this core sit shallower than in the ground, so depth-limited stock is biased. Full-profile stock is unaffected. ",""))</f>
        <v/>
      </c>
      <c r="V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8">
        <f>IF(OR($G47="",$H47="",$G47=0),"",$H47/$G47)</f>
        <v/>
      </c>
      <c r="K47" s="14" t="n"/>
      <c r="L47" s="14" t="n"/>
      <c r="M47" s="14" t="n"/>
      <c r="N47" s="14" t="n"/>
      <c r="O47" s="14" t="n"/>
      <c r="P47" s="14" t="n"/>
      <c r="Q47" s="18">
        <f>IF($A47="","",IF(SUMPRODUCT(MAX(('3. Peat Data'!$B$5:$B$604=$A47)*'3. Peat Data'!$F$5:$F$604))=0,"",SUMPRODUCT(MAX(('3. Peat Data'!$B$5:$B$604=$A47)*'3. Peat Data'!$F$5:$F$604))))</f>
        <v/>
      </c>
      <c r="R47" s="18">
        <f>IF($A47="","",IFERROR(SUMIFS('3. Peat Data'!$P$5:$P$604,'3. Peat Data'!$B$5:$B$604,$A47),""))</f>
        <v/>
      </c>
      <c r="S47" s="18">
        <f>IF($A47="","",IFERROR(SUMIFS('3. Peat Data'!$Q$5:$Q$604,'3. Peat Data'!$B$5:$B$604,$A47),""))</f>
        <v/>
      </c>
      <c r="T47" s="18">
        <f>IF(NOT(ISNUMBER($Q47)),"",IF($Q47&gt;=REFERENCE_DEPTH_CM,"Yes","No"))</f>
        <v/>
      </c>
      <c r="U47" s="18">
        <f>IF($A47="","",IF(AND($B47&lt;&gt;"",COUNTIF('1. Plot &amp; Site Log'!$A$5:$A$64,$B47)=0),"Plot ID not in Plot &amp; Site Log. ","")&amp;IF(NOT(ISNUMBER($Q47)),"No peat sections logged for this core. ","")&amp;IF($T47="No","Core stops short of the reference depth, so its reference-depth stock is an underestimate. Its full-profile stock is still valid. ","")&amp;IF($L47="No","Core did not reach the mineral contact — the full-profile stock is a MINIMUM, not the whole store. ","")&amp;IF(AND(ISNUMBER($K47),$K47&lt;PEATLAND_MIN_DEPTH_CM),"Organic depth under "&amp;PEATLAND_MIN_DEPTH_CM&amp;" cm: by the guide's definition this is not peatland. Report it, but say so. ","")&amp;IF(AND(ISNUMBER($J47),$J47&lt;QC_RECOVERY_MIN),"Recovered only "&amp;TEXT($J47,"0%")&amp;" of the bore depth — the chamber probably did not fill completely. Material is missing, which is not the same as compaction. ","")&amp;IF(AND(ISNUMBER($J47),$J47&gt;1.05),"Recovered more than the bore depth — check the two measurements. ","")&amp;IF(AND(ISNUMBER($I47),$I47&gt;2),"Surface compaction of "&amp;$I47&amp;" cm: depths in this core sit shallower than in the ground, so depth-limited stock is biased. Full-profile stock is unaffected. ",""))</f>
        <v/>
      </c>
      <c r="V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8">
        <f>IF(OR($G48="",$H48="",$G48=0),"",$H48/$G48)</f>
        <v/>
      </c>
      <c r="K48" s="14" t="n"/>
      <c r="L48" s="14" t="n"/>
      <c r="M48" s="14" t="n"/>
      <c r="N48" s="14" t="n"/>
      <c r="O48" s="14" t="n"/>
      <c r="P48" s="14" t="n"/>
      <c r="Q48" s="18">
        <f>IF($A48="","",IF(SUMPRODUCT(MAX(('3. Peat Data'!$B$5:$B$604=$A48)*'3. Peat Data'!$F$5:$F$604))=0,"",SUMPRODUCT(MAX(('3. Peat Data'!$B$5:$B$604=$A48)*'3. Peat Data'!$F$5:$F$604))))</f>
        <v/>
      </c>
      <c r="R48" s="18">
        <f>IF($A48="","",IFERROR(SUMIFS('3. Peat Data'!$P$5:$P$604,'3. Peat Data'!$B$5:$B$604,$A48),""))</f>
        <v/>
      </c>
      <c r="S48" s="18">
        <f>IF($A48="","",IFERROR(SUMIFS('3. Peat Data'!$Q$5:$Q$604,'3. Peat Data'!$B$5:$B$604,$A48),""))</f>
        <v/>
      </c>
      <c r="T48" s="18">
        <f>IF(NOT(ISNUMBER($Q48)),"",IF($Q48&gt;=REFERENCE_DEPTH_CM,"Yes","No"))</f>
        <v/>
      </c>
      <c r="U48" s="18">
        <f>IF($A48="","",IF(AND($B48&lt;&gt;"",COUNTIF('1. Plot &amp; Site Log'!$A$5:$A$64,$B48)=0),"Plot ID not in Plot &amp; Site Log. ","")&amp;IF(NOT(ISNUMBER($Q48)),"No peat sections logged for this core. ","")&amp;IF($T48="No","Core stops short of the reference depth, so its reference-depth stock is an underestimate. Its full-profile stock is still valid. ","")&amp;IF($L48="No","Core did not reach the mineral contact — the full-profile stock is a MINIMUM, not the whole store. ","")&amp;IF(AND(ISNUMBER($K48),$K48&lt;PEATLAND_MIN_DEPTH_CM),"Organic depth under "&amp;PEATLAND_MIN_DEPTH_CM&amp;" cm: by the guide's definition this is not peatland. Report it, but say so. ","")&amp;IF(AND(ISNUMBER($J48),$J48&lt;QC_RECOVERY_MIN),"Recovered only "&amp;TEXT($J48,"0%")&amp;" of the bore depth — the chamber probably did not fill completely. Material is missing, which is not the same as compaction. ","")&amp;IF(AND(ISNUMBER($J48),$J48&gt;1.05),"Recovered more than the bore depth — check the two measurements. ","")&amp;IF(AND(ISNUMBER($I48),$I48&gt;2),"Surface compaction of "&amp;$I48&amp;" cm: depths in this core sit shallower than in the ground, so depth-limited stock is biased. Full-profile stock is unaffected. ",""))</f>
        <v/>
      </c>
      <c r="V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8">
        <f>IF(OR($G49="",$H49="",$G49=0),"",$H49/$G49)</f>
        <v/>
      </c>
      <c r="K49" s="14" t="n"/>
      <c r="L49" s="14" t="n"/>
      <c r="M49" s="14" t="n"/>
      <c r="N49" s="14" t="n"/>
      <c r="O49" s="14" t="n"/>
      <c r="P49" s="14" t="n"/>
      <c r="Q49" s="18">
        <f>IF($A49="","",IF(SUMPRODUCT(MAX(('3. Peat Data'!$B$5:$B$604=$A49)*'3. Peat Data'!$F$5:$F$604))=0,"",SUMPRODUCT(MAX(('3. Peat Data'!$B$5:$B$604=$A49)*'3. Peat Data'!$F$5:$F$604))))</f>
        <v/>
      </c>
      <c r="R49" s="18">
        <f>IF($A49="","",IFERROR(SUMIFS('3. Peat Data'!$P$5:$P$604,'3. Peat Data'!$B$5:$B$604,$A49),""))</f>
        <v/>
      </c>
      <c r="S49" s="18">
        <f>IF($A49="","",IFERROR(SUMIFS('3. Peat Data'!$Q$5:$Q$604,'3. Peat Data'!$B$5:$B$604,$A49),""))</f>
        <v/>
      </c>
      <c r="T49" s="18">
        <f>IF(NOT(ISNUMBER($Q49)),"",IF($Q49&gt;=REFERENCE_DEPTH_CM,"Yes","No"))</f>
        <v/>
      </c>
      <c r="U49" s="18">
        <f>IF($A49="","",IF(AND($B49&lt;&gt;"",COUNTIF('1. Plot &amp; Site Log'!$A$5:$A$64,$B49)=0),"Plot ID not in Plot &amp; Site Log. ","")&amp;IF(NOT(ISNUMBER($Q49)),"No peat sections logged for this core. ","")&amp;IF($T49="No","Core stops short of the reference depth, so its reference-depth stock is an underestimate. Its full-profile stock is still valid. ","")&amp;IF($L49="No","Core did not reach the mineral contact — the full-profile stock is a MINIMUM, not the whole store. ","")&amp;IF(AND(ISNUMBER($K49),$K49&lt;PEATLAND_MIN_DEPTH_CM),"Organic depth under "&amp;PEATLAND_MIN_DEPTH_CM&amp;" cm: by the guide's definition this is not peatland. Report it, but say so. ","")&amp;IF(AND(ISNUMBER($J49),$J49&lt;QC_RECOVERY_MIN),"Recovered only "&amp;TEXT($J49,"0%")&amp;" of the bore depth — the chamber probably did not fill completely. Material is missing, which is not the same as compaction. ","")&amp;IF(AND(ISNUMBER($J49),$J49&gt;1.05),"Recovered more than the bore depth — check the two measurements. ","")&amp;IF(AND(ISNUMBER($I49),$I49&gt;2),"Surface compaction of "&amp;$I49&amp;" cm: depths in this core sit shallower than in the ground, so depth-limited stock is biased. Full-profile stock is unaffected. ",""))</f>
        <v/>
      </c>
      <c r="V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8">
        <f>IF(OR($G50="",$H50="",$G50=0),"",$H50/$G50)</f>
        <v/>
      </c>
      <c r="K50" s="14" t="n"/>
      <c r="L50" s="14" t="n"/>
      <c r="M50" s="14" t="n"/>
      <c r="N50" s="14" t="n"/>
      <c r="O50" s="14" t="n"/>
      <c r="P50" s="14" t="n"/>
      <c r="Q50" s="18">
        <f>IF($A50="","",IF(SUMPRODUCT(MAX(('3. Peat Data'!$B$5:$B$604=$A50)*'3. Peat Data'!$F$5:$F$604))=0,"",SUMPRODUCT(MAX(('3. Peat Data'!$B$5:$B$604=$A50)*'3. Peat Data'!$F$5:$F$604))))</f>
        <v/>
      </c>
      <c r="R50" s="18">
        <f>IF($A50="","",IFERROR(SUMIFS('3. Peat Data'!$P$5:$P$604,'3. Peat Data'!$B$5:$B$604,$A50),""))</f>
        <v/>
      </c>
      <c r="S50" s="18">
        <f>IF($A50="","",IFERROR(SUMIFS('3. Peat Data'!$Q$5:$Q$604,'3. Peat Data'!$B$5:$B$604,$A50),""))</f>
        <v/>
      </c>
      <c r="T50" s="18">
        <f>IF(NOT(ISNUMBER($Q50)),"",IF($Q50&gt;=REFERENCE_DEPTH_CM,"Yes","No"))</f>
        <v/>
      </c>
      <c r="U50" s="18">
        <f>IF($A50="","",IF(AND($B50&lt;&gt;"",COUNTIF('1. Plot &amp; Site Log'!$A$5:$A$64,$B50)=0),"Plot ID not in Plot &amp; Site Log. ","")&amp;IF(NOT(ISNUMBER($Q50)),"No peat sections logged for this core. ","")&amp;IF($T50="No","Core stops short of the reference depth, so its reference-depth stock is an underestimate. Its full-profile stock is still valid. ","")&amp;IF($L50="No","Core did not reach the mineral contact — the full-profile stock is a MINIMUM, not the whole store. ","")&amp;IF(AND(ISNUMBER($K50),$K50&lt;PEATLAND_MIN_DEPTH_CM),"Organic depth under "&amp;PEATLAND_MIN_DEPTH_CM&amp;" cm: by the guide's definition this is not peatland. Report it, but say so. ","")&amp;IF(AND(ISNUMBER($J50),$J50&lt;QC_RECOVERY_MIN),"Recovered only "&amp;TEXT($J50,"0%")&amp;" of the bore depth — the chamber probably did not fill completely. Material is missing, which is not the same as compaction. ","")&amp;IF(AND(ISNUMBER($J50),$J50&gt;1.05),"Recovered more than the bore depth — check the two measurements. ","")&amp;IF(AND(ISNUMBER($I50),$I50&gt;2),"Surface compaction of "&amp;$I50&amp;" cm: depths in this core sit shallower than in the ground, so depth-limited stock is biased. Full-profile stock is unaffected. ",""))</f>
        <v/>
      </c>
      <c r="V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8">
        <f>IF(OR($G51="",$H51="",$G51=0),"",$H51/$G51)</f>
        <v/>
      </c>
      <c r="K51" s="14" t="n"/>
      <c r="L51" s="14" t="n"/>
      <c r="M51" s="14" t="n"/>
      <c r="N51" s="14" t="n"/>
      <c r="O51" s="14" t="n"/>
      <c r="P51" s="14" t="n"/>
      <c r="Q51" s="18">
        <f>IF($A51="","",IF(SUMPRODUCT(MAX(('3. Peat Data'!$B$5:$B$604=$A51)*'3. Peat Data'!$F$5:$F$604))=0,"",SUMPRODUCT(MAX(('3. Peat Data'!$B$5:$B$604=$A51)*'3. Peat Data'!$F$5:$F$604))))</f>
        <v/>
      </c>
      <c r="R51" s="18">
        <f>IF($A51="","",IFERROR(SUMIFS('3. Peat Data'!$P$5:$P$604,'3. Peat Data'!$B$5:$B$604,$A51),""))</f>
        <v/>
      </c>
      <c r="S51" s="18">
        <f>IF($A51="","",IFERROR(SUMIFS('3. Peat Data'!$Q$5:$Q$604,'3. Peat Data'!$B$5:$B$604,$A51),""))</f>
        <v/>
      </c>
      <c r="T51" s="18">
        <f>IF(NOT(ISNUMBER($Q51)),"",IF($Q51&gt;=REFERENCE_DEPTH_CM,"Yes","No"))</f>
        <v/>
      </c>
      <c r="U51" s="18">
        <f>IF($A51="","",IF(AND($B51&lt;&gt;"",COUNTIF('1. Plot &amp; Site Log'!$A$5:$A$64,$B51)=0),"Plot ID not in Plot &amp; Site Log. ","")&amp;IF(NOT(ISNUMBER($Q51)),"No peat sections logged for this core. ","")&amp;IF($T51="No","Core stops short of the reference depth, so its reference-depth stock is an underestimate. Its full-profile stock is still valid. ","")&amp;IF($L51="No","Core did not reach the mineral contact — the full-profile stock is a MINIMUM, not the whole store. ","")&amp;IF(AND(ISNUMBER($K51),$K51&lt;PEATLAND_MIN_DEPTH_CM),"Organic depth under "&amp;PEATLAND_MIN_DEPTH_CM&amp;" cm: by the guide's definition this is not peatland. Report it, but say so. ","")&amp;IF(AND(ISNUMBER($J51),$J51&lt;QC_RECOVERY_MIN),"Recovered only "&amp;TEXT($J51,"0%")&amp;" of the bore depth — the chamber probably did not fill completely. Material is missing, which is not the same as compaction. ","")&amp;IF(AND(ISNUMBER($J51),$J51&gt;1.05),"Recovered more than the bore depth — check the two measurements. ","")&amp;IF(AND(ISNUMBER($I51),$I51&gt;2),"Surface compaction of "&amp;$I51&amp;" cm: depths in this core sit shallower than in the ground, so depth-limited stock is biased. Full-profile stock is unaffected. ",""))</f>
        <v/>
      </c>
      <c r="V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8">
        <f>IF(OR($G52="",$H52="",$G52=0),"",$H52/$G52)</f>
        <v/>
      </c>
      <c r="K52" s="14" t="n"/>
      <c r="L52" s="14" t="n"/>
      <c r="M52" s="14" t="n"/>
      <c r="N52" s="14" t="n"/>
      <c r="O52" s="14" t="n"/>
      <c r="P52" s="14" t="n"/>
      <c r="Q52" s="18">
        <f>IF($A52="","",IF(SUMPRODUCT(MAX(('3. Peat Data'!$B$5:$B$604=$A52)*'3. Peat Data'!$F$5:$F$604))=0,"",SUMPRODUCT(MAX(('3. Peat Data'!$B$5:$B$604=$A52)*'3. Peat Data'!$F$5:$F$604))))</f>
        <v/>
      </c>
      <c r="R52" s="18">
        <f>IF($A52="","",IFERROR(SUMIFS('3. Peat Data'!$P$5:$P$604,'3. Peat Data'!$B$5:$B$604,$A52),""))</f>
        <v/>
      </c>
      <c r="S52" s="18">
        <f>IF($A52="","",IFERROR(SUMIFS('3. Peat Data'!$Q$5:$Q$604,'3. Peat Data'!$B$5:$B$604,$A52),""))</f>
        <v/>
      </c>
      <c r="T52" s="18">
        <f>IF(NOT(ISNUMBER($Q52)),"",IF($Q52&gt;=REFERENCE_DEPTH_CM,"Yes","No"))</f>
        <v/>
      </c>
      <c r="U52" s="18">
        <f>IF($A52="","",IF(AND($B52&lt;&gt;"",COUNTIF('1. Plot &amp; Site Log'!$A$5:$A$64,$B52)=0),"Plot ID not in Plot &amp; Site Log. ","")&amp;IF(NOT(ISNUMBER($Q52)),"No peat sections logged for this core. ","")&amp;IF($T52="No","Core stops short of the reference depth, so its reference-depth stock is an underestimate. Its full-profile stock is still valid. ","")&amp;IF($L52="No","Core did not reach the mineral contact — the full-profile stock is a MINIMUM, not the whole store. ","")&amp;IF(AND(ISNUMBER($K52),$K52&lt;PEATLAND_MIN_DEPTH_CM),"Organic depth under "&amp;PEATLAND_MIN_DEPTH_CM&amp;" cm: by the guide's definition this is not peatland. Report it, but say so. ","")&amp;IF(AND(ISNUMBER($J52),$J52&lt;QC_RECOVERY_MIN),"Recovered only "&amp;TEXT($J52,"0%")&amp;" of the bore depth — the chamber probably did not fill completely. Material is missing, which is not the same as compaction. ","")&amp;IF(AND(ISNUMBER($J52),$J52&gt;1.05),"Recovered more than the bore depth — check the two measurements. ","")&amp;IF(AND(ISNUMBER($I52),$I52&gt;2),"Surface compaction of "&amp;$I52&amp;" cm: depths in this core sit shallower than in the ground, so depth-limited stock is biased. Full-profile stock is unaffected. ",""))</f>
        <v/>
      </c>
      <c r="V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8">
        <f>IF(OR($G53="",$H53="",$G53=0),"",$H53/$G53)</f>
        <v/>
      </c>
      <c r="K53" s="14" t="n"/>
      <c r="L53" s="14" t="n"/>
      <c r="M53" s="14" t="n"/>
      <c r="N53" s="14" t="n"/>
      <c r="O53" s="14" t="n"/>
      <c r="P53" s="14" t="n"/>
      <c r="Q53" s="18">
        <f>IF($A53="","",IF(SUMPRODUCT(MAX(('3. Peat Data'!$B$5:$B$604=$A53)*'3. Peat Data'!$F$5:$F$604))=0,"",SUMPRODUCT(MAX(('3. Peat Data'!$B$5:$B$604=$A53)*'3. Peat Data'!$F$5:$F$604))))</f>
        <v/>
      </c>
      <c r="R53" s="18">
        <f>IF($A53="","",IFERROR(SUMIFS('3. Peat Data'!$P$5:$P$604,'3. Peat Data'!$B$5:$B$604,$A53),""))</f>
        <v/>
      </c>
      <c r="S53" s="18">
        <f>IF($A53="","",IFERROR(SUMIFS('3. Peat Data'!$Q$5:$Q$604,'3. Peat Data'!$B$5:$B$604,$A53),""))</f>
        <v/>
      </c>
      <c r="T53" s="18">
        <f>IF(NOT(ISNUMBER($Q53)),"",IF($Q53&gt;=REFERENCE_DEPTH_CM,"Yes","No"))</f>
        <v/>
      </c>
      <c r="U53" s="18">
        <f>IF($A53="","",IF(AND($B53&lt;&gt;"",COUNTIF('1. Plot &amp; Site Log'!$A$5:$A$64,$B53)=0),"Plot ID not in Plot &amp; Site Log. ","")&amp;IF(NOT(ISNUMBER($Q53)),"No peat sections logged for this core. ","")&amp;IF($T53="No","Core stops short of the reference depth, so its reference-depth stock is an underestimate. Its full-profile stock is still valid. ","")&amp;IF($L53="No","Core did not reach the mineral contact — the full-profile stock is a MINIMUM, not the whole store. ","")&amp;IF(AND(ISNUMBER($K53),$K53&lt;PEATLAND_MIN_DEPTH_CM),"Organic depth under "&amp;PEATLAND_MIN_DEPTH_CM&amp;" cm: by the guide's definition this is not peatland. Report it, but say so. ","")&amp;IF(AND(ISNUMBER($J53),$J53&lt;QC_RECOVERY_MIN),"Recovered only "&amp;TEXT($J53,"0%")&amp;" of the bore depth — the chamber probably did not fill completely. Material is missing, which is not the same as compaction. ","")&amp;IF(AND(ISNUMBER($J53),$J53&gt;1.05),"Recovered more than the bore depth — check the two measurements. ","")&amp;IF(AND(ISNUMBER($I53),$I53&gt;2),"Surface compaction of "&amp;$I53&amp;" cm: depths in this core sit shallower than in the ground, so depth-limited stock is biased. Full-profile stock is unaffected. ",""))</f>
        <v/>
      </c>
      <c r="V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8">
        <f>IF(OR($G54="",$H54="",$G54=0),"",$H54/$G54)</f>
        <v/>
      </c>
      <c r="K54" s="14" t="n"/>
      <c r="L54" s="14" t="n"/>
      <c r="M54" s="14" t="n"/>
      <c r="N54" s="14" t="n"/>
      <c r="O54" s="14" t="n"/>
      <c r="P54" s="14" t="n"/>
      <c r="Q54" s="18">
        <f>IF($A54="","",IF(SUMPRODUCT(MAX(('3. Peat Data'!$B$5:$B$604=$A54)*'3. Peat Data'!$F$5:$F$604))=0,"",SUMPRODUCT(MAX(('3. Peat Data'!$B$5:$B$604=$A54)*'3. Peat Data'!$F$5:$F$604))))</f>
        <v/>
      </c>
      <c r="R54" s="18">
        <f>IF($A54="","",IFERROR(SUMIFS('3. Peat Data'!$P$5:$P$604,'3. Peat Data'!$B$5:$B$604,$A54),""))</f>
        <v/>
      </c>
      <c r="S54" s="18">
        <f>IF($A54="","",IFERROR(SUMIFS('3. Peat Data'!$Q$5:$Q$604,'3. Peat Data'!$B$5:$B$604,$A54),""))</f>
        <v/>
      </c>
      <c r="T54" s="18">
        <f>IF(NOT(ISNUMBER($Q54)),"",IF($Q54&gt;=REFERENCE_DEPTH_CM,"Yes","No"))</f>
        <v/>
      </c>
      <c r="U54" s="18">
        <f>IF($A54="","",IF(AND($B54&lt;&gt;"",COUNTIF('1. Plot &amp; Site Log'!$A$5:$A$64,$B54)=0),"Plot ID not in Plot &amp; Site Log. ","")&amp;IF(NOT(ISNUMBER($Q54)),"No peat sections logged for this core. ","")&amp;IF($T54="No","Core stops short of the reference depth, so its reference-depth stock is an underestimate. Its full-profile stock is still valid. ","")&amp;IF($L54="No","Core did not reach the mineral contact — the full-profile stock is a MINIMUM, not the whole store. ","")&amp;IF(AND(ISNUMBER($K54),$K54&lt;PEATLAND_MIN_DEPTH_CM),"Organic depth under "&amp;PEATLAND_MIN_DEPTH_CM&amp;" cm: by the guide's definition this is not peatland. Report it, but say so. ","")&amp;IF(AND(ISNUMBER($J54),$J54&lt;QC_RECOVERY_MIN),"Recovered only "&amp;TEXT($J54,"0%")&amp;" of the bore depth — the chamber probably did not fill completely. Material is missing, which is not the same as compaction. ","")&amp;IF(AND(ISNUMBER($J54),$J54&gt;1.05),"Recovered more than the bore depth — check the two measurements. ","")&amp;IF(AND(ISNUMBER($I54),$I54&gt;2),"Surface compaction of "&amp;$I54&amp;" cm: depths in this core sit shallower than in the ground, so depth-limited stock is biased. Full-profile stock is unaffected. ",""))</f>
        <v/>
      </c>
      <c r="V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8">
        <f>IF(OR($G55="",$H55="",$G55=0),"",$H55/$G55)</f>
        <v/>
      </c>
      <c r="K55" s="14" t="n"/>
      <c r="L55" s="14" t="n"/>
      <c r="M55" s="14" t="n"/>
      <c r="N55" s="14" t="n"/>
      <c r="O55" s="14" t="n"/>
      <c r="P55" s="14" t="n"/>
      <c r="Q55" s="18">
        <f>IF($A55="","",IF(SUMPRODUCT(MAX(('3. Peat Data'!$B$5:$B$604=$A55)*'3. Peat Data'!$F$5:$F$604))=0,"",SUMPRODUCT(MAX(('3. Peat Data'!$B$5:$B$604=$A55)*'3. Peat Data'!$F$5:$F$604))))</f>
        <v/>
      </c>
      <c r="R55" s="18">
        <f>IF($A55="","",IFERROR(SUMIFS('3. Peat Data'!$P$5:$P$604,'3. Peat Data'!$B$5:$B$604,$A55),""))</f>
        <v/>
      </c>
      <c r="S55" s="18">
        <f>IF($A55="","",IFERROR(SUMIFS('3. Peat Data'!$Q$5:$Q$604,'3. Peat Data'!$B$5:$B$604,$A55),""))</f>
        <v/>
      </c>
      <c r="T55" s="18">
        <f>IF(NOT(ISNUMBER($Q55)),"",IF($Q55&gt;=REFERENCE_DEPTH_CM,"Yes","No"))</f>
        <v/>
      </c>
      <c r="U55" s="18">
        <f>IF($A55="","",IF(AND($B55&lt;&gt;"",COUNTIF('1. Plot &amp; Site Log'!$A$5:$A$64,$B55)=0),"Plot ID not in Plot &amp; Site Log. ","")&amp;IF(NOT(ISNUMBER($Q55)),"No peat sections logged for this core. ","")&amp;IF($T55="No","Core stops short of the reference depth, so its reference-depth stock is an underestimate. Its full-profile stock is still valid. ","")&amp;IF($L55="No","Core did not reach the mineral contact — the full-profile stock is a MINIMUM, not the whole store. ","")&amp;IF(AND(ISNUMBER($K55),$K55&lt;PEATLAND_MIN_DEPTH_CM),"Organic depth under "&amp;PEATLAND_MIN_DEPTH_CM&amp;" cm: by the guide's definition this is not peatland. Report it, but say so. ","")&amp;IF(AND(ISNUMBER($J55),$J55&lt;QC_RECOVERY_MIN),"Recovered only "&amp;TEXT($J55,"0%")&amp;" of the bore depth — the chamber probably did not fill completely. Material is missing, which is not the same as compaction. ","")&amp;IF(AND(ISNUMBER($J55),$J55&gt;1.05),"Recovered more than the bore depth — check the two measurements. ","")&amp;IF(AND(ISNUMBER($I55),$I55&gt;2),"Surface compaction of "&amp;$I55&amp;" cm: depths in this core sit shallower than in the ground, so depth-limited stock is biased. Full-profile stock is unaffected. ",""))</f>
        <v/>
      </c>
      <c r="V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8">
        <f>IF(OR($G56="",$H56="",$G56=0),"",$H56/$G56)</f>
        <v/>
      </c>
      <c r="K56" s="14" t="n"/>
      <c r="L56" s="14" t="n"/>
      <c r="M56" s="14" t="n"/>
      <c r="N56" s="14" t="n"/>
      <c r="O56" s="14" t="n"/>
      <c r="P56" s="14" t="n"/>
      <c r="Q56" s="18">
        <f>IF($A56="","",IF(SUMPRODUCT(MAX(('3. Peat Data'!$B$5:$B$604=$A56)*'3. Peat Data'!$F$5:$F$604))=0,"",SUMPRODUCT(MAX(('3. Peat Data'!$B$5:$B$604=$A56)*'3. Peat Data'!$F$5:$F$604))))</f>
        <v/>
      </c>
      <c r="R56" s="18">
        <f>IF($A56="","",IFERROR(SUMIFS('3. Peat Data'!$P$5:$P$604,'3. Peat Data'!$B$5:$B$604,$A56),""))</f>
        <v/>
      </c>
      <c r="S56" s="18">
        <f>IF($A56="","",IFERROR(SUMIFS('3. Peat Data'!$Q$5:$Q$604,'3. Peat Data'!$B$5:$B$604,$A56),""))</f>
        <v/>
      </c>
      <c r="T56" s="18">
        <f>IF(NOT(ISNUMBER($Q56)),"",IF($Q56&gt;=REFERENCE_DEPTH_CM,"Yes","No"))</f>
        <v/>
      </c>
      <c r="U56" s="18">
        <f>IF($A56="","",IF(AND($B56&lt;&gt;"",COUNTIF('1. Plot &amp; Site Log'!$A$5:$A$64,$B56)=0),"Plot ID not in Plot &amp; Site Log. ","")&amp;IF(NOT(ISNUMBER($Q56)),"No peat sections logged for this core. ","")&amp;IF($T56="No","Core stops short of the reference depth, so its reference-depth stock is an underestimate. Its full-profile stock is still valid. ","")&amp;IF($L56="No","Core did not reach the mineral contact — the full-profile stock is a MINIMUM, not the whole store. ","")&amp;IF(AND(ISNUMBER($K56),$K56&lt;PEATLAND_MIN_DEPTH_CM),"Organic depth under "&amp;PEATLAND_MIN_DEPTH_CM&amp;" cm: by the guide's definition this is not peatland. Report it, but say so. ","")&amp;IF(AND(ISNUMBER($J56),$J56&lt;QC_RECOVERY_MIN),"Recovered only "&amp;TEXT($J56,"0%")&amp;" of the bore depth — the chamber probably did not fill completely. Material is missing, which is not the same as compaction. ","")&amp;IF(AND(ISNUMBER($J56),$J56&gt;1.05),"Recovered more than the bore depth — check the two measurements. ","")&amp;IF(AND(ISNUMBER($I56),$I56&gt;2),"Surface compaction of "&amp;$I56&amp;" cm: depths in this core sit shallower than in the ground, so depth-limited stock is biased. Full-profile stock is unaffected. ",""))</f>
        <v/>
      </c>
      <c r="V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8">
        <f>IF(OR($G57="",$H57="",$G57=0),"",$H57/$G57)</f>
        <v/>
      </c>
      <c r="K57" s="14" t="n"/>
      <c r="L57" s="14" t="n"/>
      <c r="M57" s="14" t="n"/>
      <c r="N57" s="14" t="n"/>
      <c r="O57" s="14" t="n"/>
      <c r="P57" s="14" t="n"/>
      <c r="Q57" s="18">
        <f>IF($A57="","",IF(SUMPRODUCT(MAX(('3. Peat Data'!$B$5:$B$604=$A57)*'3. Peat Data'!$F$5:$F$604))=0,"",SUMPRODUCT(MAX(('3. Peat Data'!$B$5:$B$604=$A57)*'3. Peat Data'!$F$5:$F$604))))</f>
        <v/>
      </c>
      <c r="R57" s="18">
        <f>IF($A57="","",IFERROR(SUMIFS('3. Peat Data'!$P$5:$P$604,'3. Peat Data'!$B$5:$B$604,$A57),""))</f>
        <v/>
      </c>
      <c r="S57" s="18">
        <f>IF($A57="","",IFERROR(SUMIFS('3. Peat Data'!$Q$5:$Q$604,'3. Peat Data'!$B$5:$B$604,$A57),""))</f>
        <v/>
      </c>
      <c r="T57" s="18">
        <f>IF(NOT(ISNUMBER($Q57)),"",IF($Q57&gt;=REFERENCE_DEPTH_CM,"Yes","No"))</f>
        <v/>
      </c>
      <c r="U57" s="18">
        <f>IF($A57="","",IF(AND($B57&lt;&gt;"",COUNTIF('1. Plot &amp; Site Log'!$A$5:$A$64,$B57)=0),"Plot ID not in Plot &amp; Site Log. ","")&amp;IF(NOT(ISNUMBER($Q57)),"No peat sections logged for this core. ","")&amp;IF($T57="No","Core stops short of the reference depth, so its reference-depth stock is an underestimate. Its full-profile stock is still valid. ","")&amp;IF($L57="No","Core did not reach the mineral contact — the full-profile stock is a MINIMUM, not the whole store. ","")&amp;IF(AND(ISNUMBER($K57),$K57&lt;PEATLAND_MIN_DEPTH_CM),"Organic depth under "&amp;PEATLAND_MIN_DEPTH_CM&amp;" cm: by the guide's definition this is not peatland. Report it, but say so. ","")&amp;IF(AND(ISNUMBER($J57),$J57&lt;QC_RECOVERY_MIN),"Recovered only "&amp;TEXT($J57,"0%")&amp;" of the bore depth — the chamber probably did not fill completely. Material is missing, which is not the same as compaction. ","")&amp;IF(AND(ISNUMBER($J57),$J57&gt;1.05),"Recovered more than the bore depth — check the two measurements. ","")&amp;IF(AND(ISNUMBER($I57),$I57&gt;2),"Surface compaction of "&amp;$I57&amp;" cm: depths in this core sit shallower than in the ground, so depth-limited stock is biased. Full-profile stock is unaffected. ",""))</f>
        <v/>
      </c>
      <c r="V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8">
        <f>IF(OR($G58="",$H58="",$G58=0),"",$H58/$G58)</f>
        <v/>
      </c>
      <c r="K58" s="14" t="n"/>
      <c r="L58" s="14" t="n"/>
      <c r="M58" s="14" t="n"/>
      <c r="N58" s="14" t="n"/>
      <c r="O58" s="14" t="n"/>
      <c r="P58" s="14" t="n"/>
      <c r="Q58" s="18">
        <f>IF($A58="","",IF(SUMPRODUCT(MAX(('3. Peat Data'!$B$5:$B$604=$A58)*'3. Peat Data'!$F$5:$F$604))=0,"",SUMPRODUCT(MAX(('3. Peat Data'!$B$5:$B$604=$A58)*'3. Peat Data'!$F$5:$F$604))))</f>
        <v/>
      </c>
      <c r="R58" s="18">
        <f>IF($A58="","",IFERROR(SUMIFS('3. Peat Data'!$P$5:$P$604,'3. Peat Data'!$B$5:$B$604,$A58),""))</f>
        <v/>
      </c>
      <c r="S58" s="18">
        <f>IF($A58="","",IFERROR(SUMIFS('3. Peat Data'!$Q$5:$Q$604,'3. Peat Data'!$B$5:$B$604,$A58),""))</f>
        <v/>
      </c>
      <c r="T58" s="18">
        <f>IF(NOT(ISNUMBER($Q58)),"",IF($Q58&gt;=REFERENCE_DEPTH_CM,"Yes","No"))</f>
        <v/>
      </c>
      <c r="U58" s="18">
        <f>IF($A58="","",IF(AND($B58&lt;&gt;"",COUNTIF('1. Plot &amp; Site Log'!$A$5:$A$64,$B58)=0),"Plot ID not in Plot &amp; Site Log. ","")&amp;IF(NOT(ISNUMBER($Q58)),"No peat sections logged for this core. ","")&amp;IF($T58="No","Core stops short of the reference depth, so its reference-depth stock is an underestimate. Its full-profile stock is still valid. ","")&amp;IF($L58="No","Core did not reach the mineral contact — the full-profile stock is a MINIMUM, not the whole store. ","")&amp;IF(AND(ISNUMBER($K58),$K58&lt;PEATLAND_MIN_DEPTH_CM),"Organic depth under "&amp;PEATLAND_MIN_DEPTH_CM&amp;" cm: by the guide's definition this is not peatland. Report it, but say so. ","")&amp;IF(AND(ISNUMBER($J58),$J58&lt;QC_RECOVERY_MIN),"Recovered only "&amp;TEXT($J58,"0%")&amp;" of the bore depth — the chamber probably did not fill completely. Material is missing, which is not the same as compaction. ","")&amp;IF(AND(ISNUMBER($J58),$J58&gt;1.05),"Recovered more than the bore depth — check the two measurements. ","")&amp;IF(AND(ISNUMBER($I58),$I58&gt;2),"Surface compaction of "&amp;$I58&amp;" cm: depths in this core sit shallower than in the ground, so depth-limited stock is biased. Full-profile stock is unaffected. ",""))</f>
        <v/>
      </c>
      <c r="V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8">
        <f>IF(OR($G59="",$H59="",$G59=0),"",$H59/$G59)</f>
        <v/>
      </c>
      <c r="K59" s="14" t="n"/>
      <c r="L59" s="14" t="n"/>
      <c r="M59" s="14" t="n"/>
      <c r="N59" s="14" t="n"/>
      <c r="O59" s="14" t="n"/>
      <c r="P59" s="14" t="n"/>
      <c r="Q59" s="18">
        <f>IF($A59="","",IF(SUMPRODUCT(MAX(('3. Peat Data'!$B$5:$B$604=$A59)*'3. Peat Data'!$F$5:$F$604))=0,"",SUMPRODUCT(MAX(('3. Peat Data'!$B$5:$B$604=$A59)*'3. Peat Data'!$F$5:$F$604))))</f>
        <v/>
      </c>
      <c r="R59" s="18">
        <f>IF($A59="","",IFERROR(SUMIFS('3. Peat Data'!$P$5:$P$604,'3. Peat Data'!$B$5:$B$604,$A59),""))</f>
        <v/>
      </c>
      <c r="S59" s="18">
        <f>IF($A59="","",IFERROR(SUMIFS('3. Peat Data'!$Q$5:$Q$604,'3. Peat Data'!$B$5:$B$604,$A59),""))</f>
        <v/>
      </c>
      <c r="T59" s="18">
        <f>IF(NOT(ISNUMBER($Q59)),"",IF($Q59&gt;=REFERENCE_DEPTH_CM,"Yes","No"))</f>
        <v/>
      </c>
      <c r="U59" s="18">
        <f>IF($A59="","",IF(AND($B59&lt;&gt;"",COUNTIF('1. Plot &amp; Site Log'!$A$5:$A$64,$B59)=0),"Plot ID not in Plot &amp; Site Log. ","")&amp;IF(NOT(ISNUMBER($Q59)),"No peat sections logged for this core. ","")&amp;IF($T59="No","Core stops short of the reference depth, so its reference-depth stock is an underestimate. Its full-profile stock is still valid. ","")&amp;IF($L59="No","Core did not reach the mineral contact — the full-profile stock is a MINIMUM, not the whole store. ","")&amp;IF(AND(ISNUMBER($K59),$K59&lt;PEATLAND_MIN_DEPTH_CM),"Organic depth under "&amp;PEATLAND_MIN_DEPTH_CM&amp;" cm: by the guide's definition this is not peatland. Report it, but say so. ","")&amp;IF(AND(ISNUMBER($J59),$J59&lt;QC_RECOVERY_MIN),"Recovered only "&amp;TEXT($J59,"0%")&amp;" of the bore depth — the chamber probably did not fill completely. Material is missing, which is not the same as compaction. ","")&amp;IF(AND(ISNUMBER($J59),$J59&gt;1.05),"Recovered more than the bore depth — check the two measurements. ","")&amp;IF(AND(ISNUMBER($I59),$I59&gt;2),"Surface compaction of "&amp;$I59&amp;" cm: depths in this core sit shallower than in the ground, so depth-limited stock is biased. Full-profile stock is unaffected. ",""))</f>
        <v/>
      </c>
      <c r="V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8">
        <f>IF(OR($G60="",$H60="",$G60=0),"",$H60/$G60)</f>
        <v/>
      </c>
      <c r="K60" s="14" t="n"/>
      <c r="L60" s="14" t="n"/>
      <c r="M60" s="14" t="n"/>
      <c r="N60" s="14" t="n"/>
      <c r="O60" s="14" t="n"/>
      <c r="P60" s="14" t="n"/>
      <c r="Q60" s="18">
        <f>IF($A60="","",IF(SUMPRODUCT(MAX(('3. Peat Data'!$B$5:$B$604=$A60)*'3. Peat Data'!$F$5:$F$604))=0,"",SUMPRODUCT(MAX(('3. Peat Data'!$B$5:$B$604=$A60)*'3. Peat Data'!$F$5:$F$604))))</f>
        <v/>
      </c>
      <c r="R60" s="18">
        <f>IF($A60="","",IFERROR(SUMIFS('3. Peat Data'!$P$5:$P$604,'3. Peat Data'!$B$5:$B$604,$A60),""))</f>
        <v/>
      </c>
      <c r="S60" s="18">
        <f>IF($A60="","",IFERROR(SUMIFS('3. Peat Data'!$Q$5:$Q$604,'3. Peat Data'!$B$5:$B$604,$A60),""))</f>
        <v/>
      </c>
      <c r="T60" s="18">
        <f>IF(NOT(ISNUMBER($Q60)),"",IF($Q60&gt;=REFERENCE_DEPTH_CM,"Yes","No"))</f>
        <v/>
      </c>
      <c r="U60" s="18">
        <f>IF($A60="","",IF(AND($B60&lt;&gt;"",COUNTIF('1. Plot &amp; Site Log'!$A$5:$A$64,$B60)=0),"Plot ID not in Plot &amp; Site Log. ","")&amp;IF(NOT(ISNUMBER($Q60)),"No peat sections logged for this core. ","")&amp;IF($T60="No","Core stops short of the reference depth, so its reference-depth stock is an underestimate. Its full-profile stock is still valid. ","")&amp;IF($L60="No","Core did not reach the mineral contact — the full-profile stock is a MINIMUM, not the whole store. ","")&amp;IF(AND(ISNUMBER($K60),$K60&lt;PEATLAND_MIN_DEPTH_CM),"Organic depth under "&amp;PEATLAND_MIN_DEPTH_CM&amp;" cm: by the guide's definition this is not peatland. Report it, but say so. ","")&amp;IF(AND(ISNUMBER($J60),$J60&lt;QC_RECOVERY_MIN),"Recovered only "&amp;TEXT($J60,"0%")&amp;" of the bore depth — the chamber probably did not fill completely. Material is missing, which is not the same as compaction. ","")&amp;IF(AND(ISNUMBER($J60),$J60&gt;1.05),"Recovered more than the bore depth — check the two measurements. ","")&amp;IF(AND(ISNUMBER($I60),$I60&gt;2),"Surface compaction of "&amp;$I60&amp;" cm: depths in this core sit shallower than in the ground, so depth-limited stock is biased. Full-profile stock is unaffected. ",""))</f>
        <v/>
      </c>
      <c r="V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8">
        <f>IF(OR($G61="",$H61="",$G61=0),"",$H61/$G61)</f>
        <v/>
      </c>
      <c r="K61" s="14" t="n"/>
      <c r="L61" s="14" t="n"/>
      <c r="M61" s="14" t="n"/>
      <c r="N61" s="14" t="n"/>
      <c r="O61" s="14" t="n"/>
      <c r="P61" s="14" t="n"/>
      <c r="Q61" s="18">
        <f>IF($A61="","",IF(SUMPRODUCT(MAX(('3. Peat Data'!$B$5:$B$604=$A61)*'3. Peat Data'!$F$5:$F$604))=0,"",SUMPRODUCT(MAX(('3. Peat Data'!$B$5:$B$604=$A61)*'3. Peat Data'!$F$5:$F$604))))</f>
        <v/>
      </c>
      <c r="R61" s="18">
        <f>IF($A61="","",IFERROR(SUMIFS('3. Peat Data'!$P$5:$P$604,'3. Peat Data'!$B$5:$B$604,$A61),""))</f>
        <v/>
      </c>
      <c r="S61" s="18">
        <f>IF($A61="","",IFERROR(SUMIFS('3. Peat Data'!$Q$5:$Q$604,'3. Peat Data'!$B$5:$B$604,$A61),""))</f>
        <v/>
      </c>
      <c r="T61" s="18">
        <f>IF(NOT(ISNUMBER($Q61)),"",IF($Q61&gt;=REFERENCE_DEPTH_CM,"Yes","No"))</f>
        <v/>
      </c>
      <c r="U61" s="18">
        <f>IF($A61="","",IF(AND($B61&lt;&gt;"",COUNTIF('1. Plot &amp; Site Log'!$A$5:$A$64,$B61)=0),"Plot ID not in Plot &amp; Site Log. ","")&amp;IF(NOT(ISNUMBER($Q61)),"No peat sections logged for this core. ","")&amp;IF($T61="No","Core stops short of the reference depth, so its reference-depth stock is an underestimate. Its full-profile stock is still valid. ","")&amp;IF($L61="No","Core did not reach the mineral contact — the full-profile stock is a MINIMUM, not the whole store. ","")&amp;IF(AND(ISNUMBER($K61),$K61&lt;PEATLAND_MIN_DEPTH_CM),"Organic depth under "&amp;PEATLAND_MIN_DEPTH_CM&amp;" cm: by the guide's definition this is not peatland. Report it, but say so. ","")&amp;IF(AND(ISNUMBER($J61),$J61&lt;QC_RECOVERY_MIN),"Recovered only "&amp;TEXT($J61,"0%")&amp;" of the bore depth — the chamber probably did not fill completely. Material is missing, which is not the same as compaction. ","")&amp;IF(AND(ISNUMBER($J61),$J61&gt;1.05),"Recovered more than the bore depth — check the two measurements. ","")&amp;IF(AND(ISNUMBER($I61),$I61&gt;2),"Surface compaction of "&amp;$I61&amp;" cm: depths in this core sit shallower than in the ground, so depth-limited stock is biased. Full-profile stock is unaffected. ",""))</f>
        <v/>
      </c>
      <c r="V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8">
        <f>IF(OR($G62="",$H62="",$G62=0),"",$H62/$G62)</f>
        <v/>
      </c>
      <c r="K62" s="14" t="n"/>
      <c r="L62" s="14" t="n"/>
      <c r="M62" s="14" t="n"/>
      <c r="N62" s="14" t="n"/>
      <c r="O62" s="14" t="n"/>
      <c r="P62" s="14" t="n"/>
      <c r="Q62" s="18">
        <f>IF($A62="","",IF(SUMPRODUCT(MAX(('3. Peat Data'!$B$5:$B$604=$A62)*'3. Peat Data'!$F$5:$F$604))=0,"",SUMPRODUCT(MAX(('3. Peat Data'!$B$5:$B$604=$A62)*'3. Peat Data'!$F$5:$F$604))))</f>
        <v/>
      </c>
      <c r="R62" s="18">
        <f>IF($A62="","",IFERROR(SUMIFS('3. Peat Data'!$P$5:$P$604,'3. Peat Data'!$B$5:$B$604,$A62),""))</f>
        <v/>
      </c>
      <c r="S62" s="18">
        <f>IF($A62="","",IFERROR(SUMIFS('3. Peat Data'!$Q$5:$Q$604,'3. Peat Data'!$B$5:$B$604,$A62),""))</f>
        <v/>
      </c>
      <c r="T62" s="18">
        <f>IF(NOT(ISNUMBER($Q62)),"",IF($Q62&gt;=REFERENCE_DEPTH_CM,"Yes","No"))</f>
        <v/>
      </c>
      <c r="U62" s="18">
        <f>IF($A62="","",IF(AND($B62&lt;&gt;"",COUNTIF('1. Plot &amp; Site Log'!$A$5:$A$64,$B62)=0),"Plot ID not in Plot &amp; Site Log. ","")&amp;IF(NOT(ISNUMBER($Q62)),"No peat sections logged for this core. ","")&amp;IF($T62="No","Core stops short of the reference depth, so its reference-depth stock is an underestimate. Its full-profile stock is still valid. ","")&amp;IF($L62="No","Core did not reach the mineral contact — the full-profile stock is a MINIMUM, not the whole store. ","")&amp;IF(AND(ISNUMBER($K62),$K62&lt;PEATLAND_MIN_DEPTH_CM),"Organic depth under "&amp;PEATLAND_MIN_DEPTH_CM&amp;" cm: by the guide's definition this is not peatland. Report it, but say so. ","")&amp;IF(AND(ISNUMBER($J62),$J62&lt;QC_RECOVERY_MIN),"Recovered only "&amp;TEXT($J62,"0%")&amp;" of the bore depth — the chamber probably did not fill completely. Material is missing, which is not the same as compaction. ","")&amp;IF(AND(ISNUMBER($J62),$J62&gt;1.05),"Recovered more than the bore depth — check the two measurements. ","")&amp;IF(AND(ISNUMBER($I62),$I62&gt;2),"Surface compaction of "&amp;$I62&amp;" cm: depths in this core sit shallower than in the ground, so depth-limited stock is biased. Full-profile stock is unaffected. ",""))</f>
        <v/>
      </c>
      <c r="V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8">
        <f>IF(OR($G63="",$H63="",$G63=0),"",$H63/$G63)</f>
        <v/>
      </c>
      <c r="K63" s="14" t="n"/>
      <c r="L63" s="14" t="n"/>
      <c r="M63" s="14" t="n"/>
      <c r="N63" s="14" t="n"/>
      <c r="O63" s="14" t="n"/>
      <c r="P63" s="14" t="n"/>
      <c r="Q63" s="18">
        <f>IF($A63="","",IF(SUMPRODUCT(MAX(('3. Peat Data'!$B$5:$B$604=$A63)*'3. Peat Data'!$F$5:$F$604))=0,"",SUMPRODUCT(MAX(('3. Peat Data'!$B$5:$B$604=$A63)*'3. Peat Data'!$F$5:$F$604))))</f>
        <v/>
      </c>
      <c r="R63" s="18">
        <f>IF($A63="","",IFERROR(SUMIFS('3. Peat Data'!$P$5:$P$604,'3. Peat Data'!$B$5:$B$604,$A63),""))</f>
        <v/>
      </c>
      <c r="S63" s="18">
        <f>IF($A63="","",IFERROR(SUMIFS('3. Peat Data'!$Q$5:$Q$604,'3. Peat Data'!$B$5:$B$604,$A63),""))</f>
        <v/>
      </c>
      <c r="T63" s="18">
        <f>IF(NOT(ISNUMBER($Q63)),"",IF($Q63&gt;=REFERENCE_DEPTH_CM,"Yes","No"))</f>
        <v/>
      </c>
      <c r="U63" s="18">
        <f>IF($A63="","",IF(AND($B63&lt;&gt;"",COUNTIF('1. Plot &amp; Site Log'!$A$5:$A$64,$B63)=0),"Plot ID not in Plot &amp; Site Log. ","")&amp;IF(NOT(ISNUMBER($Q63)),"No peat sections logged for this core. ","")&amp;IF($T63="No","Core stops short of the reference depth, so its reference-depth stock is an underestimate. Its full-profile stock is still valid. ","")&amp;IF($L63="No","Core did not reach the mineral contact — the full-profile stock is a MINIMUM, not the whole store. ","")&amp;IF(AND(ISNUMBER($K63),$K63&lt;PEATLAND_MIN_DEPTH_CM),"Organic depth under "&amp;PEATLAND_MIN_DEPTH_CM&amp;" cm: by the guide's definition this is not peatland. Report it, but say so. ","")&amp;IF(AND(ISNUMBER($J63),$J63&lt;QC_RECOVERY_MIN),"Recovered only "&amp;TEXT($J63,"0%")&amp;" of the bore depth — the chamber probably did not fill completely. Material is missing, which is not the same as compaction. ","")&amp;IF(AND(ISNUMBER($J63),$J63&gt;1.05),"Recovered more than the bore depth — check the two measurements. ","")&amp;IF(AND(ISNUMBER($I63),$I63&gt;2),"Surface compaction of "&amp;$I63&amp;" cm: depths in this core sit shallower than in the ground, so depth-limited stock is biased. Full-profile stock is unaffected. ",""))</f>
        <v/>
      </c>
      <c r="V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8">
        <f>IF(OR($G64="",$H64="",$G64=0),"",$H64/$G64)</f>
        <v/>
      </c>
      <c r="K64" s="14" t="n"/>
      <c r="L64" s="14" t="n"/>
      <c r="M64" s="14" t="n"/>
      <c r="N64" s="14" t="n"/>
      <c r="O64" s="14" t="n"/>
      <c r="P64" s="14" t="n"/>
      <c r="Q64" s="18">
        <f>IF($A64="","",IF(SUMPRODUCT(MAX(('3. Peat Data'!$B$5:$B$604=$A64)*'3. Peat Data'!$F$5:$F$604))=0,"",SUMPRODUCT(MAX(('3. Peat Data'!$B$5:$B$604=$A64)*'3. Peat Data'!$F$5:$F$604))))</f>
        <v/>
      </c>
      <c r="R64" s="18">
        <f>IF($A64="","",IFERROR(SUMIFS('3. Peat Data'!$P$5:$P$604,'3. Peat Data'!$B$5:$B$604,$A64),""))</f>
        <v/>
      </c>
      <c r="S64" s="18">
        <f>IF($A64="","",IFERROR(SUMIFS('3. Peat Data'!$Q$5:$Q$604,'3. Peat Data'!$B$5:$B$604,$A64),""))</f>
        <v/>
      </c>
      <c r="T64" s="18">
        <f>IF(NOT(ISNUMBER($Q64)),"",IF($Q64&gt;=REFERENCE_DEPTH_CM,"Yes","No"))</f>
        <v/>
      </c>
      <c r="U64" s="18">
        <f>IF($A64="","",IF(AND($B64&lt;&gt;"",COUNTIF('1. Plot &amp; Site Log'!$A$5:$A$64,$B64)=0),"Plot ID not in Plot &amp; Site Log. ","")&amp;IF(NOT(ISNUMBER($Q64)),"No peat sections logged for this core. ","")&amp;IF($T64="No","Core stops short of the reference depth, so its reference-depth stock is an underestimate. Its full-profile stock is still valid. ","")&amp;IF($L64="No","Core did not reach the mineral contact — the full-profile stock is a MINIMUM, not the whole store. ","")&amp;IF(AND(ISNUMBER($K64),$K64&lt;PEATLAND_MIN_DEPTH_CM),"Organic depth under "&amp;PEATLAND_MIN_DEPTH_CM&amp;" cm: by the guide's definition this is not peatland. Report it, but say so. ","")&amp;IF(AND(ISNUMBER($J64),$J64&lt;QC_RECOVERY_MIN),"Recovered only "&amp;TEXT($J64,"0%")&amp;" of the bore depth — the chamber probably did not fill completely. Material is missing, which is not the same as compaction. ","")&amp;IF(AND(ISNUMBER($J64),$J64&gt;1.05),"Recovered more than the bore depth — check the two measurements. ","")&amp;IF(AND(ISNUMBER($I64),$I64&gt;2),"Surface compaction of "&amp;$I64&amp;" cm: depths in this core sit shallower than in the ground, so depth-limited stock is biased. Full-profile stock is unaffected. ",""))</f>
        <v/>
      </c>
      <c r="V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8">
        <f>IF(OR($G65="",$H65="",$G65=0),"",$H65/$G65)</f>
        <v/>
      </c>
      <c r="K65" s="14" t="n"/>
      <c r="L65" s="14" t="n"/>
      <c r="M65" s="14" t="n"/>
      <c r="N65" s="14" t="n"/>
      <c r="O65" s="14" t="n"/>
      <c r="P65" s="14" t="n"/>
      <c r="Q65" s="18">
        <f>IF($A65="","",IF(SUMPRODUCT(MAX(('3. Peat Data'!$B$5:$B$604=$A65)*'3. Peat Data'!$F$5:$F$604))=0,"",SUMPRODUCT(MAX(('3. Peat Data'!$B$5:$B$604=$A65)*'3. Peat Data'!$F$5:$F$604))))</f>
        <v/>
      </c>
      <c r="R65" s="18">
        <f>IF($A65="","",IFERROR(SUMIFS('3. Peat Data'!$P$5:$P$604,'3. Peat Data'!$B$5:$B$604,$A65),""))</f>
        <v/>
      </c>
      <c r="S65" s="18">
        <f>IF($A65="","",IFERROR(SUMIFS('3. Peat Data'!$Q$5:$Q$604,'3. Peat Data'!$B$5:$B$604,$A65),""))</f>
        <v/>
      </c>
      <c r="T65" s="18">
        <f>IF(NOT(ISNUMBER($Q65)),"",IF($Q65&gt;=REFERENCE_DEPTH_CM,"Yes","No"))</f>
        <v/>
      </c>
      <c r="U65" s="18">
        <f>IF($A65="","",IF(AND($B65&lt;&gt;"",COUNTIF('1. Plot &amp; Site Log'!$A$5:$A$64,$B65)=0),"Plot ID not in Plot &amp; Site Log. ","")&amp;IF(NOT(ISNUMBER($Q65)),"No peat sections logged for this core. ","")&amp;IF($T65="No","Core stops short of the reference depth, so its reference-depth stock is an underestimate. Its full-profile stock is still valid. ","")&amp;IF($L65="No","Core did not reach the mineral contact — the full-profile stock is a MINIMUM, not the whole store. ","")&amp;IF(AND(ISNUMBER($K65),$K65&lt;PEATLAND_MIN_DEPTH_CM),"Organic depth under "&amp;PEATLAND_MIN_DEPTH_CM&amp;" cm: by the guide's definition this is not peatland. Report it, but say so. ","")&amp;IF(AND(ISNUMBER($J65),$J65&lt;QC_RECOVERY_MIN),"Recovered only "&amp;TEXT($J65,"0%")&amp;" of the bore depth — the chamber probably did not fill completely. Material is missing, which is not the same as compaction. ","")&amp;IF(AND(ISNUMBER($J65),$J65&gt;1.05),"Recovered more than the bore depth — check the two measurements. ","")&amp;IF(AND(ISNUMBER($I65),$I65&gt;2),"Surface compaction of "&amp;$I65&amp;" cm: depths in this core sit shallower than in the ground, so depth-limited stock is biased. Full-profile stock is unaffected. ",""))</f>
        <v/>
      </c>
      <c r="V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8">
        <f>IF(OR($G66="",$H66="",$G66=0),"",$H66/$G66)</f>
        <v/>
      </c>
      <c r="K66" s="14" t="n"/>
      <c r="L66" s="14" t="n"/>
      <c r="M66" s="14" t="n"/>
      <c r="N66" s="14" t="n"/>
      <c r="O66" s="14" t="n"/>
      <c r="P66" s="14" t="n"/>
      <c r="Q66" s="18">
        <f>IF($A66="","",IF(SUMPRODUCT(MAX(('3. Peat Data'!$B$5:$B$604=$A66)*'3. Peat Data'!$F$5:$F$604))=0,"",SUMPRODUCT(MAX(('3. Peat Data'!$B$5:$B$604=$A66)*'3. Peat Data'!$F$5:$F$604))))</f>
        <v/>
      </c>
      <c r="R66" s="18">
        <f>IF($A66="","",IFERROR(SUMIFS('3. Peat Data'!$P$5:$P$604,'3. Peat Data'!$B$5:$B$604,$A66),""))</f>
        <v/>
      </c>
      <c r="S66" s="18">
        <f>IF($A66="","",IFERROR(SUMIFS('3. Peat Data'!$Q$5:$Q$604,'3. Peat Data'!$B$5:$B$604,$A66),""))</f>
        <v/>
      </c>
      <c r="T66" s="18">
        <f>IF(NOT(ISNUMBER($Q66)),"",IF($Q66&gt;=REFERENCE_DEPTH_CM,"Yes","No"))</f>
        <v/>
      </c>
      <c r="U66" s="18">
        <f>IF($A66="","",IF(AND($B66&lt;&gt;"",COUNTIF('1. Plot &amp; Site Log'!$A$5:$A$64,$B66)=0),"Plot ID not in Plot &amp; Site Log. ","")&amp;IF(NOT(ISNUMBER($Q66)),"No peat sections logged for this core. ","")&amp;IF($T66="No","Core stops short of the reference depth, so its reference-depth stock is an underestimate. Its full-profile stock is still valid. ","")&amp;IF($L66="No","Core did not reach the mineral contact — the full-profile stock is a MINIMUM, not the whole store. ","")&amp;IF(AND(ISNUMBER($K66),$K66&lt;PEATLAND_MIN_DEPTH_CM),"Organic depth under "&amp;PEATLAND_MIN_DEPTH_CM&amp;" cm: by the guide's definition this is not peatland. Report it, but say so. ","")&amp;IF(AND(ISNUMBER($J66),$J66&lt;QC_RECOVERY_MIN),"Recovered only "&amp;TEXT($J66,"0%")&amp;" of the bore depth — the chamber probably did not fill completely. Material is missing, which is not the same as compaction. ","")&amp;IF(AND(ISNUMBER($J66),$J66&gt;1.05),"Recovered more than the bore depth — check the two measurements. ","")&amp;IF(AND(ISNUMBER($I66),$I66&gt;2),"Surface compaction of "&amp;$I66&amp;" cm: depths in this core sit shallower than in the ground, so depth-limited stock is biased. Full-profile stock is unaffected. ",""))</f>
        <v/>
      </c>
      <c r="V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8">
        <f>IF(OR($G67="",$H67="",$G67=0),"",$H67/$G67)</f>
        <v/>
      </c>
      <c r="K67" s="14" t="n"/>
      <c r="L67" s="14" t="n"/>
      <c r="M67" s="14" t="n"/>
      <c r="N67" s="14" t="n"/>
      <c r="O67" s="14" t="n"/>
      <c r="P67" s="14" t="n"/>
      <c r="Q67" s="18">
        <f>IF($A67="","",IF(SUMPRODUCT(MAX(('3. Peat Data'!$B$5:$B$604=$A67)*'3. Peat Data'!$F$5:$F$604))=0,"",SUMPRODUCT(MAX(('3. Peat Data'!$B$5:$B$604=$A67)*'3. Peat Data'!$F$5:$F$604))))</f>
        <v/>
      </c>
      <c r="R67" s="18">
        <f>IF($A67="","",IFERROR(SUMIFS('3. Peat Data'!$P$5:$P$604,'3. Peat Data'!$B$5:$B$604,$A67),""))</f>
        <v/>
      </c>
      <c r="S67" s="18">
        <f>IF($A67="","",IFERROR(SUMIFS('3. Peat Data'!$Q$5:$Q$604,'3. Peat Data'!$B$5:$B$604,$A67),""))</f>
        <v/>
      </c>
      <c r="T67" s="18">
        <f>IF(NOT(ISNUMBER($Q67)),"",IF($Q67&gt;=REFERENCE_DEPTH_CM,"Yes","No"))</f>
        <v/>
      </c>
      <c r="U67" s="18">
        <f>IF($A67="","",IF(AND($B67&lt;&gt;"",COUNTIF('1. Plot &amp; Site Log'!$A$5:$A$64,$B67)=0),"Plot ID not in Plot &amp; Site Log. ","")&amp;IF(NOT(ISNUMBER($Q67)),"No peat sections logged for this core. ","")&amp;IF($T67="No","Core stops short of the reference depth, so its reference-depth stock is an underestimate. Its full-profile stock is still valid. ","")&amp;IF($L67="No","Core did not reach the mineral contact — the full-profile stock is a MINIMUM, not the whole store. ","")&amp;IF(AND(ISNUMBER($K67),$K67&lt;PEATLAND_MIN_DEPTH_CM),"Organic depth under "&amp;PEATLAND_MIN_DEPTH_CM&amp;" cm: by the guide's definition this is not peatland. Report it, but say so. ","")&amp;IF(AND(ISNUMBER($J67),$J67&lt;QC_RECOVERY_MIN),"Recovered only "&amp;TEXT($J67,"0%")&amp;" of the bore depth — the chamber probably did not fill completely. Material is missing, which is not the same as compaction. ","")&amp;IF(AND(ISNUMBER($J67),$J67&gt;1.05),"Recovered more than the bore depth — check the two measurements. ","")&amp;IF(AND(ISNUMBER($I67),$I67&gt;2),"Surface compaction of "&amp;$I67&amp;" cm: depths in this core sit shallower than in the ground, so depth-limited stock is biased. Full-profile stock is unaffected. ",""))</f>
        <v/>
      </c>
      <c r="V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8">
        <f>IF(OR($G68="",$H68="",$G68=0),"",$H68/$G68)</f>
        <v/>
      </c>
      <c r="K68" s="14" t="n"/>
      <c r="L68" s="14" t="n"/>
      <c r="M68" s="14" t="n"/>
      <c r="N68" s="14" t="n"/>
      <c r="O68" s="14" t="n"/>
      <c r="P68" s="14" t="n"/>
      <c r="Q68" s="18">
        <f>IF($A68="","",IF(SUMPRODUCT(MAX(('3. Peat Data'!$B$5:$B$604=$A68)*'3. Peat Data'!$F$5:$F$604))=0,"",SUMPRODUCT(MAX(('3. Peat Data'!$B$5:$B$604=$A68)*'3. Peat Data'!$F$5:$F$604))))</f>
        <v/>
      </c>
      <c r="R68" s="18">
        <f>IF($A68="","",IFERROR(SUMIFS('3. Peat Data'!$P$5:$P$604,'3. Peat Data'!$B$5:$B$604,$A68),""))</f>
        <v/>
      </c>
      <c r="S68" s="18">
        <f>IF($A68="","",IFERROR(SUMIFS('3. Peat Data'!$Q$5:$Q$604,'3. Peat Data'!$B$5:$B$604,$A68),""))</f>
        <v/>
      </c>
      <c r="T68" s="18">
        <f>IF(NOT(ISNUMBER($Q68)),"",IF($Q68&gt;=REFERENCE_DEPTH_CM,"Yes","No"))</f>
        <v/>
      </c>
      <c r="U68" s="18">
        <f>IF($A68="","",IF(AND($B68&lt;&gt;"",COUNTIF('1. Plot &amp; Site Log'!$A$5:$A$64,$B68)=0),"Plot ID not in Plot &amp; Site Log. ","")&amp;IF(NOT(ISNUMBER($Q68)),"No peat sections logged for this core. ","")&amp;IF($T68="No","Core stops short of the reference depth, so its reference-depth stock is an underestimate. Its full-profile stock is still valid. ","")&amp;IF($L68="No","Core did not reach the mineral contact — the full-profile stock is a MINIMUM, not the whole store. ","")&amp;IF(AND(ISNUMBER($K68),$K68&lt;PEATLAND_MIN_DEPTH_CM),"Organic depth under "&amp;PEATLAND_MIN_DEPTH_CM&amp;" cm: by the guide's definition this is not peatland. Report it, but say so. ","")&amp;IF(AND(ISNUMBER($J68),$J68&lt;QC_RECOVERY_MIN),"Recovered only "&amp;TEXT($J68,"0%")&amp;" of the bore depth — the chamber probably did not fill completely. Material is missing, which is not the same as compaction. ","")&amp;IF(AND(ISNUMBER($J68),$J68&gt;1.05),"Recovered more than the bore depth — check the two measurements. ","")&amp;IF(AND(ISNUMBER($I68),$I68&gt;2),"Surface compaction of "&amp;$I68&amp;" cm: depths in this core sit shallower than in the ground, so depth-limited stock is biased. Full-profile stock is unaffected. ",""))</f>
        <v/>
      </c>
      <c r="V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8">
        <f>IF(OR($G69="",$H69="",$G69=0),"",$H69/$G69)</f>
        <v/>
      </c>
      <c r="K69" s="14" t="n"/>
      <c r="L69" s="14" t="n"/>
      <c r="M69" s="14" t="n"/>
      <c r="N69" s="14" t="n"/>
      <c r="O69" s="14" t="n"/>
      <c r="P69" s="14" t="n"/>
      <c r="Q69" s="18">
        <f>IF($A69="","",IF(SUMPRODUCT(MAX(('3. Peat Data'!$B$5:$B$604=$A69)*'3. Peat Data'!$F$5:$F$604))=0,"",SUMPRODUCT(MAX(('3. Peat Data'!$B$5:$B$604=$A69)*'3. Peat Data'!$F$5:$F$604))))</f>
        <v/>
      </c>
      <c r="R69" s="18">
        <f>IF($A69="","",IFERROR(SUMIFS('3. Peat Data'!$P$5:$P$604,'3. Peat Data'!$B$5:$B$604,$A69),""))</f>
        <v/>
      </c>
      <c r="S69" s="18">
        <f>IF($A69="","",IFERROR(SUMIFS('3. Peat Data'!$Q$5:$Q$604,'3. Peat Data'!$B$5:$B$604,$A69),""))</f>
        <v/>
      </c>
      <c r="T69" s="18">
        <f>IF(NOT(ISNUMBER($Q69)),"",IF($Q69&gt;=REFERENCE_DEPTH_CM,"Yes","No"))</f>
        <v/>
      </c>
      <c r="U69" s="18">
        <f>IF($A69="","",IF(AND($B69&lt;&gt;"",COUNTIF('1. Plot &amp; Site Log'!$A$5:$A$64,$B69)=0),"Plot ID not in Plot &amp; Site Log. ","")&amp;IF(NOT(ISNUMBER($Q69)),"No peat sections logged for this core. ","")&amp;IF($T69="No","Core stops short of the reference depth, so its reference-depth stock is an underestimate. Its full-profile stock is still valid. ","")&amp;IF($L69="No","Core did not reach the mineral contact — the full-profile stock is a MINIMUM, not the whole store. ","")&amp;IF(AND(ISNUMBER($K69),$K69&lt;PEATLAND_MIN_DEPTH_CM),"Organic depth under "&amp;PEATLAND_MIN_DEPTH_CM&amp;" cm: by the guide's definition this is not peatland. Report it, but say so. ","")&amp;IF(AND(ISNUMBER($J69),$J69&lt;QC_RECOVERY_MIN),"Recovered only "&amp;TEXT($J69,"0%")&amp;" of the bore depth — the chamber probably did not fill completely. Material is missing, which is not the same as compaction. ","")&amp;IF(AND(ISNUMBER($J69),$J69&gt;1.05),"Recovered more than the bore depth — check the two measurements. ","")&amp;IF(AND(ISNUMBER($I69),$I69&gt;2),"Surface compaction of "&amp;$I69&amp;" cm: depths in this core sit shallower than in the ground, so depth-limited stock is biased. Full-profile stock is unaffected. ",""))</f>
        <v/>
      </c>
      <c r="V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8">
        <f>IF(OR($G70="",$H70="",$G70=0),"",$H70/$G70)</f>
        <v/>
      </c>
      <c r="K70" s="14" t="n"/>
      <c r="L70" s="14" t="n"/>
      <c r="M70" s="14" t="n"/>
      <c r="N70" s="14" t="n"/>
      <c r="O70" s="14" t="n"/>
      <c r="P70" s="14" t="n"/>
      <c r="Q70" s="18">
        <f>IF($A70="","",IF(SUMPRODUCT(MAX(('3. Peat Data'!$B$5:$B$604=$A70)*'3. Peat Data'!$F$5:$F$604))=0,"",SUMPRODUCT(MAX(('3. Peat Data'!$B$5:$B$604=$A70)*'3. Peat Data'!$F$5:$F$604))))</f>
        <v/>
      </c>
      <c r="R70" s="18">
        <f>IF($A70="","",IFERROR(SUMIFS('3. Peat Data'!$P$5:$P$604,'3. Peat Data'!$B$5:$B$604,$A70),""))</f>
        <v/>
      </c>
      <c r="S70" s="18">
        <f>IF($A70="","",IFERROR(SUMIFS('3. Peat Data'!$Q$5:$Q$604,'3. Peat Data'!$B$5:$B$604,$A70),""))</f>
        <v/>
      </c>
      <c r="T70" s="18">
        <f>IF(NOT(ISNUMBER($Q70)),"",IF($Q70&gt;=REFERENCE_DEPTH_CM,"Yes","No"))</f>
        <v/>
      </c>
      <c r="U70" s="18">
        <f>IF($A70="","",IF(AND($B70&lt;&gt;"",COUNTIF('1. Plot &amp; Site Log'!$A$5:$A$64,$B70)=0),"Plot ID not in Plot &amp; Site Log. ","")&amp;IF(NOT(ISNUMBER($Q70)),"No peat sections logged for this core. ","")&amp;IF($T70="No","Core stops short of the reference depth, so its reference-depth stock is an underestimate. Its full-profile stock is still valid. ","")&amp;IF($L70="No","Core did not reach the mineral contact — the full-profile stock is a MINIMUM, not the whole store. ","")&amp;IF(AND(ISNUMBER($K70),$K70&lt;PEATLAND_MIN_DEPTH_CM),"Organic depth under "&amp;PEATLAND_MIN_DEPTH_CM&amp;" cm: by the guide's definition this is not peatland. Report it, but say so. ","")&amp;IF(AND(ISNUMBER($J70),$J70&lt;QC_RECOVERY_MIN),"Recovered only "&amp;TEXT($J70,"0%")&amp;" of the bore depth — the chamber probably did not fill completely. Material is missing, which is not the same as compaction. ","")&amp;IF(AND(ISNUMBER($J70),$J70&gt;1.05),"Recovered more than the bore depth — check the two measurements. ","")&amp;IF(AND(ISNUMBER($I70),$I70&gt;2),"Surface compaction of "&amp;$I70&amp;" cm: depths in this core sit shallower than in the ground, so depth-limited stock is biased. Full-profile stock is unaffected. ",""))</f>
        <v/>
      </c>
      <c r="V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8">
        <f>IF(OR($G71="",$H71="",$G71=0),"",$H71/$G71)</f>
        <v/>
      </c>
      <c r="K71" s="14" t="n"/>
      <c r="L71" s="14" t="n"/>
      <c r="M71" s="14" t="n"/>
      <c r="N71" s="14" t="n"/>
      <c r="O71" s="14" t="n"/>
      <c r="P71" s="14" t="n"/>
      <c r="Q71" s="18">
        <f>IF($A71="","",IF(SUMPRODUCT(MAX(('3. Peat Data'!$B$5:$B$604=$A71)*'3. Peat Data'!$F$5:$F$604))=0,"",SUMPRODUCT(MAX(('3. Peat Data'!$B$5:$B$604=$A71)*'3. Peat Data'!$F$5:$F$604))))</f>
        <v/>
      </c>
      <c r="R71" s="18">
        <f>IF($A71="","",IFERROR(SUMIFS('3. Peat Data'!$P$5:$P$604,'3. Peat Data'!$B$5:$B$604,$A71),""))</f>
        <v/>
      </c>
      <c r="S71" s="18">
        <f>IF($A71="","",IFERROR(SUMIFS('3. Peat Data'!$Q$5:$Q$604,'3. Peat Data'!$B$5:$B$604,$A71),""))</f>
        <v/>
      </c>
      <c r="T71" s="18">
        <f>IF(NOT(ISNUMBER($Q71)),"",IF($Q71&gt;=REFERENCE_DEPTH_CM,"Yes","No"))</f>
        <v/>
      </c>
      <c r="U71" s="18">
        <f>IF($A71="","",IF(AND($B71&lt;&gt;"",COUNTIF('1. Plot &amp; Site Log'!$A$5:$A$64,$B71)=0),"Plot ID not in Plot &amp; Site Log. ","")&amp;IF(NOT(ISNUMBER($Q71)),"No peat sections logged for this core. ","")&amp;IF($T71="No","Core stops short of the reference depth, so its reference-depth stock is an underestimate. Its full-profile stock is still valid. ","")&amp;IF($L71="No","Core did not reach the mineral contact — the full-profile stock is a MINIMUM, not the whole store. ","")&amp;IF(AND(ISNUMBER($K71),$K71&lt;PEATLAND_MIN_DEPTH_CM),"Organic depth under "&amp;PEATLAND_MIN_DEPTH_CM&amp;" cm: by the guide's definition this is not peatland. Report it, but say so. ","")&amp;IF(AND(ISNUMBER($J71),$J71&lt;QC_RECOVERY_MIN),"Recovered only "&amp;TEXT($J71,"0%")&amp;" of the bore depth — the chamber probably did not fill completely. Material is missing, which is not the same as compaction. ","")&amp;IF(AND(ISNUMBER($J71),$J71&gt;1.05),"Recovered more than the bore depth — check the two measurements. ","")&amp;IF(AND(ISNUMBER($I71),$I71&gt;2),"Surface compaction of "&amp;$I71&amp;" cm: depths in this core sit shallower than in the ground, so depth-limited stock is biased. Full-profile stock is unaffected. ",""))</f>
        <v/>
      </c>
      <c r="V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8">
        <f>IF(OR($G72="",$H72="",$G72=0),"",$H72/$G72)</f>
        <v/>
      </c>
      <c r="K72" s="14" t="n"/>
      <c r="L72" s="14" t="n"/>
      <c r="M72" s="14" t="n"/>
      <c r="N72" s="14" t="n"/>
      <c r="O72" s="14" t="n"/>
      <c r="P72" s="14" t="n"/>
      <c r="Q72" s="18">
        <f>IF($A72="","",IF(SUMPRODUCT(MAX(('3. Peat Data'!$B$5:$B$604=$A72)*'3. Peat Data'!$F$5:$F$604))=0,"",SUMPRODUCT(MAX(('3. Peat Data'!$B$5:$B$604=$A72)*'3. Peat Data'!$F$5:$F$604))))</f>
        <v/>
      </c>
      <c r="R72" s="18">
        <f>IF($A72="","",IFERROR(SUMIFS('3. Peat Data'!$P$5:$P$604,'3. Peat Data'!$B$5:$B$604,$A72),""))</f>
        <v/>
      </c>
      <c r="S72" s="18">
        <f>IF($A72="","",IFERROR(SUMIFS('3. Peat Data'!$Q$5:$Q$604,'3. Peat Data'!$B$5:$B$604,$A72),""))</f>
        <v/>
      </c>
      <c r="T72" s="18">
        <f>IF(NOT(ISNUMBER($Q72)),"",IF($Q72&gt;=REFERENCE_DEPTH_CM,"Yes","No"))</f>
        <v/>
      </c>
      <c r="U72" s="18">
        <f>IF($A72="","",IF(AND($B72&lt;&gt;"",COUNTIF('1. Plot &amp; Site Log'!$A$5:$A$64,$B72)=0),"Plot ID not in Plot &amp; Site Log. ","")&amp;IF(NOT(ISNUMBER($Q72)),"No peat sections logged for this core. ","")&amp;IF($T72="No","Core stops short of the reference depth, so its reference-depth stock is an underestimate. Its full-profile stock is still valid. ","")&amp;IF($L72="No","Core did not reach the mineral contact — the full-profile stock is a MINIMUM, not the whole store. ","")&amp;IF(AND(ISNUMBER($K72),$K72&lt;PEATLAND_MIN_DEPTH_CM),"Organic depth under "&amp;PEATLAND_MIN_DEPTH_CM&amp;" cm: by the guide's definition this is not peatland. Report it, but say so. ","")&amp;IF(AND(ISNUMBER($J72),$J72&lt;QC_RECOVERY_MIN),"Recovered only "&amp;TEXT($J72,"0%")&amp;" of the bore depth — the chamber probably did not fill completely. Material is missing, which is not the same as compaction. ","")&amp;IF(AND(ISNUMBER($J72),$J72&gt;1.05),"Recovered more than the bore depth — check the two measurements. ","")&amp;IF(AND(ISNUMBER($I72),$I72&gt;2),"Surface compaction of "&amp;$I72&amp;" cm: depths in this core sit shallower than in the ground, so depth-limited stock is biased. Full-profile stock is unaffected. ",""))</f>
        <v/>
      </c>
      <c r="V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8">
        <f>IF(OR($G73="",$H73="",$G73=0),"",$H73/$G73)</f>
        <v/>
      </c>
      <c r="K73" s="14" t="n"/>
      <c r="L73" s="14" t="n"/>
      <c r="M73" s="14" t="n"/>
      <c r="N73" s="14" t="n"/>
      <c r="O73" s="14" t="n"/>
      <c r="P73" s="14" t="n"/>
      <c r="Q73" s="18">
        <f>IF($A73="","",IF(SUMPRODUCT(MAX(('3. Peat Data'!$B$5:$B$604=$A73)*'3. Peat Data'!$F$5:$F$604))=0,"",SUMPRODUCT(MAX(('3. Peat Data'!$B$5:$B$604=$A73)*'3. Peat Data'!$F$5:$F$604))))</f>
        <v/>
      </c>
      <c r="R73" s="18">
        <f>IF($A73="","",IFERROR(SUMIFS('3. Peat Data'!$P$5:$P$604,'3. Peat Data'!$B$5:$B$604,$A73),""))</f>
        <v/>
      </c>
      <c r="S73" s="18">
        <f>IF($A73="","",IFERROR(SUMIFS('3. Peat Data'!$Q$5:$Q$604,'3. Peat Data'!$B$5:$B$604,$A73),""))</f>
        <v/>
      </c>
      <c r="T73" s="18">
        <f>IF(NOT(ISNUMBER($Q73)),"",IF($Q73&gt;=REFERENCE_DEPTH_CM,"Yes","No"))</f>
        <v/>
      </c>
      <c r="U73" s="18">
        <f>IF($A73="","",IF(AND($B73&lt;&gt;"",COUNTIF('1. Plot &amp; Site Log'!$A$5:$A$64,$B73)=0),"Plot ID not in Plot &amp; Site Log. ","")&amp;IF(NOT(ISNUMBER($Q73)),"No peat sections logged for this core. ","")&amp;IF($T73="No","Core stops short of the reference depth, so its reference-depth stock is an underestimate. Its full-profile stock is still valid. ","")&amp;IF($L73="No","Core did not reach the mineral contact — the full-profile stock is a MINIMUM, not the whole store. ","")&amp;IF(AND(ISNUMBER($K73),$K73&lt;PEATLAND_MIN_DEPTH_CM),"Organic depth under "&amp;PEATLAND_MIN_DEPTH_CM&amp;" cm: by the guide's definition this is not peatland. Report it, but say so. ","")&amp;IF(AND(ISNUMBER($J73),$J73&lt;QC_RECOVERY_MIN),"Recovered only "&amp;TEXT($J73,"0%")&amp;" of the bore depth — the chamber probably did not fill completely. Material is missing, which is not the same as compaction. ","")&amp;IF(AND(ISNUMBER($J73),$J73&gt;1.05),"Recovered more than the bore depth — check the two measurements. ","")&amp;IF(AND(ISNUMBER($I73),$I73&gt;2),"Surface compaction of "&amp;$I73&amp;" cm: depths in this core sit shallower than in the ground, so depth-limited stock is biased. Full-profile stock is unaffected. ",""))</f>
        <v/>
      </c>
      <c r="V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8">
        <f>IF(OR($G74="",$H74="",$G74=0),"",$H74/$G74)</f>
        <v/>
      </c>
      <c r="K74" s="14" t="n"/>
      <c r="L74" s="14" t="n"/>
      <c r="M74" s="14" t="n"/>
      <c r="N74" s="14" t="n"/>
      <c r="O74" s="14" t="n"/>
      <c r="P74" s="14" t="n"/>
      <c r="Q74" s="18">
        <f>IF($A74="","",IF(SUMPRODUCT(MAX(('3. Peat Data'!$B$5:$B$604=$A74)*'3. Peat Data'!$F$5:$F$604))=0,"",SUMPRODUCT(MAX(('3. Peat Data'!$B$5:$B$604=$A74)*'3. Peat Data'!$F$5:$F$604))))</f>
        <v/>
      </c>
      <c r="R74" s="18">
        <f>IF($A74="","",IFERROR(SUMIFS('3. Peat Data'!$P$5:$P$604,'3. Peat Data'!$B$5:$B$604,$A74),""))</f>
        <v/>
      </c>
      <c r="S74" s="18">
        <f>IF($A74="","",IFERROR(SUMIFS('3. Peat Data'!$Q$5:$Q$604,'3. Peat Data'!$B$5:$B$604,$A74),""))</f>
        <v/>
      </c>
      <c r="T74" s="18">
        <f>IF(NOT(ISNUMBER($Q74)),"",IF($Q74&gt;=REFERENCE_DEPTH_CM,"Yes","No"))</f>
        <v/>
      </c>
      <c r="U74" s="18">
        <f>IF($A74="","",IF(AND($B74&lt;&gt;"",COUNTIF('1. Plot &amp; Site Log'!$A$5:$A$64,$B74)=0),"Plot ID not in Plot &amp; Site Log. ","")&amp;IF(NOT(ISNUMBER($Q74)),"No peat sections logged for this core. ","")&amp;IF($T74="No","Core stops short of the reference depth, so its reference-depth stock is an underestimate. Its full-profile stock is still valid. ","")&amp;IF($L74="No","Core did not reach the mineral contact — the full-profile stock is a MINIMUM, not the whole store. ","")&amp;IF(AND(ISNUMBER($K74),$K74&lt;PEATLAND_MIN_DEPTH_CM),"Organic depth under "&amp;PEATLAND_MIN_DEPTH_CM&amp;" cm: by the guide's definition this is not peatland. Report it, but say so. ","")&amp;IF(AND(ISNUMBER($J74),$J74&lt;QC_RECOVERY_MIN),"Recovered only "&amp;TEXT($J74,"0%")&amp;" of the bore depth — the chamber probably did not fill completely. Material is missing, which is not the same as compaction. ","")&amp;IF(AND(ISNUMBER($J74),$J74&gt;1.05),"Recovered more than the bore depth — check the two measurements. ","")&amp;IF(AND(ISNUMBER($I74),$I74&gt;2),"Surface compaction of "&amp;$I74&amp;" cm: depths in this core sit shallower than in the ground, so depth-limited stock is biased. Full-profile stock is unaffected. ",""))</f>
        <v/>
      </c>
      <c r="V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8">
        <f>IF(OR($G75="",$H75="",$G75=0),"",$H75/$G75)</f>
        <v/>
      </c>
      <c r="K75" s="14" t="n"/>
      <c r="L75" s="14" t="n"/>
      <c r="M75" s="14" t="n"/>
      <c r="N75" s="14" t="n"/>
      <c r="O75" s="14" t="n"/>
      <c r="P75" s="14" t="n"/>
      <c r="Q75" s="18">
        <f>IF($A75="","",IF(SUMPRODUCT(MAX(('3. Peat Data'!$B$5:$B$604=$A75)*'3. Peat Data'!$F$5:$F$604))=0,"",SUMPRODUCT(MAX(('3. Peat Data'!$B$5:$B$604=$A75)*'3. Peat Data'!$F$5:$F$604))))</f>
        <v/>
      </c>
      <c r="R75" s="18">
        <f>IF($A75="","",IFERROR(SUMIFS('3. Peat Data'!$P$5:$P$604,'3. Peat Data'!$B$5:$B$604,$A75),""))</f>
        <v/>
      </c>
      <c r="S75" s="18">
        <f>IF($A75="","",IFERROR(SUMIFS('3. Peat Data'!$Q$5:$Q$604,'3. Peat Data'!$B$5:$B$604,$A75),""))</f>
        <v/>
      </c>
      <c r="T75" s="18">
        <f>IF(NOT(ISNUMBER($Q75)),"",IF($Q75&gt;=REFERENCE_DEPTH_CM,"Yes","No"))</f>
        <v/>
      </c>
      <c r="U75" s="18">
        <f>IF($A75="","",IF(AND($B75&lt;&gt;"",COUNTIF('1. Plot &amp; Site Log'!$A$5:$A$64,$B75)=0),"Plot ID not in Plot &amp; Site Log. ","")&amp;IF(NOT(ISNUMBER($Q75)),"No peat sections logged for this core. ","")&amp;IF($T75="No","Core stops short of the reference depth, so its reference-depth stock is an underestimate. Its full-profile stock is still valid. ","")&amp;IF($L75="No","Core did not reach the mineral contact — the full-profile stock is a MINIMUM, not the whole store. ","")&amp;IF(AND(ISNUMBER($K75),$K75&lt;PEATLAND_MIN_DEPTH_CM),"Organic depth under "&amp;PEATLAND_MIN_DEPTH_CM&amp;" cm: by the guide's definition this is not peatland. Report it, but say so. ","")&amp;IF(AND(ISNUMBER($J75),$J75&lt;QC_RECOVERY_MIN),"Recovered only "&amp;TEXT($J75,"0%")&amp;" of the bore depth — the chamber probably did not fill completely. Material is missing, which is not the same as compaction. ","")&amp;IF(AND(ISNUMBER($J75),$J75&gt;1.05),"Recovered more than the bore depth — check the two measurements. ","")&amp;IF(AND(ISNUMBER($I75),$I75&gt;2),"Surface compaction of "&amp;$I75&amp;" cm: depths in this core sit shallower than in the ground, so depth-limited stock is biased. Full-profile stock is unaffected. ",""))</f>
        <v/>
      </c>
      <c r="V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8">
        <f>IF(OR($G76="",$H76="",$G76=0),"",$H76/$G76)</f>
        <v/>
      </c>
      <c r="K76" s="14" t="n"/>
      <c r="L76" s="14" t="n"/>
      <c r="M76" s="14" t="n"/>
      <c r="N76" s="14" t="n"/>
      <c r="O76" s="14" t="n"/>
      <c r="P76" s="14" t="n"/>
      <c r="Q76" s="18">
        <f>IF($A76="","",IF(SUMPRODUCT(MAX(('3. Peat Data'!$B$5:$B$604=$A76)*'3. Peat Data'!$F$5:$F$604))=0,"",SUMPRODUCT(MAX(('3. Peat Data'!$B$5:$B$604=$A76)*'3. Peat Data'!$F$5:$F$604))))</f>
        <v/>
      </c>
      <c r="R76" s="18">
        <f>IF($A76="","",IFERROR(SUMIFS('3. Peat Data'!$P$5:$P$604,'3. Peat Data'!$B$5:$B$604,$A76),""))</f>
        <v/>
      </c>
      <c r="S76" s="18">
        <f>IF($A76="","",IFERROR(SUMIFS('3. Peat Data'!$Q$5:$Q$604,'3. Peat Data'!$B$5:$B$604,$A76),""))</f>
        <v/>
      </c>
      <c r="T76" s="18">
        <f>IF(NOT(ISNUMBER($Q76)),"",IF($Q76&gt;=REFERENCE_DEPTH_CM,"Yes","No"))</f>
        <v/>
      </c>
      <c r="U76" s="18">
        <f>IF($A76="","",IF(AND($B76&lt;&gt;"",COUNTIF('1. Plot &amp; Site Log'!$A$5:$A$64,$B76)=0),"Plot ID not in Plot &amp; Site Log. ","")&amp;IF(NOT(ISNUMBER($Q76)),"No peat sections logged for this core. ","")&amp;IF($T76="No","Core stops short of the reference depth, so its reference-depth stock is an underestimate. Its full-profile stock is still valid. ","")&amp;IF($L76="No","Core did not reach the mineral contact — the full-profile stock is a MINIMUM, not the whole store. ","")&amp;IF(AND(ISNUMBER($K76),$K76&lt;PEATLAND_MIN_DEPTH_CM),"Organic depth under "&amp;PEATLAND_MIN_DEPTH_CM&amp;" cm: by the guide's definition this is not peatland. Report it, but say so. ","")&amp;IF(AND(ISNUMBER($J76),$J76&lt;QC_RECOVERY_MIN),"Recovered only "&amp;TEXT($J76,"0%")&amp;" of the bore depth — the chamber probably did not fill completely. Material is missing, which is not the same as compaction. ","")&amp;IF(AND(ISNUMBER($J76),$J76&gt;1.05),"Recovered more than the bore depth — check the two measurements. ","")&amp;IF(AND(ISNUMBER($I76),$I76&gt;2),"Surface compaction of "&amp;$I76&amp;" cm: depths in this core sit shallower than in the ground, so depth-limited stock is biased. Full-profile stock is unaffected. ",""))</f>
        <v/>
      </c>
      <c r="V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8">
        <f>IF(OR($G77="",$H77="",$G77=0),"",$H77/$G77)</f>
        <v/>
      </c>
      <c r="K77" s="14" t="n"/>
      <c r="L77" s="14" t="n"/>
      <c r="M77" s="14" t="n"/>
      <c r="N77" s="14" t="n"/>
      <c r="O77" s="14" t="n"/>
      <c r="P77" s="14" t="n"/>
      <c r="Q77" s="18">
        <f>IF($A77="","",IF(SUMPRODUCT(MAX(('3. Peat Data'!$B$5:$B$604=$A77)*'3. Peat Data'!$F$5:$F$604))=0,"",SUMPRODUCT(MAX(('3. Peat Data'!$B$5:$B$604=$A77)*'3. Peat Data'!$F$5:$F$604))))</f>
        <v/>
      </c>
      <c r="R77" s="18">
        <f>IF($A77="","",IFERROR(SUMIFS('3. Peat Data'!$P$5:$P$604,'3. Peat Data'!$B$5:$B$604,$A77),""))</f>
        <v/>
      </c>
      <c r="S77" s="18">
        <f>IF($A77="","",IFERROR(SUMIFS('3. Peat Data'!$Q$5:$Q$604,'3. Peat Data'!$B$5:$B$604,$A77),""))</f>
        <v/>
      </c>
      <c r="T77" s="18">
        <f>IF(NOT(ISNUMBER($Q77)),"",IF($Q77&gt;=REFERENCE_DEPTH_CM,"Yes","No"))</f>
        <v/>
      </c>
      <c r="U77" s="18">
        <f>IF($A77="","",IF(AND($B77&lt;&gt;"",COUNTIF('1. Plot &amp; Site Log'!$A$5:$A$64,$B77)=0),"Plot ID not in Plot &amp; Site Log. ","")&amp;IF(NOT(ISNUMBER($Q77)),"No peat sections logged for this core. ","")&amp;IF($T77="No","Core stops short of the reference depth, so its reference-depth stock is an underestimate. Its full-profile stock is still valid. ","")&amp;IF($L77="No","Core did not reach the mineral contact — the full-profile stock is a MINIMUM, not the whole store. ","")&amp;IF(AND(ISNUMBER($K77),$K77&lt;PEATLAND_MIN_DEPTH_CM),"Organic depth under "&amp;PEATLAND_MIN_DEPTH_CM&amp;" cm: by the guide's definition this is not peatland. Report it, but say so. ","")&amp;IF(AND(ISNUMBER($J77),$J77&lt;QC_RECOVERY_MIN),"Recovered only "&amp;TEXT($J77,"0%")&amp;" of the bore depth — the chamber probably did not fill completely. Material is missing, which is not the same as compaction. ","")&amp;IF(AND(ISNUMBER($J77),$J77&gt;1.05),"Recovered more than the bore depth — check the two measurements. ","")&amp;IF(AND(ISNUMBER($I77),$I77&gt;2),"Surface compaction of "&amp;$I77&amp;" cm: depths in this core sit shallower than in the ground, so depth-limited stock is biased. Full-profile stock is unaffected. ",""))</f>
        <v/>
      </c>
      <c r="V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8">
        <f>IF(OR($G78="",$H78="",$G78=0),"",$H78/$G78)</f>
        <v/>
      </c>
      <c r="K78" s="14" t="n"/>
      <c r="L78" s="14" t="n"/>
      <c r="M78" s="14" t="n"/>
      <c r="N78" s="14" t="n"/>
      <c r="O78" s="14" t="n"/>
      <c r="P78" s="14" t="n"/>
      <c r="Q78" s="18">
        <f>IF($A78="","",IF(SUMPRODUCT(MAX(('3. Peat Data'!$B$5:$B$604=$A78)*'3. Peat Data'!$F$5:$F$604))=0,"",SUMPRODUCT(MAX(('3. Peat Data'!$B$5:$B$604=$A78)*'3. Peat Data'!$F$5:$F$604))))</f>
        <v/>
      </c>
      <c r="R78" s="18">
        <f>IF($A78="","",IFERROR(SUMIFS('3. Peat Data'!$P$5:$P$604,'3. Peat Data'!$B$5:$B$604,$A78),""))</f>
        <v/>
      </c>
      <c r="S78" s="18">
        <f>IF($A78="","",IFERROR(SUMIFS('3. Peat Data'!$Q$5:$Q$604,'3. Peat Data'!$B$5:$B$604,$A78),""))</f>
        <v/>
      </c>
      <c r="T78" s="18">
        <f>IF(NOT(ISNUMBER($Q78)),"",IF($Q78&gt;=REFERENCE_DEPTH_CM,"Yes","No"))</f>
        <v/>
      </c>
      <c r="U78" s="18">
        <f>IF($A78="","",IF(AND($B78&lt;&gt;"",COUNTIF('1. Plot &amp; Site Log'!$A$5:$A$64,$B78)=0),"Plot ID not in Plot &amp; Site Log. ","")&amp;IF(NOT(ISNUMBER($Q78)),"No peat sections logged for this core. ","")&amp;IF($T78="No","Core stops short of the reference depth, so its reference-depth stock is an underestimate. Its full-profile stock is still valid. ","")&amp;IF($L78="No","Core did not reach the mineral contact — the full-profile stock is a MINIMUM, not the whole store. ","")&amp;IF(AND(ISNUMBER($K78),$K78&lt;PEATLAND_MIN_DEPTH_CM),"Organic depth under "&amp;PEATLAND_MIN_DEPTH_CM&amp;" cm: by the guide's definition this is not peatland. Report it, but say so. ","")&amp;IF(AND(ISNUMBER($J78),$J78&lt;QC_RECOVERY_MIN),"Recovered only "&amp;TEXT($J78,"0%")&amp;" of the bore depth — the chamber probably did not fill completely. Material is missing, which is not the same as compaction. ","")&amp;IF(AND(ISNUMBER($J78),$J78&gt;1.05),"Recovered more than the bore depth — check the two measurements. ","")&amp;IF(AND(ISNUMBER($I78),$I78&gt;2),"Surface compaction of "&amp;$I78&amp;" cm: depths in this core sit shallower than in the ground, so depth-limited stock is biased. Full-profile stock is unaffected. ",""))</f>
        <v/>
      </c>
      <c r="V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8">
        <f>IF(OR($G79="",$H79="",$G79=0),"",$H79/$G79)</f>
        <v/>
      </c>
      <c r="K79" s="14" t="n"/>
      <c r="L79" s="14" t="n"/>
      <c r="M79" s="14" t="n"/>
      <c r="N79" s="14" t="n"/>
      <c r="O79" s="14" t="n"/>
      <c r="P79" s="14" t="n"/>
      <c r="Q79" s="18">
        <f>IF($A79="","",IF(SUMPRODUCT(MAX(('3. Peat Data'!$B$5:$B$604=$A79)*'3. Peat Data'!$F$5:$F$604))=0,"",SUMPRODUCT(MAX(('3. Peat Data'!$B$5:$B$604=$A79)*'3. Peat Data'!$F$5:$F$604))))</f>
        <v/>
      </c>
      <c r="R79" s="18">
        <f>IF($A79="","",IFERROR(SUMIFS('3. Peat Data'!$P$5:$P$604,'3. Peat Data'!$B$5:$B$604,$A79),""))</f>
        <v/>
      </c>
      <c r="S79" s="18">
        <f>IF($A79="","",IFERROR(SUMIFS('3. Peat Data'!$Q$5:$Q$604,'3. Peat Data'!$B$5:$B$604,$A79),""))</f>
        <v/>
      </c>
      <c r="T79" s="18">
        <f>IF(NOT(ISNUMBER($Q79)),"",IF($Q79&gt;=REFERENCE_DEPTH_CM,"Yes","No"))</f>
        <v/>
      </c>
      <c r="U79" s="18">
        <f>IF($A79="","",IF(AND($B79&lt;&gt;"",COUNTIF('1. Plot &amp; Site Log'!$A$5:$A$64,$B79)=0),"Plot ID not in Plot &amp; Site Log. ","")&amp;IF(NOT(ISNUMBER($Q79)),"No peat sections logged for this core. ","")&amp;IF($T79="No","Core stops short of the reference depth, so its reference-depth stock is an underestimate. Its full-profile stock is still valid. ","")&amp;IF($L79="No","Core did not reach the mineral contact — the full-profile stock is a MINIMUM, not the whole store. ","")&amp;IF(AND(ISNUMBER($K79),$K79&lt;PEATLAND_MIN_DEPTH_CM),"Organic depth under "&amp;PEATLAND_MIN_DEPTH_CM&amp;" cm: by the guide's definition this is not peatland. Report it, but say so. ","")&amp;IF(AND(ISNUMBER($J79),$J79&lt;QC_RECOVERY_MIN),"Recovered only "&amp;TEXT($J79,"0%")&amp;" of the bore depth — the chamber probably did not fill completely. Material is missing, which is not the same as compaction. ","")&amp;IF(AND(ISNUMBER($J79),$J79&gt;1.05),"Recovered more than the bore depth — check the two measurements. ","")&amp;IF(AND(ISNUMBER($I79),$I79&gt;2),"Surface compaction of "&amp;$I79&amp;" cm: depths in this core sit shallower than in the ground, so depth-limited stock is biased. Full-profile stock is unaffected. ",""))</f>
        <v/>
      </c>
      <c r="V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8">
        <f>IF(OR($G80="",$H80="",$G80=0),"",$H80/$G80)</f>
        <v/>
      </c>
      <c r="K80" s="14" t="n"/>
      <c r="L80" s="14" t="n"/>
      <c r="M80" s="14" t="n"/>
      <c r="N80" s="14" t="n"/>
      <c r="O80" s="14" t="n"/>
      <c r="P80" s="14" t="n"/>
      <c r="Q80" s="18">
        <f>IF($A80="","",IF(SUMPRODUCT(MAX(('3. Peat Data'!$B$5:$B$604=$A80)*'3. Peat Data'!$F$5:$F$604))=0,"",SUMPRODUCT(MAX(('3. Peat Data'!$B$5:$B$604=$A80)*'3. Peat Data'!$F$5:$F$604))))</f>
        <v/>
      </c>
      <c r="R80" s="18">
        <f>IF($A80="","",IFERROR(SUMIFS('3. Peat Data'!$P$5:$P$604,'3. Peat Data'!$B$5:$B$604,$A80),""))</f>
        <v/>
      </c>
      <c r="S80" s="18">
        <f>IF($A80="","",IFERROR(SUMIFS('3. Peat Data'!$Q$5:$Q$604,'3. Peat Data'!$B$5:$B$604,$A80),""))</f>
        <v/>
      </c>
      <c r="T80" s="18">
        <f>IF(NOT(ISNUMBER($Q80)),"",IF($Q80&gt;=REFERENCE_DEPTH_CM,"Yes","No"))</f>
        <v/>
      </c>
      <c r="U80" s="18">
        <f>IF($A80="","",IF(AND($B80&lt;&gt;"",COUNTIF('1. Plot &amp; Site Log'!$A$5:$A$64,$B80)=0),"Plot ID not in Plot &amp; Site Log. ","")&amp;IF(NOT(ISNUMBER($Q80)),"No peat sections logged for this core. ","")&amp;IF($T80="No","Core stops short of the reference depth, so its reference-depth stock is an underestimate. Its full-profile stock is still valid. ","")&amp;IF($L80="No","Core did not reach the mineral contact — the full-profile stock is a MINIMUM, not the whole store. ","")&amp;IF(AND(ISNUMBER($K80),$K80&lt;PEATLAND_MIN_DEPTH_CM),"Organic depth under "&amp;PEATLAND_MIN_DEPTH_CM&amp;" cm: by the guide's definition this is not peatland. Report it, but say so. ","")&amp;IF(AND(ISNUMBER($J80),$J80&lt;QC_RECOVERY_MIN),"Recovered only "&amp;TEXT($J80,"0%")&amp;" of the bore depth — the chamber probably did not fill completely. Material is missing, which is not the same as compaction. ","")&amp;IF(AND(ISNUMBER($J80),$J80&gt;1.05),"Recovered more than the bore depth — check the two measurements. ","")&amp;IF(AND(ISNUMBER($I80),$I80&gt;2),"Surface compaction of "&amp;$I80&amp;" cm: depths in this core sit shallower than in the ground, so depth-limited stock is biased. Full-profile stock is unaffected. ",""))</f>
        <v/>
      </c>
      <c r="V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8">
        <f>IF(OR($G81="",$H81="",$G81=0),"",$H81/$G81)</f>
        <v/>
      </c>
      <c r="K81" s="14" t="n"/>
      <c r="L81" s="14" t="n"/>
      <c r="M81" s="14" t="n"/>
      <c r="N81" s="14" t="n"/>
      <c r="O81" s="14" t="n"/>
      <c r="P81" s="14" t="n"/>
      <c r="Q81" s="18">
        <f>IF($A81="","",IF(SUMPRODUCT(MAX(('3. Peat Data'!$B$5:$B$604=$A81)*'3. Peat Data'!$F$5:$F$604))=0,"",SUMPRODUCT(MAX(('3. Peat Data'!$B$5:$B$604=$A81)*'3. Peat Data'!$F$5:$F$604))))</f>
        <v/>
      </c>
      <c r="R81" s="18">
        <f>IF($A81="","",IFERROR(SUMIFS('3. Peat Data'!$P$5:$P$604,'3. Peat Data'!$B$5:$B$604,$A81),""))</f>
        <v/>
      </c>
      <c r="S81" s="18">
        <f>IF($A81="","",IFERROR(SUMIFS('3. Peat Data'!$Q$5:$Q$604,'3. Peat Data'!$B$5:$B$604,$A81),""))</f>
        <v/>
      </c>
      <c r="T81" s="18">
        <f>IF(NOT(ISNUMBER($Q81)),"",IF($Q81&gt;=REFERENCE_DEPTH_CM,"Yes","No"))</f>
        <v/>
      </c>
      <c r="U81" s="18">
        <f>IF($A81="","",IF(AND($B81&lt;&gt;"",COUNTIF('1. Plot &amp; Site Log'!$A$5:$A$64,$B81)=0),"Plot ID not in Plot &amp; Site Log. ","")&amp;IF(NOT(ISNUMBER($Q81)),"No peat sections logged for this core. ","")&amp;IF($T81="No","Core stops short of the reference depth, so its reference-depth stock is an underestimate. Its full-profile stock is still valid. ","")&amp;IF($L81="No","Core did not reach the mineral contact — the full-profile stock is a MINIMUM, not the whole store. ","")&amp;IF(AND(ISNUMBER($K81),$K81&lt;PEATLAND_MIN_DEPTH_CM),"Organic depth under "&amp;PEATLAND_MIN_DEPTH_CM&amp;" cm: by the guide's definition this is not peatland. Report it, but say so. ","")&amp;IF(AND(ISNUMBER($J81),$J81&lt;QC_RECOVERY_MIN),"Recovered only "&amp;TEXT($J81,"0%")&amp;" of the bore depth — the chamber probably did not fill completely. Material is missing, which is not the same as compaction. ","")&amp;IF(AND(ISNUMBER($J81),$J81&gt;1.05),"Recovered more than the bore depth — check the two measurements. ","")&amp;IF(AND(ISNUMBER($I81),$I81&gt;2),"Surface compaction of "&amp;$I81&amp;" cm: depths in this core sit shallower than in the ground, so depth-limited stock is biased. Full-profile stock is unaffected. ",""))</f>
        <v/>
      </c>
      <c r="V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8">
        <f>IF(OR($G82="",$H82="",$G82=0),"",$H82/$G82)</f>
        <v/>
      </c>
      <c r="K82" s="14" t="n"/>
      <c r="L82" s="14" t="n"/>
      <c r="M82" s="14" t="n"/>
      <c r="N82" s="14" t="n"/>
      <c r="O82" s="14" t="n"/>
      <c r="P82" s="14" t="n"/>
      <c r="Q82" s="18">
        <f>IF($A82="","",IF(SUMPRODUCT(MAX(('3. Peat Data'!$B$5:$B$604=$A82)*'3. Peat Data'!$F$5:$F$604))=0,"",SUMPRODUCT(MAX(('3. Peat Data'!$B$5:$B$604=$A82)*'3. Peat Data'!$F$5:$F$604))))</f>
        <v/>
      </c>
      <c r="R82" s="18">
        <f>IF($A82="","",IFERROR(SUMIFS('3. Peat Data'!$P$5:$P$604,'3. Peat Data'!$B$5:$B$604,$A82),""))</f>
        <v/>
      </c>
      <c r="S82" s="18">
        <f>IF($A82="","",IFERROR(SUMIFS('3. Peat Data'!$Q$5:$Q$604,'3. Peat Data'!$B$5:$B$604,$A82),""))</f>
        <v/>
      </c>
      <c r="T82" s="18">
        <f>IF(NOT(ISNUMBER($Q82)),"",IF($Q82&gt;=REFERENCE_DEPTH_CM,"Yes","No"))</f>
        <v/>
      </c>
      <c r="U82" s="18">
        <f>IF($A82="","",IF(AND($B82&lt;&gt;"",COUNTIF('1. Plot &amp; Site Log'!$A$5:$A$64,$B82)=0),"Plot ID not in Plot &amp; Site Log. ","")&amp;IF(NOT(ISNUMBER($Q82)),"No peat sections logged for this core. ","")&amp;IF($T82="No","Core stops short of the reference depth, so its reference-depth stock is an underestimate. Its full-profile stock is still valid. ","")&amp;IF($L82="No","Core did not reach the mineral contact — the full-profile stock is a MINIMUM, not the whole store. ","")&amp;IF(AND(ISNUMBER($K82),$K82&lt;PEATLAND_MIN_DEPTH_CM),"Organic depth under "&amp;PEATLAND_MIN_DEPTH_CM&amp;" cm: by the guide's definition this is not peatland. Report it, but say so. ","")&amp;IF(AND(ISNUMBER($J82),$J82&lt;QC_RECOVERY_MIN),"Recovered only "&amp;TEXT($J82,"0%")&amp;" of the bore depth — the chamber probably did not fill completely. Material is missing, which is not the same as compaction. ","")&amp;IF(AND(ISNUMBER($J82),$J82&gt;1.05),"Recovered more than the bore depth — check the two measurements. ","")&amp;IF(AND(ISNUMBER($I82),$I82&gt;2),"Surface compaction of "&amp;$I82&amp;" cm: depths in this core sit shallower than in the ground, so depth-limited stock is biased. Full-profile stock is unaffected. ",""))</f>
        <v/>
      </c>
      <c r="V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8">
        <f>IF(OR($G83="",$H83="",$G83=0),"",$H83/$G83)</f>
        <v/>
      </c>
      <c r="K83" s="14" t="n"/>
      <c r="L83" s="14" t="n"/>
      <c r="M83" s="14" t="n"/>
      <c r="N83" s="14" t="n"/>
      <c r="O83" s="14" t="n"/>
      <c r="P83" s="14" t="n"/>
      <c r="Q83" s="18">
        <f>IF($A83="","",IF(SUMPRODUCT(MAX(('3. Peat Data'!$B$5:$B$604=$A83)*'3. Peat Data'!$F$5:$F$604))=0,"",SUMPRODUCT(MAX(('3. Peat Data'!$B$5:$B$604=$A83)*'3. Peat Data'!$F$5:$F$604))))</f>
        <v/>
      </c>
      <c r="R83" s="18">
        <f>IF($A83="","",IFERROR(SUMIFS('3. Peat Data'!$P$5:$P$604,'3. Peat Data'!$B$5:$B$604,$A83),""))</f>
        <v/>
      </c>
      <c r="S83" s="18">
        <f>IF($A83="","",IFERROR(SUMIFS('3. Peat Data'!$Q$5:$Q$604,'3. Peat Data'!$B$5:$B$604,$A83),""))</f>
        <v/>
      </c>
      <c r="T83" s="18">
        <f>IF(NOT(ISNUMBER($Q83)),"",IF($Q83&gt;=REFERENCE_DEPTH_CM,"Yes","No"))</f>
        <v/>
      </c>
      <c r="U83" s="18">
        <f>IF($A83="","",IF(AND($B83&lt;&gt;"",COUNTIF('1. Plot &amp; Site Log'!$A$5:$A$64,$B83)=0),"Plot ID not in Plot &amp; Site Log. ","")&amp;IF(NOT(ISNUMBER($Q83)),"No peat sections logged for this core. ","")&amp;IF($T83="No","Core stops short of the reference depth, so its reference-depth stock is an underestimate. Its full-profile stock is still valid. ","")&amp;IF($L83="No","Core did not reach the mineral contact — the full-profile stock is a MINIMUM, not the whole store. ","")&amp;IF(AND(ISNUMBER($K83),$K83&lt;PEATLAND_MIN_DEPTH_CM),"Organic depth under "&amp;PEATLAND_MIN_DEPTH_CM&amp;" cm: by the guide's definition this is not peatland. Report it, but say so. ","")&amp;IF(AND(ISNUMBER($J83),$J83&lt;QC_RECOVERY_MIN),"Recovered only "&amp;TEXT($J83,"0%")&amp;" of the bore depth — the chamber probably did not fill completely. Material is missing, which is not the same as compaction. ","")&amp;IF(AND(ISNUMBER($J83),$J83&gt;1.05),"Recovered more than the bore depth — check the two measurements. ","")&amp;IF(AND(ISNUMBER($I83),$I83&gt;2),"Surface compaction of "&amp;$I83&amp;" cm: depths in this core sit shallower than in the ground, so depth-limited stock is biased. Full-profile stock is unaffected. ",""))</f>
        <v/>
      </c>
      <c r="V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8">
        <f>IF(OR($G84="",$H84="",$G84=0),"",$H84/$G84)</f>
        <v/>
      </c>
      <c r="K84" s="14" t="n"/>
      <c r="L84" s="14" t="n"/>
      <c r="M84" s="14" t="n"/>
      <c r="N84" s="14" t="n"/>
      <c r="O84" s="14" t="n"/>
      <c r="P84" s="14" t="n"/>
      <c r="Q84" s="18">
        <f>IF($A84="","",IF(SUMPRODUCT(MAX(('3. Peat Data'!$B$5:$B$604=$A84)*'3. Peat Data'!$F$5:$F$604))=0,"",SUMPRODUCT(MAX(('3. Peat Data'!$B$5:$B$604=$A84)*'3. Peat Data'!$F$5:$F$604))))</f>
        <v/>
      </c>
      <c r="R84" s="18">
        <f>IF($A84="","",IFERROR(SUMIFS('3. Peat Data'!$P$5:$P$604,'3. Peat Data'!$B$5:$B$604,$A84),""))</f>
        <v/>
      </c>
      <c r="S84" s="18">
        <f>IF($A84="","",IFERROR(SUMIFS('3. Peat Data'!$Q$5:$Q$604,'3. Peat Data'!$B$5:$B$604,$A84),""))</f>
        <v/>
      </c>
      <c r="T84" s="18">
        <f>IF(NOT(ISNUMBER($Q84)),"",IF($Q84&gt;=REFERENCE_DEPTH_CM,"Yes","No"))</f>
        <v/>
      </c>
      <c r="U84" s="18">
        <f>IF($A84="","",IF(AND($B84&lt;&gt;"",COUNTIF('1. Plot &amp; Site Log'!$A$5:$A$64,$B84)=0),"Plot ID not in Plot &amp; Site Log. ","")&amp;IF(NOT(ISNUMBER($Q84)),"No peat sections logged for this core. ","")&amp;IF($T84="No","Core stops short of the reference depth, so its reference-depth stock is an underestimate. Its full-profile stock is still valid. ","")&amp;IF($L84="No","Core did not reach the mineral contact — the full-profile stock is a MINIMUM, not the whole store. ","")&amp;IF(AND(ISNUMBER($K84),$K84&lt;PEATLAND_MIN_DEPTH_CM),"Organic depth under "&amp;PEATLAND_MIN_DEPTH_CM&amp;" cm: by the guide's definition this is not peatland. Report it, but say so. ","")&amp;IF(AND(ISNUMBER($J84),$J84&lt;QC_RECOVERY_MIN),"Recovered only "&amp;TEXT($J84,"0%")&amp;" of the bore depth — the chamber probably did not fill completely. Material is missing, which is not the same as compaction. ","")&amp;IF(AND(ISNUMBER($J84),$J84&gt;1.05),"Recovered more than the bore depth — check the two measurements. ","")&amp;IF(AND(ISNUMBER($I84),$I84&gt;2),"Surface compaction of "&amp;$I84&amp;" cm: depths in this core sit shallower than in the ground, so depth-limited stock is biased. Full-profile stock is unaffected. ",""))</f>
        <v/>
      </c>
      <c r="V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8">
        <f>IF(OR($G85="",$H85="",$G85=0),"",$H85/$G85)</f>
        <v/>
      </c>
      <c r="K85" s="14" t="n"/>
      <c r="L85" s="14" t="n"/>
      <c r="M85" s="14" t="n"/>
      <c r="N85" s="14" t="n"/>
      <c r="O85" s="14" t="n"/>
      <c r="P85" s="14" t="n"/>
      <c r="Q85" s="18">
        <f>IF($A85="","",IF(SUMPRODUCT(MAX(('3. Peat Data'!$B$5:$B$604=$A85)*'3. Peat Data'!$F$5:$F$604))=0,"",SUMPRODUCT(MAX(('3. Peat Data'!$B$5:$B$604=$A85)*'3. Peat Data'!$F$5:$F$604))))</f>
        <v/>
      </c>
      <c r="R85" s="18">
        <f>IF($A85="","",IFERROR(SUMIFS('3. Peat Data'!$P$5:$P$604,'3. Peat Data'!$B$5:$B$604,$A85),""))</f>
        <v/>
      </c>
      <c r="S85" s="18">
        <f>IF($A85="","",IFERROR(SUMIFS('3. Peat Data'!$Q$5:$Q$604,'3. Peat Data'!$B$5:$B$604,$A85),""))</f>
        <v/>
      </c>
      <c r="T85" s="18">
        <f>IF(NOT(ISNUMBER($Q85)),"",IF($Q85&gt;=REFERENCE_DEPTH_CM,"Yes","No"))</f>
        <v/>
      </c>
      <c r="U85" s="18">
        <f>IF($A85="","",IF(AND($B85&lt;&gt;"",COUNTIF('1. Plot &amp; Site Log'!$A$5:$A$64,$B85)=0),"Plot ID not in Plot &amp; Site Log. ","")&amp;IF(NOT(ISNUMBER($Q85)),"No peat sections logged for this core. ","")&amp;IF($T85="No","Core stops short of the reference depth, so its reference-depth stock is an underestimate. Its full-profile stock is still valid. ","")&amp;IF($L85="No","Core did not reach the mineral contact — the full-profile stock is a MINIMUM, not the whole store. ","")&amp;IF(AND(ISNUMBER($K85),$K85&lt;PEATLAND_MIN_DEPTH_CM),"Organic depth under "&amp;PEATLAND_MIN_DEPTH_CM&amp;" cm: by the guide's definition this is not peatland. Report it, but say so. ","")&amp;IF(AND(ISNUMBER($J85),$J85&lt;QC_RECOVERY_MIN),"Recovered only "&amp;TEXT($J85,"0%")&amp;" of the bore depth — the chamber probably did not fill completely. Material is missing, which is not the same as compaction. ","")&amp;IF(AND(ISNUMBER($J85),$J85&gt;1.05),"Recovered more than the bore depth — check the two measurements. ","")&amp;IF(AND(ISNUMBER($I85),$I85&gt;2),"Surface compaction of "&amp;$I85&amp;" cm: depths in this core sit shallower than in the ground, so depth-limited stock is biased. Full-profile stock is unaffected. ",""))</f>
        <v/>
      </c>
      <c r="V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8">
        <f>IF(OR($G86="",$H86="",$G86=0),"",$H86/$G86)</f>
        <v/>
      </c>
      <c r="K86" s="14" t="n"/>
      <c r="L86" s="14" t="n"/>
      <c r="M86" s="14" t="n"/>
      <c r="N86" s="14" t="n"/>
      <c r="O86" s="14" t="n"/>
      <c r="P86" s="14" t="n"/>
      <c r="Q86" s="18">
        <f>IF($A86="","",IF(SUMPRODUCT(MAX(('3. Peat Data'!$B$5:$B$604=$A86)*'3. Peat Data'!$F$5:$F$604))=0,"",SUMPRODUCT(MAX(('3. Peat Data'!$B$5:$B$604=$A86)*'3. Peat Data'!$F$5:$F$604))))</f>
        <v/>
      </c>
      <c r="R86" s="18">
        <f>IF($A86="","",IFERROR(SUMIFS('3. Peat Data'!$P$5:$P$604,'3. Peat Data'!$B$5:$B$604,$A86),""))</f>
        <v/>
      </c>
      <c r="S86" s="18">
        <f>IF($A86="","",IFERROR(SUMIFS('3. Peat Data'!$Q$5:$Q$604,'3. Peat Data'!$B$5:$B$604,$A86),""))</f>
        <v/>
      </c>
      <c r="T86" s="18">
        <f>IF(NOT(ISNUMBER($Q86)),"",IF($Q86&gt;=REFERENCE_DEPTH_CM,"Yes","No"))</f>
        <v/>
      </c>
      <c r="U86" s="18">
        <f>IF($A86="","",IF(AND($B86&lt;&gt;"",COUNTIF('1. Plot &amp; Site Log'!$A$5:$A$64,$B86)=0),"Plot ID not in Plot &amp; Site Log. ","")&amp;IF(NOT(ISNUMBER($Q86)),"No peat sections logged for this core. ","")&amp;IF($T86="No","Core stops short of the reference depth, so its reference-depth stock is an underestimate. Its full-profile stock is still valid. ","")&amp;IF($L86="No","Core did not reach the mineral contact — the full-profile stock is a MINIMUM, not the whole store. ","")&amp;IF(AND(ISNUMBER($K86),$K86&lt;PEATLAND_MIN_DEPTH_CM),"Organic depth under "&amp;PEATLAND_MIN_DEPTH_CM&amp;" cm: by the guide's definition this is not peatland. Report it, but say so. ","")&amp;IF(AND(ISNUMBER($J86),$J86&lt;QC_RECOVERY_MIN),"Recovered only "&amp;TEXT($J86,"0%")&amp;" of the bore depth — the chamber probably did not fill completely. Material is missing, which is not the same as compaction. ","")&amp;IF(AND(ISNUMBER($J86),$J86&gt;1.05),"Recovered more than the bore depth — check the two measurements. ","")&amp;IF(AND(ISNUMBER($I86),$I86&gt;2),"Surface compaction of "&amp;$I86&amp;" cm: depths in this core sit shallower than in the ground, so depth-limited stock is biased. Full-profile stock is unaffected. ",""))</f>
        <v/>
      </c>
      <c r="V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8">
        <f>IF(OR($G87="",$H87="",$G87=0),"",$H87/$G87)</f>
        <v/>
      </c>
      <c r="K87" s="14" t="n"/>
      <c r="L87" s="14" t="n"/>
      <c r="M87" s="14" t="n"/>
      <c r="N87" s="14" t="n"/>
      <c r="O87" s="14" t="n"/>
      <c r="P87" s="14" t="n"/>
      <c r="Q87" s="18">
        <f>IF($A87="","",IF(SUMPRODUCT(MAX(('3. Peat Data'!$B$5:$B$604=$A87)*'3. Peat Data'!$F$5:$F$604))=0,"",SUMPRODUCT(MAX(('3. Peat Data'!$B$5:$B$604=$A87)*'3. Peat Data'!$F$5:$F$604))))</f>
        <v/>
      </c>
      <c r="R87" s="18">
        <f>IF($A87="","",IFERROR(SUMIFS('3. Peat Data'!$P$5:$P$604,'3. Peat Data'!$B$5:$B$604,$A87),""))</f>
        <v/>
      </c>
      <c r="S87" s="18">
        <f>IF($A87="","",IFERROR(SUMIFS('3. Peat Data'!$Q$5:$Q$604,'3. Peat Data'!$B$5:$B$604,$A87),""))</f>
        <v/>
      </c>
      <c r="T87" s="18">
        <f>IF(NOT(ISNUMBER($Q87)),"",IF($Q87&gt;=REFERENCE_DEPTH_CM,"Yes","No"))</f>
        <v/>
      </c>
      <c r="U87" s="18">
        <f>IF($A87="","",IF(AND($B87&lt;&gt;"",COUNTIF('1. Plot &amp; Site Log'!$A$5:$A$64,$B87)=0),"Plot ID not in Plot &amp; Site Log. ","")&amp;IF(NOT(ISNUMBER($Q87)),"No peat sections logged for this core. ","")&amp;IF($T87="No","Core stops short of the reference depth, so its reference-depth stock is an underestimate. Its full-profile stock is still valid. ","")&amp;IF($L87="No","Core did not reach the mineral contact — the full-profile stock is a MINIMUM, not the whole store. ","")&amp;IF(AND(ISNUMBER($K87),$K87&lt;PEATLAND_MIN_DEPTH_CM),"Organic depth under "&amp;PEATLAND_MIN_DEPTH_CM&amp;" cm: by the guide's definition this is not peatland. Report it, but say so. ","")&amp;IF(AND(ISNUMBER($J87),$J87&lt;QC_RECOVERY_MIN),"Recovered only "&amp;TEXT($J87,"0%")&amp;" of the bore depth — the chamber probably did not fill completely. Material is missing, which is not the same as compaction. ","")&amp;IF(AND(ISNUMBER($J87),$J87&gt;1.05),"Recovered more than the bore depth — check the two measurements. ","")&amp;IF(AND(ISNUMBER($I87),$I87&gt;2),"Surface compaction of "&amp;$I87&amp;" cm: depths in this core sit shallower than in the ground, so depth-limited stock is biased. Full-profile stock is unaffected. ",""))</f>
        <v/>
      </c>
      <c r="V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8">
        <f>IF(OR($G88="",$H88="",$G88=0),"",$H88/$G88)</f>
        <v/>
      </c>
      <c r="K88" s="14" t="n"/>
      <c r="L88" s="14" t="n"/>
      <c r="M88" s="14" t="n"/>
      <c r="N88" s="14" t="n"/>
      <c r="O88" s="14" t="n"/>
      <c r="P88" s="14" t="n"/>
      <c r="Q88" s="18">
        <f>IF($A88="","",IF(SUMPRODUCT(MAX(('3. Peat Data'!$B$5:$B$604=$A88)*'3. Peat Data'!$F$5:$F$604))=0,"",SUMPRODUCT(MAX(('3. Peat Data'!$B$5:$B$604=$A88)*'3. Peat Data'!$F$5:$F$604))))</f>
        <v/>
      </c>
      <c r="R88" s="18">
        <f>IF($A88="","",IFERROR(SUMIFS('3. Peat Data'!$P$5:$P$604,'3. Peat Data'!$B$5:$B$604,$A88),""))</f>
        <v/>
      </c>
      <c r="S88" s="18">
        <f>IF($A88="","",IFERROR(SUMIFS('3. Peat Data'!$Q$5:$Q$604,'3. Peat Data'!$B$5:$B$604,$A88),""))</f>
        <v/>
      </c>
      <c r="T88" s="18">
        <f>IF(NOT(ISNUMBER($Q88)),"",IF($Q88&gt;=REFERENCE_DEPTH_CM,"Yes","No"))</f>
        <v/>
      </c>
      <c r="U88" s="18">
        <f>IF($A88="","",IF(AND($B88&lt;&gt;"",COUNTIF('1. Plot &amp; Site Log'!$A$5:$A$64,$B88)=0),"Plot ID not in Plot &amp; Site Log. ","")&amp;IF(NOT(ISNUMBER($Q88)),"No peat sections logged for this core. ","")&amp;IF($T88="No","Core stops short of the reference depth, so its reference-depth stock is an underestimate. Its full-profile stock is still valid. ","")&amp;IF($L88="No","Core did not reach the mineral contact — the full-profile stock is a MINIMUM, not the whole store. ","")&amp;IF(AND(ISNUMBER($K88),$K88&lt;PEATLAND_MIN_DEPTH_CM),"Organic depth under "&amp;PEATLAND_MIN_DEPTH_CM&amp;" cm: by the guide's definition this is not peatland. Report it, but say so. ","")&amp;IF(AND(ISNUMBER($J88),$J88&lt;QC_RECOVERY_MIN),"Recovered only "&amp;TEXT($J88,"0%")&amp;" of the bore depth — the chamber probably did not fill completely. Material is missing, which is not the same as compaction. ","")&amp;IF(AND(ISNUMBER($J88),$J88&gt;1.05),"Recovered more than the bore depth — check the two measurements. ","")&amp;IF(AND(ISNUMBER($I88),$I88&gt;2),"Surface compaction of "&amp;$I88&amp;" cm: depths in this core sit shallower than in the ground, so depth-limited stock is biased. Full-profile stock is unaffected. ",""))</f>
        <v/>
      </c>
      <c r="V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8">
        <f>IF(OR($G89="",$H89="",$G89=0),"",$H89/$G89)</f>
        <v/>
      </c>
      <c r="K89" s="14" t="n"/>
      <c r="L89" s="14" t="n"/>
      <c r="M89" s="14" t="n"/>
      <c r="N89" s="14" t="n"/>
      <c r="O89" s="14" t="n"/>
      <c r="P89" s="14" t="n"/>
      <c r="Q89" s="18">
        <f>IF($A89="","",IF(SUMPRODUCT(MAX(('3. Peat Data'!$B$5:$B$604=$A89)*'3. Peat Data'!$F$5:$F$604))=0,"",SUMPRODUCT(MAX(('3. Peat Data'!$B$5:$B$604=$A89)*'3. Peat Data'!$F$5:$F$604))))</f>
        <v/>
      </c>
      <c r="R89" s="18">
        <f>IF($A89="","",IFERROR(SUMIFS('3. Peat Data'!$P$5:$P$604,'3. Peat Data'!$B$5:$B$604,$A89),""))</f>
        <v/>
      </c>
      <c r="S89" s="18">
        <f>IF($A89="","",IFERROR(SUMIFS('3. Peat Data'!$Q$5:$Q$604,'3. Peat Data'!$B$5:$B$604,$A89),""))</f>
        <v/>
      </c>
      <c r="T89" s="18">
        <f>IF(NOT(ISNUMBER($Q89)),"",IF($Q89&gt;=REFERENCE_DEPTH_CM,"Yes","No"))</f>
        <v/>
      </c>
      <c r="U89" s="18">
        <f>IF($A89="","",IF(AND($B89&lt;&gt;"",COUNTIF('1. Plot &amp; Site Log'!$A$5:$A$64,$B89)=0),"Plot ID not in Plot &amp; Site Log. ","")&amp;IF(NOT(ISNUMBER($Q89)),"No peat sections logged for this core. ","")&amp;IF($T89="No","Core stops short of the reference depth, so its reference-depth stock is an underestimate. Its full-profile stock is still valid. ","")&amp;IF($L89="No","Core did not reach the mineral contact — the full-profile stock is a MINIMUM, not the whole store. ","")&amp;IF(AND(ISNUMBER($K89),$K89&lt;PEATLAND_MIN_DEPTH_CM),"Organic depth under "&amp;PEATLAND_MIN_DEPTH_CM&amp;" cm: by the guide's definition this is not peatland. Report it, but say so. ","")&amp;IF(AND(ISNUMBER($J89),$J89&lt;QC_RECOVERY_MIN),"Recovered only "&amp;TEXT($J89,"0%")&amp;" of the bore depth — the chamber probably did not fill completely. Material is missing, which is not the same as compaction. ","")&amp;IF(AND(ISNUMBER($J89),$J89&gt;1.05),"Recovered more than the bore depth — check the two measurements. ","")&amp;IF(AND(ISNUMBER($I89),$I89&gt;2),"Surface compaction of "&amp;$I89&amp;" cm: depths in this core sit shallower than in the ground, so depth-limited stock is biased. Full-profile stock is unaffected. ",""))</f>
        <v/>
      </c>
      <c r="V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8">
        <f>IF(OR($G90="",$H90="",$G90=0),"",$H90/$G90)</f>
        <v/>
      </c>
      <c r="K90" s="14" t="n"/>
      <c r="L90" s="14" t="n"/>
      <c r="M90" s="14" t="n"/>
      <c r="N90" s="14" t="n"/>
      <c r="O90" s="14" t="n"/>
      <c r="P90" s="14" t="n"/>
      <c r="Q90" s="18">
        <f>IF($A90="","",IF(SUMPRODUCT(MAX(('3. Peat Data'!$B$5:$B$604=$A90)*'3. Peat Data'!$F$5:$F$604))=0,"",SUMPRODUCT(MAX(('3. Peat Data'!$B$5:$B$604=$A90)*'3. Peat Data'!$F$5:$F$604))))</f>
        <v/>
      </c>
      <c r="R90" s="18">
        <f>IF($A90="","",IFERROR(SUMIFS('3. Peat Data'!$P$5:$P$604,'3. Peat Data'!$B$5:$B$604,$A90),""))</f>
        <v/>
      </c>
      <c r="S90" s="18">
        <f>IF($A90="","",IFERROR(SUMIFS('3. Peat Data'!$Q$5:$Q$604,'3. Peat Data'!$B$5:$B$604,$A90),""))</f>
        <v/>
      </c>
      <c r="T90" s="18">
        <f>IF(NOT(ISNUMBER($Q90)),"",IF($Q90&gt;=REFERENCE_DEPTH_CM,"Yes","No"))</f>
        <v/>
      </c>
      <c r="U90" s="18">
        <f>IF($A90="","",IF(AND($B90&lt;&gt;"",COUNTIF('1. Plot &amp; Site Log'!$A$5:$A$64,$B90)=0),"Plot ID not in Plot &amp; Site Log. ","")&amp;IF(NOT(ISNUMBER($Q90)),"No peat sections logged for this core. ","")&amp;IF($T90="No","Core stops short of the reference depth, so its reference-depth stock is an underestimate. Its full-profile stock is still valid. ","")&amp;IF($L90="No","Core did not reach the mineral contact — the full-profile stock is a MINIMUM, not the whole store. ","")&amp;IF(AND(ISNUMBER($K90),$K90&lt;PEATLAND_MIN_DEPTH_CM),"Organic depth under "&amp;PEATLAND_MIN_DEPTH_CM&amp;" cm: by the guide's definition this is not peatland. Report it, but say so. ","")&amp;IF(AND(ISNUMBER($J90),$J90&lt;QC_RECOVERY_MIN),"Recovered only "&amp;TEXT($J90,"0%")&amp;" of the bore depth — the chamber probably did not fill completely. Material is missing, which is not the same as compaction. ","")&amp;IF(AND(ISNUMBER($J90),$J90&gt;1.05),"Recovered more than the bore depth — check the two measurements. ","")&amp;IF(AND(ISNUMBER($I90),$I90&gt;2),"Surface compaction of "&amp;$I90&amp;" cm: depths in this core sit shallower than in the ground, so depth-limited stock is biased. Full-profile stock is unaffected. ",""))</f>
        <v/>
      </c>
      <c r="V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8">
        <f>IF(OR($G91="",$H91="",$G91=0),"",$H91/$G91)</f>
        <v/>
      </c>
      <c r="K91" s="14" t="n"/>
      <c r="L91" s="14" t="n"/>
      <c r="M91" s="14" t="n"/>
      <c r="N91" s="14" t="n"/>
      <c r="O91" s="14" t="n"/>
      <c r="P91" s="14" t="n"/>
      <c r="Q91" s="18">
        <f>IF($A91="","",IF(SUMPRODUCT(MAX(('3. Peat Data'!$B$5:$B$604=$A91)*'3. Peat Data'!$F$5:$F$604))=0,"",SUMPRODUCT(MAX(('3. Peat Data'!$B$5:$B$604=$A91)*'3. Peat Data'!$F$5:$F$604))))</f>
        <v/>
      </c>
      <c r="R91" s="18">
        <f>IF($A91="","",IFERROR(SUMIFS('3. Peat Data'!$P$5:$P$604,'3. Peat Data'!$B$5:$B$604,$A91),""))</f>
        <v/>
      </c>
      <c r="S91" s="18">
        <f>IF($A91="","",IFERROR(SUMIFS('3. Peat Data'!$Q$5:$Q$604,'3. Peat Data'!$B$5:$B$604,$A91),""))</f>
        <v/>
      </c>
      <c r="T91" s="18">
        <f>IF(NOT(ISNUMBER($Q91)),"",IF($Q91&gt;=REFERENCE_DEPTH_CM,"Yes","No"))</f>
        <v/>
      </c>
      <c r="U91" s="18">
        <f>IF($A91="","",IF(AND($B91&lt;&gt;"",COUNTIF('1. Plot &amp; Site Log'!$A$5:$A$64,$B91)=0),"Plot ID not in Plot &amp; Site Log. ","")&amp;IF(NOT(ISNUMBER($Q91)),"No peat sections logged for this core. ","")&amp;IF($T91="No","Core stops short of the reference depth, so its reference-depth stock is an underestimate. Its full-profile stock is still valid. ","")&amp;IF($L91="No","Core did not reach the mineral contact — the full-profile stock is a MINIMUM, not the whole store. ","")&amp;IF(AND(ISNUMBER($K91),$K91&lt;PEATLAND_MIN_DEPTH_CM),"Organic depth under "&amp;PEATLAND_MIN_DEPTH_CM&amp;" cm: by the guide's definition this is not peatland. Report it, but say so. ","")&amp;IF(AND(ISNUMBER($J91),$J91&lt;QC_RECOVERY_MIN),"Recovered only "&amp;TEXT($J91,"0%")&amp;" of the bore depth — the chamber probably did not fill completely. Material is missing, which is not the same as compaction. ","")&amp;IF(AND(ISNUMBER($J91),$J91&gt;1.05),"Recovered more than the bore depth — check the two measurements. ","")&amp;IF(AND(ISNUMBER($I91),$I91&gt;2),"Surface compaction of "&amp;$I91&amp;" cm: depths in this core sit shallower than in the ground, so depth-limited stock is biased. Full-profile stock is unaffected. ",""))</f>
        <v/>
      </c>
      <c r="V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8">
        <f>IF(OR($G92="",$H92="",$G92=0),"",$H92/$G92)</f>
        <v/>
      </c>
      <c r="K92" s="14" t="n"/>
      <c r="L92" s="14" t="n"/>
      <c r="M92" s="14" t="n"/>
      <c r="N92" s="14" t="n"/>
      <c r="O92" s="14" t="n"/>
      <c r="P92" s="14" t="n"/>
      <c r="Q92" s="18">
        <f>IF($A92="","",IF(SUMPRODUCT(MAX(('3. Peat Data'!$B$5:$B$604=$A92)*'3. Peat Data'!$F$5:$F$604))=0,"",SUMPRODUCT(MAX(('3. Peat Data'!$B$5:$B$604=$A92)*'3. Peat Data'!$F$5:$F$604))))</f>
        <v/>
      </c>
      <c r="R92" s="18">
        <f>IF($A92="","",IFERROR(SUMIFS('3. Peat Data'!$P$5:$P$604,'3. Peat Data'!$B$5:$B$604,$A92),""))</f>
        <v/>
      </c>
      <c r="S92" s="18">
        <f>IF($A92="","",IFERROR(SUMIFS('3. Peat Data'!$Q$5:$Q$604,'3. Peat Data'!$B$5:$B$604,$A92),""))</f>
        <v/>
      </c>
      <c r="T92" s="18">
        <f>IF(NOT(ISNUMBER($Q92)),"",IF($Q92&gt;=REFERENCE_DEPTH_CM,"Yes","No"))</f>
        <v/>
      </c>
      <c r="U92" s="18">
        <f>IF($A92="","",IF(AND($B92&lt;&gt;"",COUNTIF('1. Plot &amp; Site Log'!$A$5:$A$64,$B92)=0),"Plot ID not in Plot &amp; Site Log. ","")&amp;IF(NOT(ISNUMBER($Q92)),"No peat sections logged for this core. ","")&amp;IF($T92="No","Core stops short of the reference depth, so its reference-depth stock is an underestimate. Its full-profile stock is still valid. ","")&amp;IF($L92="No","Core did not reach the mineral contact — the full-profile stock is a MINIMUM, not the whole store. ","")&amp;IF(AND(ISNUMBER($K92),$K92&lt;PEATLAND_MIN_DEPTH_CM),"Organic depth under "&amp;PEATLAND_MIN_DEPTH_CM&amp;" cm: by the guide's definition this is not peatland. Report it, but say so. ","")&amp;IF(AND(ISNUMBER($J92),$J92&lt;QC_RECOVERY_MIN),"Recovered only "&amp;TEXT($J92,"0%")&amp;" of the bore depth — the chamber probably did not fill completely. Material is missing, which is not the same as compaction. ","")&amp;IF(AND(ISNUMBER($J92),$J92&gt;1.05),"Recovered more than the bore depth — check the two measurements. ","")&amp;IF(AND(ISNUMBER($I92),$I92&gt;2),"Surface compaction of "&amp;$I92&amp;" cm: depths in this core sit shallower than in the ground, so depth-limited stock is biased. Full-profile stock is unaffected. ",""))</f>
        <v/>
      </c>
      <c r="V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8">
        <f>IF(OR($G93="",$H93="",$G93=0),"",$H93/$G93)</f>
        <v/>
      </c>
      <c r="K93" s="14" t="n"/>
      <c r="L93" s="14" t="n"/>
      <c r="M93" s="14" t="n"/>
      <c r="N93" s="14" t="n"/>
      <c r="O93" s="14" t="n"/>
      <c r="P93" s="14" t="n"/>
      <c r="Q93" s="18">
        <f>IF($A93="","",IF(SUMPRODUCT(MAX(('3. Peat Data'!$B$5:$B$604=$A93)*'3. Peat Data'!$F$5:$F$604))=0,"",SUMPRODUCT(MAX(('3. Peat Data'!$B$5:$B$604=$A93)*'3. Peat Data'!$F$5:$F$604))))</f>
        <v/>
      </c>
      <c r="R93" s="18">
        <f>IF($A93="","",IFERROR(SUMIFS('3. Peat Data'!$P$5:$P$604,'3. Peat Data'!$B$5:$B$604,$A93),""))</f>
        <v/>
      </c>
      <c r="S93" s="18">
        <f>IF($A93="","",IFERROR(SUMIFS('3. Peat Data'!$Q$5:$Q$604,'3. Peat Data'!$B$5:$B$604,$A93),""))</f>
        <v/>
      </c>
      <c r="T93" s="18">
        <f>IF(NOT(ISNUMBER($Q93)),"",IF($Q93&gt;=REFERENCE_DEPTH_CM,"Yes","No"))</f>
        <v/>
      </c>
      <c r="U93" s="18">
        <f>IF($A93="","",IF(AND($B93&lt;&gt;"",COUNTIF('1. Plot &amp; Site Log'!$A$5:$A$64,$B93)=0),"Plot ID not in Plot &amp; Site Log. ","")&amp;IF(NOT(ISNUMBER($Q93)),"No peat sections logged for this core. ","")&amp;IF($T93="No","Core stops short of the reference depth, so its reference-depth stock is an underestimate. Its full-profile stock is still valid. ","")&amp;IF($L93="No","Core did not reach the mineral contact — the full-profile stock is a MINIMUM, not the whole store. ","")&amp;IF(AND(ISNUMBER($K93),$K93&lt;PEATLAND_MIN_DEPTH_CM),"Organic depth under "&amp;PEATLAND_MIN_DEPTH_CM&amp;" cm: by the guide's definition this is not peatland. Report it, but say so. ","")&amp;IF(AND(ISNUMBER($J93),$J93&lt;QC_RECOVERY_MIN),"Recovered only "&amp;TEXT($J93,"0%")&amp;" of the bore depth — the chamber probably did not fill completely. Material is missing, which is not the same as compaction. ","")&amp;IF(AND(ISNUMBER($J93),$J93&gt;1.05),"Recovered more than the bore depth — check the two measurements. ","")&amp;IF(AND(ISNUMBER($I93),$I93&gt;2),"Surface compaction of "&amp;$I93&amp;" cm: depths in this core sit shallower than in the ground, so depth-limited stock is biased. Full-profile stock is unaffected. ",""))</f>
        <v/>
      </c>
      <c r="V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8">
        <f>IF(OR($G94="",$H94="",$G94=0),"",$H94/$G94)</f>
        <v/>
      </c>
      <c r="K94" s="14" t="n"/>
      <c r="L94" s="14" t="n"/>
      <c r="M94" s="14" t="n"/>
      <c r="N94" s="14" t="n"/>
      <c r="O94" s="14" t="n"/>
      <c r="P94" s="14" t="n"/>
      <c r="Q94" s="18">
        <f>IF($A94="","",IF(SUMPRODUCT(MAX(('3. Peat Data'!$B$5:$B$604=$A94)*'3. Peat Data'!$F$5:$F$604))=0,"",SUMPRODUCT(MAX(('3. Peat Data'!$B$5:$B$604=$A94)*'3. Peat Data'!$F$5:$F$604))))</f>
        <v/>
      </c>
      <c r="R94" s="18">
        <f>IF($A94="","",IFERROR(SUMIFS('3. Peat Data'!$P$5:$P$604,'3. Peat Data'!$B$5:$B$604,$A94),""))</f>
        <v/>
      </c>
      <c r="S94" s="18">
        <f>IF($A94="","",IFERROR(SUMIFS('3. Peat Data'!$Q$5:$Q$604,'3. Peat Data'!$B$5:$B$604,$A94),""))</f>
        <v/>
      </c>
      <c r="T94" s="18">
        <f>IF(NOT(ISNUMBER($Q94)),"",IF($Q94&gt;=REFERENCE_DEPTH_CM,"Yes","No"))</f>
        <v/>
      </c>
      <c r="U94" s="18">
        <f>IF($A94="","",IF(AND($B94&lt;&gt;"",COUNTIF('1. Plot &amp; Site Log'!$A$5:$A$64,$B94)=0),"Plot ID not in Plot &amp; Site Log. ","")&amp;IF(NOT(ISNUMBER($Q94)),"No peat sections logged for this core. ","")&amp;IF($T94="No","Core stops short of the reference depth, so its reference-depth stock is an underestimate. Its full-profile stock is still valid. ","")&amp;IF($L94="No","Core did not reach the mineral contact — the full-profile stock is a MINIMUM, not the whole store. ","")&amp;IF(AND(ISNUMBER($K94),$K94&lt;PEATLAND_MIN_DEPTH_CM),"Organic depth under "&amp;PEATLAND_MIN_DEPTH_CM&amp;" cm: by the guide's definition this is not peatland. Report it, but say so. ","")&amp;IF(AND(ISNUMBER($J94),$J94&lt;QC_RECOVERY_MIN),"Recovered only "&amp;TEXT($J94,"0%")&amp;" of the bore depth — the chamber probably did not fill completely. Material is missing, which is not the same as compaction. ","")&amp;IF(AND(ISNUMBER($J94),$J94&gt;1.05),"Recovered more than the bore depth — check the two measurements. ","")&amp;IF(AND(ISNUMBER($I94),$I94&gt;2),"Surface compaction of "&amp;$I94&amp;" cm: depths in this core sit shallower than in the ground, so depth-limited stock is biased. Full-profile stock is unaffected. ",""))</f>
        <v/>
      </c>
      <c r="V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8">
        <f>IF(OR($G95="",$H95="",$G95=0),"",$H95/$G95)</f>
        <v/>
      </c>
      <c r="K95" s="14" t="n"/>
      <c r="L95" s="14" t="n"/>
      <c r="M95" s="14" t="n"/>
      <c r="N95" s="14" t="n"/>
      <c r="O95" s="14" t="n"/>
      <c r="P95" s="14" t="n"/>
      <c r="Q95" s="18">
        <f>IF($A95="","",IF(SUMPRODUCT(MAX(('3. Peat Data'!$B$5:$B$604=$A95)*'3. Peat Data'!$F$5:$F$604))=0,"",SUMPRODUCT(MAX(('3. Peat Data'!$B$5:$B$604=$A95)*'3. Peat Data'!$F$5:$F$604))))</f>
        <v/>
      </c>
      <c r="R95" s="18">
        <f>IF($A95="","",IFERROR(SUMIFS('3. Peat Data'!$P$5:$P$604,'3. Peat Data'!$B$5:$B$604,$A95),""))</f>
        <v/>
      </c>
      <c r="S95" s="18">
        <f>IF($A95="","",IFERROR(SUMIFS('3. Peat Data'!$Q$5:$Q$604,'3. Peat Data'!$B$5:$B$604,$A95),""))</f>
        <v/>
      </c>
      <c r="T95" s="18">
        <f>IF(NOT(ISNUMBER($Q95)),"",IF($Q95&gt;=REFERENCE_DEPTH_CM,"Yes","No"))</f>
        <v/>
      </c>
      <c r="U95" s="18">
        <f>IF($A95="","",IF(AND($B95&lt;&gt;"",COUNTIF('1. Plot &amp; Site Log'!$A$5:$A$64,$B95)=0),"Plot ID not in Plot &amp; Site Log. ","")&amp;IF(NOT(ISNUMBER($Q95)),"No peat sections logged for this core. ","")&amp;IF($T95="No","Core stops short of the reference depth, so its reference-depth stock is an underestimate. Its full-profile stock is still valid. ","")&amp;IF($L95="No","Core did not reach the mineral contact — the full-profile stock is a MINIMUM, not the whole store. ","")&amp;IF(AND(ISNUMBER($K95),$K95&lt;PEATLAND_MIN_DEPTH_CM),"Organic depth under "&amp;PEATLAND_MIN_DEPTH_CM&amp;" cm: by the guide's definition this is not peatland. Report it, but say so. ","")&amp;IF(AND(ISNUMBER($J95),$J95&lt;QC_RECOVERY_MIN),"Recovered only "&amp;TEXT($J95,"0%")&amp;" of the bore depth — the chamber probably did not fill completely. Material is missing, which is not the same as compaction. ","")&amp;IF(AND(ISNUMBER($J95),$J95&gt;1.05),"Recovered more than the bore depth — check the two measurements. ","")&amp;IF(AND(ISNUMBER($I95),$I95&gt;2),"Surface compaction of "&amp;$I95&amp;" cm: depths in this core sit shallower than in the ground, so depth-limited stock is biased. Full-profile stock is unaffected. ",""))</f>
        <v/>
      </c>
      <c r="V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8">
        <f>IF(OR($G96="",$H96="",$G96=0),"",$H96/$G96)</f>
        <v/>
      </c>
      <c r="K96" s="14" t="n"/>
      <c r="L96" s="14" t="n"/>
      <c r="M96" s="14" t="n"/>
      <c r="N96" s="14" t="n"/>
      <c r="O96" s="14" t="n"/>
      <c r="P96" s="14" t="n"/>
      <c r="Q96" s="18">
        <f>IF($A96="","",IF(SUMPRODUCT(MAX(('3. Peat Data'!$B$5:$B$604=$A96)*'3. Peat Data'!$F$5:$F$604))=0,"",SUMPRODUCT(MAX(('3. Peat Data'!$B$5:$B$604=$A96)*'3. Peat Data'!$F$5:$F$604))))</f>
        <v/>
      </c>
      <c r="R96" s="18">
        <f>IF($A96="","",IFERROR(SUMIFS('3. Peat Data'!$P$5:$P$604,'3. Peat Data'!$B$5:$B$604,$A96),""))</f>
        <v/>
      </c>
      <c r="S96" s="18">
        <f>IF($A96="","",IFERROR(SUMIFS('3. Peat Data'!$Q$5:$Q$604,'3. Peat Data'!$B$5:$B$604,$A96),""))</f>
        <v/>
      </c>
      <c r="T96" s="18">
        <f>IF(NOT(ISNUMBER($Q96)),"",IF($Q96&gt;=REFERENCE_DEPTH_CM,"Yes","No"))</f>
        <v/>
      </c>
      <c r="U96" s="18">
        <f>IF($A96="","",IF(AND($B96&lt;&gt;"",COUNTIF('1. Plot &amp; Site Log'!$A$5:$A$64,$B96)=0),"Plot ID not in Plot &amp; Site Log. ","")&amp;IF(NOT(ISNUMBER($Q96)),"No peat sections logged for this core. ","")&amp;IF($T96="No","Core stops short of the reference depth, so its reference-depth stock is an underestimate. Its full-profile stock is still valid. ","")&amp;IF($L96="No","Core did not reach the mineral contact — the full-profile stock is a MINIMUM, not the whole store. ","")&amp;IF(AND(ISNUMBER($K96),$K96&lt;PEATLAND_MIN_DEPTH_CM),"Organic depth under "&amp;PEATLAND_MIN_DEPTH_CM&amp;" cm: by the guide's definition this is not peatland. Report it, but say so. ","")&amp;IF(AND(ISNUMBER($J96),$J96&lt;QC_RECOVERY_MIN),"Recovered only "&amp;TEXT($J96,"0%")&amp;" of the bore depth — the chamber probably did not fill completely. Material is missing, which is not the same as compaction. ","")&amp;IF(AND(ISNUMBER($J96),$J96&gt;1.05),"Recovered more than the bore depth — check the two measurements. ","")&amp;IF(AND(ISNUMBER($I96),$I96&gt;2),"Surface compaction of "&amp;$I96&amp;" cm: depths in this core sit shallower than in the ground, so depth-limited stock is biased. Full-profile stock is unaffected. ",""))</f>
        <v/>
      </c>
      <c r="V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8">
        <f>IF(OR($G97="",$H97="",$G97=0),"",$H97/$G97)</f>
        <v/>
      </c>
      <c r="K97" s="14" t="n"/>
      <c r="L97" s="14" t="n"/>
      <c r="M97" s="14" t="n"/>
      <c r="N97" s="14" t="n"/>
      <c r="O97" s="14" t="n"/>
      <c r="P97" s="14" t="n"/>
      <c r="Q97" s="18">
        <f>IF($A97="","",IF(SUMPRODUCT(MAX(('3. Peat Data'!$B$5:$B$604=$A97)*'3. Peat Data'!$F$5:$F$604))=0,"",SUMPRODUCT(MAX(('3. Peat Data'!$B$5:$B$604=$A97)*'3. Peat Data'!$F$5:$F$604))))</f>
        <v/>
      </c>
      <c r="R97" s="18">
        <f>IF($A97="","",IFERROR(SUMIFS('3. Peat Data'!$P$5:$P$604,'3. Peat Data'!$B$5:$B$604,$A97),""))</f>
        <v/>
      </c>
      <c r="S97" s="18">
        <f>IF($A97="","",IFERROR(SUMIFS('3. Peat Data'!$Q$5:$Q$604,'3. Peat Data'!$B$5:$B$604,$A97),""))</f>
        <v/>
      </c>
      <c r="T97" s="18">
        <f>IF(NOT(ISNUMBER($Q97)),"",IF($Q97&gt;=REFERENCE_DEPTH_CM,"Yes","No"))</f>
        <v/>
      </c>
      <c r="U97" s="18">
        <f>IF($A97="","",IF(AND($B97&lt;&gt;"",COUNTIF('1. Plot &amp; Site Log'!$A$5:$A$64,$B97)=0),"Plot ID not in Plot &amp; Site Log. ","")&amp;IF(NOT(ISNUMBER($Q97)),"No peat sections logged for this core. ","")&amp;IF($T97="No","Core stops short of the reference depth, so its reference-depth stock is an underestimate. Its full-profile stock is still valid. ","")&amp;IF($L97="No","Core did not reach the mineral contact — the full-profile stock is a MINIMUM, not the whole store. ","")&amp;IF(AND(ISNUMBER($K97),$K97&lt;PEATLAND_MIN_DEPTH_CM),"Organic depth under "&amp;PEATLAND_MIN_DEPTH_CM&amp;" cm: by the guide's definition this is not peatland. Report it, but say so. ","")&amp;IF(AND(ISNUMBER($J97),$J97&lt;QC_RECOVERY_MIN),"Recovered only "&amp;TEXT($J97,"0%")&amp;" of the bore depth — the chamber probably did not fill completely. Material is missing, which is not the same as compaction. ","")&amp;IF(AND(ISNUMBER($J97),$J97&gt;1.05),"Recovered more than the bore depth — check the two measurements. ","")&amp;IF(AND(ISNUMBER($I97),$I97&gt;2),"Surface compaction of "&amp;$I97&amp;" cm: depths in this core sit shallower than in the ground, so depth-limited stock is biased. Full-profile stock is unaffected. ",""))</f>
        <v/>
      </c>
      <c r="V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8">
        <f>IF(OR($G98="",$H98="",$G98=0),"",$H98/$G98)</f>
        <v/>
      </c>
      <c r="K98" s="14" t="n"/>
      <c r="L98" s="14" t="n"/>
      <c r="M98" s="14" t="n"/>
      <c r="N98" s="14" t="n"/>
      <c r="O98" s="14" t="n"/>
      <c r="P98" s="14" t="n"/>
      <c r="Q98" s="18">
        <f>IF($A98="","",IF(SUMPRODUCT(MAX(('3. Peat Data'!$B$5:$B$604=$A98)*'3. Peat Data'!$F$5:$F$604))=0,"",SUMPRODUCT(MAX(('3. Peat Data'!$B$5:$B$604=$A98)*'3. Peat Data'!$F$5:$F$604))))</f>
        <v/>
      </c>
      <c r="R98" s="18">
        <f>IF($A98="","",IFERROR(SUMIFS('3. Peat Data'!$P$5:$P$604,'3. Peat Data'!$B$5:$B$604,$A98),""))</f>
        <v/>
      </c>
      <c r="S98" s="18">
        <f>IF($A98="","",IFERROR(SUMIFS('3. Peat Data'!$Q$5:$Q$604,'3. Peat Data'!$B$5:$B$604,$A98),""))</f>
        <v/>
      </c>
      <c r="T98" s="18">
        <f>IF(NOT(ISNUMBER($Q98)),"",IF($Q98&gt;=REFERENCE_DEPTH_CM,"Yes","No"))</f>
        <v/>
      </c>
      <c r="U98" s="18">
        <f>IF($A98="","",IF(AND($B98&lt;&gt;"",COUNTIF('1. Plot &amp; Site Log'!$A$5:$A$64,$B98)=0),"Plot ID not in Plot &amp; Site Log. ","")&amp;IF(NOT(ISNUMBER($Q98)),"No peat sections logged for this core. ","")&amp;IF($T98="No","Core stops short of the reference depth, so its reference-depth stock is an underestimate. Its full-profile stock is still valid. ","")&amp;IF($L98="No","Core did not reach the mineral contact — the full-profile stock is a MINIMUM, not the whole store. ","")&amp;IF(AND(ISNUMBER($K98),$K98&lt;PEATLAND_MIN_DEPTH_CM),"Organic depth under "&amp;PEATLAND_MIN_DEPTH_CM&amp;" cm: by the guide's definition this is not peatland. Report it, but say so. ","")&amp;IF(AND(ISNUMBER($J98),$J98&lt;QC_RECOVERY_MIN),"Recovered only "&amp;TEXT($J98,"0%")&amp;" of the bore depth — the chamber probably did not fill completely. Material is missing, which is not the same as compaction. ","")&amp;IF(AND(ISNUMBER($J98),$J98&gt;1.05),"Recovered more than the bore depth — check the two measurements. ","")&amp;IF(AND(ISNUMBER($I98),$I98&gt;2),"Surface compaction of "&amp;$I98&amp;" cm: depths in this core sit shallower than in the ground, so depth-limited stock is biased. Full-profile stock is unaffected. ",""))</f>
        <v/>
      </c>
      <c r="V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8">
        <f>IF(OR($G99="",$H99="",$G99=0),"",$H99/$G99)</f>
        <v/>
      </c>
      <c r="K99" s="14" t="n"/>
      <c r="L99" s="14" t="n"/>
      <c r="M99" s="14" t="n"/>
      <c r="N99" s="14" t="n"/>
      <c r="O99" s="14" t="n"/>
      <c r="P99" s="14" t="n"/>
      <c r="Q99" s="18">
        <f>IF($A99="","",IF(SUMPRODUCT(MAX(('3. Peat Data'!$B$5:$B$604=$A99)*'3. Peat Data'!$F$5:$F$604))=0,"",SUMPRODUCT(MAX(('3. Peat Data'!$B$5:$B$604=$A99)*'3. Peat Data'!$F$5:$F$604))))</f>
        <v/>
      </c>
      <c r="R99" s="18">
        <f>IF($A99="","",IFERROR(SUMIFS('3. Peat Data'!$P$5:$P$604,'3. Peat Data'!$B$5:$B$604,$A99),""))</f>
        <v/>
      </c>
      <c r="S99" s="18">
        <f>IF($A99="","",IFERROR(SUMIFS('3. Peat Data'!$Q$5:$Q$604,'3. Peat Data'!$B$5:$B$604,$A99),""))</f>
        <v/>
      </c>
      <c r="T99" s="18">
        <f>IF(NOT(ISNUMBER($Q99)),"",IF($Q99&gt;=REFERENCE_DEPTH_CM,"Yes","No"))</f>
        <v/>
      </c>
      <c r="U99" s="18">
        <f>IF($A99="","",IF(AND($B99&lt;&gt;"",COUNTIF('1. Plot &amp; Site Log'!$A$5:$A$64,$B99)=0),"Plot ID not in Plot &amp; Site Log. ","")&amp;IF(NOT(ISNUMBER($Q99)),"No peat sections logged for this core. ","")&amp;IF($T99="No","Core stops short of the reference depth, so its reference-depth stock is an underestimate. Its full-profile stock is still valid. ","")&amp;IF($L99="No","Core did not reach the mineral contact — the full-profile stock is a MINIMUM, not the whole store. ","")&amp;IF(AND(ISNUMBER($K99),$K99&lt;PEATLAND_MIN_DEPTH_CM),"Organic depth under "&amp;PEATLAND_MIN_DEPTH_CM&amp;" cm: by the guide's definition this is not peatland. Report it, but say so. ","")&amp;IF(AND(ISNUMBER($J99),$J99&lt;QC_RECOVERY_MIN),"Recovered only "&amp;TEXT($J99,"0%")&amp;" of the bore depth — the chamber probably did not fill completely. Material is missing, which is not the same as compaction. ","")&amp;IF(AND(ISNUMBER($J99),$J99&gt;1.05),"Recovered more than the bore depth — check the two measurements. ","")&amp;IF(AND(ISNUMBER($I99),$I99&gt;2),"Surface compaction of "&amp;$I99&amp;" cm: depths in this core sit shallower than in the ground, so depth-limited stock is biased. Full-profile stock is unaffected. ",""))</f>
        <v/>
      </c>
      <c r="V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8">
        <f>IF(OR($G100="",$H100="",$G100=0),"",$H100/$G100)</f>
        <v/>
      </c>
      <c r="K100" s="14" t="n"/>
      <c r="L100" s="14" t="n"/>
      <c r="M100" s="14" t="n"/>
      <c r="N100" s="14" t="n"/>
      <c r="O100" s="14" t="n"/>
      <c r="P100" s="14" t="n"/>
      <c r="Q100" s="18">
        <f>IF($A100="","",IF(SUMPRODUCT(MAX(('3. Peat Data'!$B$5:$B$604=$A100)*'3. Peat Data'!$F$5:$F$604))=0,"",SUMPRODUCT(MAX(('3. Peat Data'!$B$5:$B$604=$A100)*'3. Peat Data'!$F$5:$F$604))))</f>
        <v/>
      </c>
      <c r="R100" s="18">
        <f>IF($A100="","",IFERROR(SUMIFS('3. Peat Data'!$P$5:$P$604,'3. Peat Data'!$B$5:$B$604,$A100),""))</f>
        <v/>
      </c>
      <c r="S100" s="18">
        <f>IF($A100="","",IFERROR(SUMIFS('3. Peat Data'!$Q$5:$Q$604,'3. Peat Data'!$B$5:$B$604,$A100),""))</f>
        <v/>
      </c>
      <c r="T100" s="18">
        <f>IF(NOT(ISNUMBER($Q100)),"",IF($Q100&gt;=REFERENCE_DEPTH_CM,"Yes","No"))</f>
        <v/>
      </c>
      <c r="U100" s="18">
        <f>IF($A100="","",IF(AND($B100&lt;&gt;"",COUNTIF('1. Plot &amp; Site Log'!$A$5:$A$64,$B100)=0),"Plot ID not in Plot &amp; Site Log. ","")&amp;IF(NOT(ISNUMBER($Q100)),"No peat sections logged for this core. ","")&amp;IF($T100="No","Core stops short of the reference depth, so its reference-depth stock is an underestimate. Its full-profile stock is still valid. ","")&amp;IF($L100="No","Core did not reach the mineral contact — the full-profile stock is a MINIMUM, not the whole store. ","")&amp;IF(AND(ISNUMBER($K100),$K100&lt;PEATLAND_MIN_DEPTH_CM),"Organic depth under "&amp;PEATLAND_MIN_DEPTH_CM&amp;" cm: by the guide's definition this is not peatland. Report it, but say so. ","")&amp;IF(AND(ISNUMBER($J100),$J100&lt;QC_RECOVERY_MIN),"Recovered only "&amp;TEXT($J100,"0%")&amp;" of the bore depth — the chamber probably did not fill completely. Material is missing, which is not the same as compaction. ","")&amp;IF(AND(ISNUMBER($J100),$J100&gt;1.05),"Recovered more than the bore depth — check the two measurements. ","")&amp;IF(AND(ISNUMBER($I100),$I100&gt;2),"Surface compaction of "&amp;$I100&amp;" cm: depths in this core sit shallower than in the ground, so depth-limited stock is biased. Full-profile stock is unaffected. ",""))</f>
        <v/>
      </c>
      <c r="V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8">
        <f>IF(OR($G101="",$H101="",$G101=0),"",$H101/$G101)</f>
        <v/>
      </c>
      <c r="K101" s="14" t="n"/>
      <c r="L101" s="14" t="n"/>
      <c r="M101" s="14" t="n"/>
      <c r="N101" s="14" t="n"/>
      <c r="O101" s="14" t="n"/>
      <c r="P101" s="14" t="n"/>
      <c r="Q101" s="18">
        <f>IF($A101="","",IF(SUMPRODUCT(MAX(('3. Peat Data'!$B$5:$B$604=$A101)*'3. Peat Data'!$F$5:$F$604))=0,"",SUMPRODUCT(MAX(('3. Peat Data'!$B$5:$B$604=$A101)*'3. Peat Data'!$F$5:$F$604))))</f>
        <v/>
      </c>
      <c r="R101" s="18">
        <f>IF($A101="","",IFERROR(SUMIFS('3. Peat Data'!$P$5:$P$604,'3. Peat Data'!$B$5:$B$604,$A101),""))</f>
        <v/>
      </c>
      <c r="S101" s="18">
        <f>IF($A101="","",IFERROR(SUMIFS('3. Peat Data'!$Q$5:$Q$604,'3. Peat Data'!$B$5:$B$604,$A101),""))</f>
        <v/>
      </c>
      <c r="T101" s="18">
        <f>IF(NOT(ISNUMBER($Q101)),"",IF($Q101&gt;=REFERENCE_DEPTH_CM,"Yes","No"))</f>
        <v/>
      </c>
      <c r="U101" s="18">
        <f>IF($A101="","",IF(AND($B101&lt;&gt;"",COUNTIF('1. Plot &amp; Site Log'!$A$5:$A$64,$B101)=0),"Plot ID not in Plot &amp; Site Log. ","")&amp;IF(NOT(ISNUMBER($Q101)),"No peat sections logged for this core. ","")&amp;IF($T101="No","Core stops short of the reference depth, so its reference-depth stock is an underestimate. Its full-profile stock is still valid. ","")&amp;IF($L101="No","Core did not reach the mineral contact — the full-profile stock is a MINIMUM, not the whole store. ","")&amp;IF(AND(ISNUMBER($K101),$K101&lt;PEATLAND_MIN_DEPTH_CM),"Organic depth under "&amp;PEATLAND_MIN_DEPTH_CM&amp;" cm: by the guide's definition this is not peatland. Report it, but say so. ","")&amp;IF(AND(ISNUMBER($J101),$J101&lt;QC_RECOVERY_MIN),"Recovered only "&amp;TEXT($J101,"0%")&amp;" of the bore depth — the chamber probably did not fill completely. Material is missing, which is not the same as compaction. ","")&amp;IF(AND(ISNUMBER($J101),$J101&gt;1.05),"Recovered more than the bore depth — check the two measurements. ","")&amp;IF(AND(ISNUMBER($I101),$I101&gt;2),"Surface compaction of "&amp;$I101&amp;" cm: depths in this core sit shallower than in the ground, so depth-limited stock is biased. Full-profile stock is unaffected. ",""))</f>
        <v/>
      </c>
      <c r="V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8">
        <f>IF(OR($G102="",$H102="",$G102=0),"",$H102/$G102)</f>
        <v/>
      </c>
      <c r="K102" s="14" t="n"/>
      <c r="L102" s="14" t="n"/>
      <c r="M102" s="14" t="n"/>
      <c r="N102" s="14" t="n"/>
      <c r="O102" s="14" t="n"/>
      <c r="P102" s="14" t="n"/>
      <c r="Q102" s="18">
        <f>IF($A102="","",IF(SUMPRODUCT(MAX(('3. Peat Data'!$B$5:$B$604=$A102)*'3. Peat Data'!$F$5:$F$604))=0,"",SUMPRODUCT(MAX(('3. Peat Data'!$B$5:$B$604=$A102)*'3. Peat Data'!$F$5:$F$604))))</f>
        <v/>
      </c>
      <c r="R102" s="18">
        <f>IF($A102="","",IFERROR(SUMIFS('3. Peat Data'!$P$5:$P$604,'3. Peat Data'!$B$5:$B$604,$A102),""))</f>
        <v/>
      </c>
      <c r="S102" s="18">
        <f>IF($A102="","",IFERROR(SUMIFS('3. Peat Data'!$Q$5:$Q$604,'3. Peat Data'!$B$5:$B$604,$A102),""))</f>
        <v/>
      </c>
      <c r="T102" s="18">
        <f>IF(NOT(ISNUMBER($Q102)),"",IF($Q102&gt;=REFERENCE_DEPTH_CM,"Yes","No"))</f>
        <v/>
      </c>
      <c r="U102" s="18">
        <f>IF($A102="","",IF(AND($B102&lt;&gt;"",COUNTIF('1. Plot &amp; Site Log'!$A$5:$A$64,$B102)=0),"Plot ID not in Plot &amp; Site Log. ","")&amp;IF(NOT(ISNUMBER($Q102)),"No peat sections logged for this core. ","")&amp;IF($T102="No","Core stops short of the reference depth, so its reference-depth stock is an underestimate. Its full-profile stock is still valid. ","")&amp;IF($L102="No","Core did not reach the mineral contact — the full-profile stock is a MINIMUM, not the whole store. ","")&amp;IF(AND(ISNUMBER($K102),$K102&lt;PEATLAND_MIN_DEPTH_CM),"Organic depth under "&amp;PEATLAND_MIN_DEPTH_CM&amp;" cm: by the guide's definition this is not peatland. Report it, but say so. ","")&amp;IF(AND(ISNUMBER($J102),$J102&lt;QC_RECOVERY_MIN),"Recovered only "&amp;TEXT($J102,"0%")&amp;" of the bore depth — the chamber probably did not fill completely. Material is missing, which is not the same as compaction. ","")&amp;IF(AND(ISNUMBER($J102),$J102&gt;1.05),"Recovered more than the bore depth — check the two measurements. ","")&amp;IF(AND(ISNUMBER($I102),$I102&gt;2),"Surface compaction of "&amp;$I102&amp;" cm: depths in this core sit shallower than in the ground, so depth-limited stock is biased. Full-profile stock is unaffected. ",""))</f>
        <v/>
      </c>
      <c r="V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8">
        <f>IF(OR($G103="",$H103="",$G103=0),"",$H103/$G103)</f>
        <v/>
      </c>
      <c r="K103" s="14" t="n"/>
      <c r="L103" s="14" t="n"/>
      <c r="M103" s="14" t="n"/>
      <c r="N103" s="14" t="n"/>
      <c r="O103" s="14" t="n"/>
      <c r="P103" s="14" t="n"/>
      <c r="Q103" s="18">
        <f>IF($A103="","",IF(SUMPRODUCT(MAX(('3. Peat Data'!$B$5:$B$604=$A103)*'3. Peat Data'!$F$5:$F$604))=0,"",SUMPRODUCT(MAX(('3. Peat Data'!$B$5:$B$604=$A103)*'3. Peat Data'!$F$5:$F$604))))</f>
        <v/>
      </c>
      <c r="R103" s="18">
        <f>IF($A103="","",IFERROR(SUMIFS('3. Peat Data'!$P$5:$P$604,'3. Peat Data'!$B$5:$B$604,$A103),""))</f>
        <v/>
      </c>
      <c r="S103" s="18">
        <f>IF($A103="","",IFERROR(SUMIFS('3. Peat Data'!$Q$5:$Q$604,'3. Peat Data'!$B$5:$B$604,$A103),""))</f>
        <v/>
      </c>
      <c r="T103" s="18">
        <f>IF(NOT(ISNUMBER($Q103)),"",IF($Q103&gt;=REFERENCE_DEPTH_CM,"Yes","No"))</f>
        <v/>
      </c>
      <c r="U103" s="18">
        <f>IF($A103="","",IF(AND($B103&lt;&gt;"",COUNTIF('1. Plot &amp; Site Log'!$A$5:$A$64,$B103)=0),"Plot ID not in Plot &amp; Site Log. ","")&amp;IF(NOT(ISNUMBER($Q103)),"No peat sections logged for this core. ","")&amp;IF($T103="No","Core stops short of the reference depth, so its reference-depth stock is an underestimate. Its full-profile stock is still valid. ","")&amp;IF($L103="No","Core did not reach the mineral contact — the full-profile stock is a MINIMUM, not the whole store. ","")&amp;IF(AND(ISNUMBER($K103),$K103&lt;PEATLAND_MIN_DEPTH_CM),"Organic depth under "&amp;PEATLAND_MIN_DEPTH_CM&amp;" cm: by the guide's definition this is not peatland. Report it, but say so. ","")&amp;IF(AND(ISNUMBER($J103),$J103&lt;QC_RECOVERY_MIN),"Recovered only "&amp;TEXT($J103,"0%")&amp;" of the bore depth — the chamber probably did not fill completely. Material is missing, which is not the same as compaction. ","")&amp;IF(AND(ISNUMBER($J103),$J103&gt;1.05),"Recovered more than the bore depth — check the two measurements. ","")&amp;IF(AND(ISNUMBER($I103),$I103&gt;2),"Surface compaction of "&amp;$I103&amp;" cm: depths in this core sit shallower than in the ground, so depth-limited stock is biased. Full-profile stock is unaffected. ",""))</f>
        <v/>
      </c>
      <c r="V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8">
        <f>IF(OR($G104="",$H104="",$G104=0),"",$H104/$G104)</f>
        <v/>
      </c>
      <c r="K104" s="14" t="n"/>
      <c r="L104" s="14" t="n"/>
      <c r="M104" s="14" t="n"/>
      <c r="N104" s="14" t="n"/>
      <c r="O104" s="14" t="n"/>
      <c r="P104" s="14" t="n"/>
      <c r="Q104" s="18">
        <f>IF($A104="","",IF(SUMPRODUCT(MAX(('3. Peat Data'!$B$5:$B$604=$A104)*'3. Peat Data'!$F$5:$F$604))=0,"",SUMPRODUCT(MAX(('3. Peat Data'!$B$5:$B$604=$A104)*'3. Peat Data'!$F$5:$F$604))))</f>
        <v/>
      </c>
      <c r="R104" s="18">
        <f>IF($A104="","",IFERROR(SUMIFS('3. Peat Data'!$P$5:$P$604,'3. Peat Data'!$B$5:$B$604,$A104),""))</f>
        <v/>
      </c>
      <c r="S104" s="18">
        <f>IF($A104="","",IFERROR(SUMIFS('3. Peat Data'!$Q$5:$Q$604,'3. Peat Data'!$B$5:$B$604,$A104),""))</f>
        <v/>
      </c>
      <c r="T104" s="18">
        <f>IF(NOT(ISNUMBER($Q104)),"",IF($Q104&gt;=REFERENCE_DEPTH_CM,"Yes","No"))</f>
        <v/>
      </c>
      <c r="U104" s="18">
        <f>IF($A104="","",IF(AND($B104&lt;&gt;"",COUNTIF('1. Plot &amp; Site Log'!$A$5:$A$64,$B104)=0),"Plot ID not in Plot &amp; Site Log. ","")&amp;IF(NOT(ISNUMBER($Q104)),"No peat sections logged for this core. ","")&amp;IF($T104="No","Core stops short of the reference depth, so its reference-depth stock is an underestimate. Its full-profile stock is still valid. ","")&amp;IF($L104="No","Core did not reach the mineral contact — the full-profile stock is a MINIMUM, not the whole store. ","")&amp;IF(AND(ISNUMBER($K104),$K104&lt;PEATLAND_MIN_DEPTH_CM),"Organic depth under "&amp;PEATLAND_MIN_DEPTH_CM&amp;" cm: by the guide's definition this is not peatland. Report it, but say so. ","")&amp;IF(AND(ISNUMBER($J104),$J104&lt;QC_RECOVERY_MIN),"Recovered only "&amp;TEXT($J104,"0%")&amp;" of the bore depth — the chamber probably did not fill completely. Material is missing, which is not the same as compaction. ","")&amp;IF(AND(ISNUMBER($J104),$J104&gt;1.05),"Recovered more than the bore depth — check the two measurements. ","")&amp;IF(AND(ISNUMBER($I104),$I104&gt;2),"Surface compaction of "&amp;$I104&amp;" cm: depths in this core sit shallower than in the ground, so depth-limited stock is biased. Full-profile stock is unaffected. ",""))</f>
        <v/>
      </c>
      <c r="V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8">
        <f>IF(OR($G105="",$H105="",$G105=0),"",$H105/$G105)</f>
        <v/>
      </c>
      <c r="K105" s="14" t="n"/>
      <c r="L105" s="14" t="n"/>
      <c r="M105" s="14" t="n"/>
      <c r="N105" s="14" t="n"/>
      <c r="O105" s="14" t="n"/>
      <c r="P105" s="14" t="n"/>
      <c r="Q105" s="18">
        <f>IF($A105="","",IF(SUMPRODUCT(MAX(('3. Peat Data'!$B$5:$B$604=$A105)*'3. Peat Data'!$F$5:$F$604))=0,"",SUMPRODUCT(MAX(('3. Peat Data'!$B$5:$B$604=$A105)*'3. Peat Data'!$F$5:$F$604))))</f>
        <v/>
      </c>
      <c r="R105" s="18">
        <f>IF($A105="","",IFERROR(SUMIFS('3. Peat Data'!$P$5:$P$604,'3. Peat Data'!$B$5:$B$604,$A105),""))</f>
        <v/>
      </c>
      <c r="S105" s="18">
        <f>IF($A105="","",IFERROR(SUMIFS('3. Peat Data'!$Q$5:$Q$604,'3. Peat Data'!$B$5:$B$604,$A105),""))</f>
        <v/>
      </c>
      <c r="T105" s="18">
        <f>IF(NOT(ISNUMBER($Q105)),"",IF($Q105&gt;=REFERENCE_DEPTH_CM,"Yes","No"))</f>
        <v/>
      </c>
      <c r="U105" s="18">
        <f>IF($A105="","",IF(AND($B105&lt;&gt;"",COUNTIF('1. Plot &amp; Site Log'!$A$5:$A$64,$B105)=0),"Plot ID not in Plot &amp; Site Log. ","")&amp;IF(NOT(ISNUMBER($Q105)),"No peat sections logged for this core. ","")&amp;IF($T105="No","Core stops short of the reference depth, so its reference-depth stock is an underestimate. Its full-profile stock is still valid. ","")&amp;IF($L105="No","Core did not reach the mineral contact — the full-profile stock is a MINIMUM, not the whole store. ","")&amp;IF(AND(ISNUMBER($K105),$K105&lt;PEATLAND_MIN_DEPTH_CM),"Organic depth under "&amp;PEATLAND_MIN_DEPTH_CM&amp;" cm: by the guide's definition this is not peatland. Report it, but say so. ","")&amp;IF(AND(ISNUMBER($J105),$J105&lt;QC_RECOVERY_MIN),"Recovered only "&amp;TEXT($J105,"0%")&amp;" of the bore depth — the chamber probably did not fill completely. Material is missing, which is not the same as compaction. ","")&amp;IF(AND(ISNUMBER($J105),$J105&gt;1.05),"Recovered more than the bore depth — check the two measurements. ","")&amp;IF(AND(ISNUMBER($I105),$I105&gt;2),"Surface compaction of "&amp;$I105&amp;" cm: depths in this core sit shallower than in the ground, so depth-limited stock is biased. Full-profile stock is unaffected. ",""))</f>
        <v/>
      </c>
      <c r="V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8">
        <f>IF(OR($G106="",$H106="",$G106=0),"",$H106/$G106)</f>
        <v/>
      </c>
      <c r="K106" s="14" t="n"/>
      <c r="L106" s="14" t="n"/>
      <c r="M106" s="14" t="n"/>
      <c r="N106" s="14" t="n"/>
      <c r="O106" s="14" t="n"/>
      <c r="P106" s="14" t="n"/>
      <c r="Q106" s="18">
        <f>IF($A106="","",IF(SUMPRODUCT(MAX(('3. Peat Data'!$B$5:$B$604=$A106)*'3. Peat Data'!$F$5:$F$604))=0,"",SUMPRODUCT(MAX(('3. Peat Data'!$B$5:$B$604=$A106)*'3. Peat Data'!$F$5:$F$604))))</f>
        <v/>
      </c>
      <c r="R106" s="18">
        <f>IF($A106="","",IFERROR(SUMIFS('3. Peat Data'!$P$5:$P$604,'3. Peat Data'!$B$5:$B$604,$A106),""))</f>
        <v/>
      </c>
      <c r="S106" s="18">
        <f>IF($A106="","",IFERROR(SUMIFS('3. Peat Data'!$Q$5:$Q$604,'3. Peat Data'!$B$5:$B$604,$A106),""))</f>
        <v/>
      </c>
      <c r="T106" s="18">
        <f>IF(NOT(ISNUMBER($Q106)),"",IF($Q106&gt;=REFERENCE_DEPTH_CM,"Yes","No"))</f>
        <v/>
      </c>
      <c r="U106" s="18">
        <f>IF($A106="","",IF(AND($B106&lt;&gt;"",COUNTIF('1. Plot &amp; Site Log'!$A$5:$A$64,$B106)=0),"Plot ID not in Plot &amp; Site Log. ","")&amp;IF(NOT(ISNUMBER($Q106)),"No peat sections logged for this core. ","")&amp;IF($T106="No","Core stops short of the reference depth, so its reference-depth stock is an underestimate. Its full-profile stock is still valid. ","")&amp;IF($L106="No","Core did not reach the mineral contact — the full-profile stock is a MINIMUM, not the whole store. ","")&amp;IF(AND(ISNUMBER($K106),$K106&lt;PEATLAND_MIN_DEPTH_CM),"Organic depth under "&amp;PEATLAND_MIN_DEPTH_CM&amp;" cm: by the guide's definition this is not peatland. Report it, but say so. ","")&amp;IF(AND(ISNUMBER($J106),$J106&lt;QC_RECOVERY_MIN),"Recovered only "&amp;TEXT($J106,"0%")&amp;" of the bore depth — the chamber probably did not fill completely. Material is missing, which is not the same as compaction. ","")&amp;IF(AND(ISNUMBER($J106),$J106&gt;1.05),"Recovered more than the bore depth — check the two measurements. ","")&amp;IF(AND(ISNUMBER($I106),$I106&gt;2),"Surface compaction of "&amp;$I106&amp;" cm: depths in this core sit shallower than in the ground, so depth-limited stock is biased. Full-profile stock is unaffected. ",""))</f>
        <v/>
      </c>
      <c r="V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8">
        <f>IF(OR($G107="",$H107="",$G107=0),"",$H107/$G107)</f>
        <v/>
      </c>
      <c r="K107" s="14" t="n"/>
      <c r="L107" s="14" t="n"/>
      <c r="M107" s="14" t="n"/>
      <c r="N107" s="14" t="n"/>
      <c r="O107" s="14" t="n"/>
      <c r="P107" s="14" t="n"/>
      <c r="Q107" s="18">
        <f>IF($A107="","",IF(SUMPRODUCT(MAX(('3. Peat Data'!$B$5:$B$604=$A107)*'3. Peat Data'!$F$5:$F$604))=0,"",SUMPRODUCT(MAX(('3. Peat Data'!$B$5:$B$604=$A107)*'3. Peat Data'!$F$5:$F$604))))</f>
        <v/>
      </c>
      <c r="R107" s="18">
        <f>IF($A107="","",IFERROR(SUMIFS('3. Peat Data'!$P$5:$P$604,'3. Peat Data'!$B$5:$B$604,$A107),""))</f>
        <v/>
      </c>
      <c r="S107" s="18">
        <f>IF($A107="","",IFERROR(SUMIFS('3. Peat Data'!$Q$5:$Q$604,'3. Peat Data'!$B$5:$B$604,$A107),""))</f>
        <v/>
      </c>
      <c r="T107" s="18">
        <f>IF(NOT(ISNUMBER($Q107)),"",IF($Q107&gt;=REFERENCE_DEPTH_CM,"Yes","No"))</f>
        <v/>
      </c>
      <c r="U107" s="18">
        <f>IF($A107="","",IF(AND($B107&lt;&gt;"",COUNTIF('1. Plot &amp; Site Log'!$A$5:$A$64,$B107)=0),"Plot ID not in Plot &amp; Site Log. ","")&amp;IF(NOT(ISNUMBER($Q107)),"No peat sections logged for this core. ","")&amp;IF($T107="No","Core stops short of the reference depth, so its reference-depth stock is an underestimate. Its full-profile stock is still valid. ","")&amp;IF($L107="No","Core did not reach the mineral contact — the full-profile stock is a MINIMUM, not the whole store. ","")&amp;IF(AND(ISNUMBER($K107),$K107&lt;PEATLAND_MIN_DEPTH_CM),"Organic depth under "&amp;PEATLAND_MIN_DEPTH_CM&amp;" cm: by the guide's definition this is not peatland. Report it, but say so. ","")&amp;IF(AND(ISNUMBER($J107),$J107&lt;QC_RECOVERY_MIN),"Recovered only "&amp;TEXT($J107,"0%")&amp;" of the bore depth — the chamber probably did not fill completely. Material is missing, which is not the same as compaction. ","")&amp;IF(AND(ISNUMBER($J107),$J107&gt;1.05),"Recovered more than the bore depth — check the two measurements. ","")&amp;IF(AND(ISNUMBER($I107),$I107&gt;2),"Surface compaction of "&amp;$I107&amp;" cm: depths in this core sit shallower than in the ground, so depth-limited stock is biased. Full-profile stock is unaffected. ",""))</f>
        <v/>
      </c>
      <c r="V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8">
        <f>IF(OR($G108="",$H108="",$G108=0),"",$H108/$G108)</f>
        <v/>
      </c>
      <c r="K108" s="14" t="n"/>
      <c r="L108" s="14" t="n"/>
      <c r="M108" s="14" t="n"/>
      <c r="N108" s="14" t="n"/>
      <c r="O108" s="14" t="n"/>
      <c r="P108" s="14" t="n"/>
      <c r="Q108" s="18">
        <f>IF($A108="","",IF(SUMPRODUCT(MAX(('3. Peat Data'!$B$5:$B$604=$A108)*'3. Peat Data'!$F$5:$F$604))=0,"",SUMPRODUCT(MAX(('3. Peat Data'!$B$5:$B$604=$A108)*'3. Peat Data'!$F$5:$F$604))))</f>
        <v/>
      </c>
      <c r="R108" s="18">
        <f>IF($A108="","",IFERROR(SUMIFS('3. Peat Data'!$P$5:$P$604,'3. Peat Data'!$B$5:$B$604,$A108),""))</f>
        <v/>
      </c>
      <c r="S108" s="18">
        <f>IF($A108="","",IFERROR(SUMIFS('3. Peat Data'!$Q$5:$Q$604,'3. Peat Data'!$B$5:$B$604,$A108),""))</f>
        <v/>
      </c>
      <c r="T108" s="18">
        <f>IF(NOT(ISNUMBER($Q108)),"",IF($Q108&gt;=REFERENCE_DEPTH_CM,"Yes","No"))</f>
        <v/>
      </c>
      <c r="U108" s="18">
        <f>IF($A108="","",IF(AND($B108&lt;&gt;"",COUNTIF('1. Plot &amp; Site Log'!$A$5:$A$64,$B108)=0),"Plot ID not in Plot &amp; Site Log. ","")&amp;IF(NOT(ISNUMBER($Q108)),"No peat sections logged for this core. ","")&amp;IF($T108="No","Core stops short of the reference depth, so its reference-depth stock is an underestimate. Its full-profile stock is still valid. ","")&amp;IF($L108="No","Core did not reach the mineral contact — the full-profile stock is a MINIMUM, not the whole store. ","")&amp;IF(AND(ISNUMBER($K108),$K108&lt;PEATLAND_MIN_DEPTH_CM),"Organic depth under "&amp;PEATLAND_MIN_DEPTH_CM&amp;" cm: by the guide's definition this is not peatland. Report it, but say so. ","")&amp;IF(AND(ISNUMBER($J108),$J108&lt;QC_RECOVERY_MIN),"Recovered only "&amp;TEXT($J108,"0%")&amp;" of the bore depth — the chamber probably did not fill completely. Material is missing, which is not the same as compaction. ","")&amp;IF(AND(ISNUMBER($J108),$J108&gt;1.05),"Recovered more than the bore depth — check the two measurements. ","")&amp;IF(AND(ISNUMBER($I108),$I108&gt;2),"Surface compaction of "&amp;$I108&amp;" cm: depths in this core sit shallower than in the ground, so depth-limited stock is biased. Full-profile stock is unaffected. ",""))</f>
        <v/>
      </c>
      <c r="V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8">
        <f>IF(OR($G109="",$H109="",$G109=0),"",$H109/$G109)</f>
        <v/>
      </c>
      <c r="K109" s="14" t="n"/>
      <c r="L109" s="14" t="n"/>
      <c r="M109" s="14" t="n"/>
      <c r="N109" s="14" t="n"/>
      <c r="O109" s="14" t="n"/>
      <c r="P109" s="14" t="n"/>
      <c r="Q109" s="18">
        <f>IF($A109="","",IF(SUMPRODUCT(MAX(('3. Peat Data'!$B$5:$B$604=$A109)*'3. Peat Data'!$F$5:$F$604))=0,"",SUMPRODUCT(MAX(('3. Peat Data'!$B$5:$B$604=$A109)*'3. Peat Data'!$F$5:$F$604))))</f>
        <v/>
      </c>
      <c r="R109" s="18">
        <f>IF($A109="","",IFERROR(SUMIFS('3. Peat Data'!$P$5:$P$604,'3. Peat Data'!$B$5:$B$604,$A109),""))</f>
        <v/>
      </c>
      <c r="S109" s="18">
        <f>IF($A109="","",IFERROR(SUMIFS('3. Peat Data'!$Q$5:$Q$604,'3. Peat Data'!$B$5:$B$604,$A109),""))</f>
        <v/>
      </c>
      <c r="T109" s="18">
        <f>IF(NOT(ISNUMBER($Q109)),"",IF($Q109&gt;=REFERENCE_DEPTH_CM,"Yes","No"))</f>
        <v/>
      </c>
      <c r="U109" s="18">
        <f>IF($A109="","",IF(AND($B109&lt;&gt;"",COUNTIF('1. Plot &amp; Site Log'!$A$5:$A$64,$B109)=0),"Plot ID not in Plot &amp; Site Log. ","")&amp;IF(NOT(ISNUMBER($Q109)),"No peat sections logged for this core. ","")&amp;IF($T109="No","Core stops short of the reference depth, so its reference-depth stock is an underestimate. Its full-profile stock is still valid. ","")&amp;IF($L109="No","Core did not reach the mineral contact — the full-profile stock is a MINIMUM, not the whole store. ","")&amp;IF(AND(ISNUMBER($K109),$K109&lt;PEATLAND_MIN_DEPTH_CM),"Organic depth under "&amp;PEATLAND_MIN_DEPTH_CM&amp;" cm: by the guide's definition this is not peatland. Report it, but say so. ","")&amp;IF(AND(ISNUMBER($J109),$J109&lt;QC_RECOVERY_MIN),"Recovered only "&amp;TEXT($J109,"0%")&amp;" of the bore depth — the chamber probably did not fill completely. Material is missing, which is not the same as compaction. ","")&amp;IF(AND(ISNUMBER($J109),$J109&gt;1.05),"Recovered more than the bore depth — check the two measurements. ","")&amp;IF(AND(ISNUMBER($I109),$I109&gt;2),"Surface compaction of "&amp;$I109&amp;" cm: depths in this core sit shallower than in the ground, so depth-limited stock is biased. Full-profile stock is unaffected. ",""))</f>
        <v/>
      </c>
      <c r="V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8">
        <f>IF(OR($G110="",$H110="",$G110=0),"",$H110/$G110)</f>
        <v/>
      </c>
      <c r="K110" s="14" t="n"/>
      <c r="L110" s="14" t="n"/>
      <c r="M110" s="14" t="n"/>
      <c r="N110" s="14" t="n"/>
      <c r="O110" s="14" t="n"/>
      <c r="P110" s="14" t="n"/>
      <c r="Q110" s="18">
        <f>IF($A110="","",IF(SUMPRODUCT(MAX(('3. Peat Data'!$B$5:$B$604=$A110)*'3. Peat Data'!$F$5:$F$604))=0,"",SUMPRODUCT(MAX(('3. Peat Data'!$B$5:$B$604=$A110)*'3. Peat Data'!$F$5:$F$604))))</f>
        <v/>
      </c>
      <c r="R110" s="18">
        <f>IF($A110="","",IFERROR(SUMIFS('3. Peat Data'!$P$5:$P$604,'3. Peat Data'!$B$5:$B$604,$A110),""))</f>
        <v/>
      </c>
      <c r="S110" s="18">
        <f>IF($A110="","",IFERROR(SUMIFS('3. Peat Data'!$Q$5:$Q$604,'3. Peat Data'!$B$5:$B$604,$A110),""))</f>
        <v/>
      </c>
      <c r="T110" s="18">
        <f>IF(NOT(ISNUMBER($Q110)),"",IF($Q110&gt;=REFERENCE_DEPTH_CM,"Yes","No"))</f>
        <v/>
      </c>
      <c r="U110" s="18">
        <f>IF($A110="","",IF(AND($B110&lt;&gt;"",COUNTIF('1. Plot &amp; Site Log'!$A$5:$A$64,$B110)=0),"Plot ID not in Plot &amp; Site Log. ","")&amp;IF(NOT(ISNUMBER($Q110)),"No peat sections logged for this core. ","")&amp;IF($T110="No","Core stops short of the reference depth, so its reference-depth stock is an underestimate. Its full-profile stock is still valid. ","")&amp;IF($L110="No","Core did not reach the mineral contact — the full-profile stock is a MINIMUM, not the whole store. ","")&amp;IF(AND(ISNUMBER($K110),$K110&lt;PEATLAND_MIN_DEPTH_CM),"Organic depth under "&amp;PEATLAND_MIN_DEPTH_CM&amp;" cm: by the guide's definition this is not peatland. Report it, but say so. ","")&amp;IF(AND(ISNUMBER($J110),$J110&lt;QC_RECOVERY_MIN),"Recovered only "&amp;TEXT($J110,"0%")&amp;" of the bore depth — the chamber probably did not fill completely. Material is missing, which is not the same as compaction. ","")&amp;IF(AND(ISNUMBER($J110),$J110&gt;1.05),"Recovered more than the bore depth — check the two measurements. ","")&amp;IF(AND(ISNUMBER($I110),$I110&gt;2),"Surface compaction of "&amp;$I110&amp;" cm: depths in this core sit shallower than in the ground, so depth-limited stock is biased. Full-profile stock is unaffected. ",""))</f>
        <v/>
      </c>
      <c r="V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8">
        <f>IF(OR($G111="",$H111="",$G111=0),"",$H111/$G111)</f>
        <v/>
      </c>
      <c r="K111" s="14" t="n"/>
      <c r="L111" s="14" t="n"/>
      <c r="M111" s="14" t="n"/>
      <c r="N111" s="14" t="n"/>
      <c r="O111" s="14" t="n"/>
      <c r="P111" s="14" t="n"/>
      <c r="Q111" s="18">
        <f>IF($A111="","",IF(SUMPRODUCT(MAX(('3. Peat Data'!$B$5:$B$604=$A111)*'3. Peat Data'!$F$5:$F$604))=0,"",SUMPRODUCT(MAX(('3. Peat Data'!$B$5:$B$604=$A111)*'3. Peat Data'!$F$5:$F$604))))</f>
        <v/>
      </c>
      <c r="R111" s="18">
        <f>IF($A111="","",IFERROR(SUMIFS('3. Peat Data'!$P$5:$P$604,'3. Peat Data'!$B$5:$B$604,$A111),""))</f>
        <v/>
      </c>
      <c r="S111" s="18">
        <f>IF($A111="","",IFERROR(SUMIFS('3. Peat Data'!$Q$5:$Q$604,'3. Peat Data'!$B$5:$B$604,$A111),""))</f>
        <v/>
      </c>
      <c r="T111" s="18">
        <f>IF(NOT(ISNUMBER($Q111)),"",IF($Q111&gt;=REFERENCE_DEPTH_CM,"Yes","No"))</f>
        <v/>
      </c>
      <c r="U111" s="18">
        <f>IF($A111="","",IF(AND($B111&lt;&gt;"",COUNTIF('1. Plot &amp; Site Log'!$A$5:$A$64,$B111)=0),"Plot ID not in Plot &amp; Site Log. ","")&amp;IF(NOT(ISNUMBER($Q111)),"No peat sections logged for this core. ","")&amp;IF($T111="No","Core stops short of the reference depth, so its reference-depth stock is an underestimate. Its full-profile stock is still valid. ","")&amp;IF($L111="No","Core did not reach the mineral contact — the full-profile stock is a MINIMUM, not the whole store. ","")&amp;IF(AND(ISNUMBER($K111),$K111&lt;PEATLAND_MIN_DEPTH_CM),"Organic depth under "&amp;PEATLAND_MIN_DEPTH_CM&amp;" cm: by the guide's definition this is not peatland. Report it, but say so. ","")&amp;IF(AND(ISNUMBER($J111),$J111&lt;QC_RECOVERY_MIN),"Recovered only "&amp;TEXT($J111,"0%")&amp;" of the bore depth — the chamber probably did not fill completely. Material is missing, which is not the same as compaction. ","")&amp;IF(AND(ISNUMBER($J111),$J111&gt;1.05),"Recovered more than the bore depth — check the two measurements. ","")&amp;IF(AND(ISNUMBER($I111),$I111&gt;2),"Surface compaction of "&amp;$I111&amp;" cm: depths in this core sit shallower than in the ground, so depth-limited stock is biased. Full-profile stock is unaffected. ",""))</f>
        <v/>
      </c>
      <c r="V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8">
        <f>IF(OR($G112="",$H112="",$G112=0),"",$H112/$G112)</f>
        <v/>
      </c>
      <c r="K112" s="14" t="n"/>
      <c r="L112" s="14" t="n"/>
      <c r="M112" s="14" t="n"/>
      <c r="N112" s="14" t="n"/>
      <c r="O112" s="14" t="n"/>
      <c r="P112" s="14" t="n"/>
      <c r="Q112" s="18">
        <f>IF($A112="","",IF(SUMPRODUCT(MAX(('3. Peat Data'!$B$5:$B$604=$A112)*'3. Peat Data'!$F$5:$F$604))=0,"",SUMPRODUCT(MAX(('3. Peat Data'!$B$5:$B$604=$A112)*'3. Peat Data'!$F$5:$F$604))))</f>
        <v/>
      </c>
      <c r="R112" s="18">
        <f>IF($A112="","",IFERROR(SUMIFS('3. Peat Data'!$P$5:$P$604,'3. Peat Data'!$B$5:$B$604,$A112),""))</f>
        <v/>
      </c>
      <c r="S112" s="18">
        <f>IF($A112="","",IFERROR(SUMIFS('3. Peat Data'!$Q$5:$Q$604,'3. Peat Data'!$B$5:$B$604,$A112),""))</f>
        <v/>
      </c>
      <c r="T112" s="18">
        <f>IF(NOT(ISNUMBER($Q112)),"",IF($Q112&gt;=REFERENCE_DEPTH_CM,"Yes","No"))</f>
        <v/>
      </c>
      <c r="U112" s="18">
        <f>IF($A112="","",IF(AND($B112&lt;&gt;"",COUNTIF('1. Plot &amp; Site Log'!$A$5:$A$64,$B112)=0),"Plot ID not in Plot &amp; Site Log. ","")&amp;IF(NOT(ISNUMBER($Q112)),"No peat sections logged for this core. ","")&amp;IF($T112="No","Core stops short of the reference depth, so its reference-depth stock is an underestimate. Its full-profile stock is still valid. ","")&amp;IF($L112="No","Core did not reach the mineral contact — the full-profile stock is a MINIMUM, not the whole store. ","")&amp;IF(AND(ISNUMBER($K112),$K112&lt;PEATLAND_MIN_DEPTH_CM),"Organic depth under "&amp;PEATLAND_MIN_DEPTH_CM&amp;" cm: by the guide's definition this is not peatland. Report it, but say so. ","")&amp;IF(AND(ISNUMBER($J112),$J112&lt;QC_RECOVERY_MIN),"Recovered only "&amp;TEXT($J112,"0%")&amp;" of the bore depth — the chamber probably did not fill completely. Material is missing, which is not the same as compaction. ","")&amp;IF(AND(ISNUMBER($J112),$J112&gt;1.05),"Recovered more than the bore depth — check the two measurements. ","")&amp;IF(AND(ISNUMBER($I112),$I112&gt;2),"Surface compaction of "&amp;$I112&amp;" cm: depths in this core sit shallower than in the ground, so depth-limited stock is biased. Full-profile stock is unaffected. ",""))</f>
        <v/>
      </c>
      <c r="V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8">
        <f>IF(OR($G113="",$H113="",$G113=0),"",$H113/$G113)</f>
        <v/>
      </c>
      <c r="K113" s="14" t="n"/>
      <c r="L113" s="14" t="n"/>
      <c r="M113" s="14" t="n"/>
      <c r="N113" s="14" t="n"/>
      <c r="O113" s="14" t="n"/>
      <c r="P113" s="14" t="n"/>
      <c r="Q113" s="18">
        <f>IF($A113="","",IF(SUMPRODUCT(MAX(('3. Peat Data'!$B$5:$B$604=$A113)*'3. Peat Data'!$F$5:$F$604))=0,"",SUMPRODUCT(MAX(('3. Peat Data'!$B$5:$B$604=$A113)*'3. Peat Data'!$F$5:$F$604))))</f>
        <v/>
      </c>
      <c r="R113" s="18">
        <f>IF($A113="","",IFERROR(SUMIFS('3. Peat Data'!$P$5:$P$604,'3. Peat Data'!$B$5:$B$604,$A113),""))</f>
        <v/>
      </c>
      <c r="S113" s="18">
        <f>IF($A113="","",IFERROR(SUMIFS('3. Peat Data'!$Q$5:$Q$604,'3. Peat Data'!$B$5:$B$604,$A113),""))</f>
        <v/>
      </c>
      <c r="T113" s="18">
        <f>IF(NOT(ISNUMBER($Q113)),"",IF($Q113&gt;=REFERENCE_DEPTH_CM,"Yes","No"))</f>
        <v/>
      </c>
      <c r="U113" s="18">
        <f>IF($A113="","",IF(AND($B113&lt;&gt;"",COUNTIF('1. Plot &amp; Site Log'!$A$5:$A$64,$B113)=0),"Plot ID not in Plot &amp; Site Log. ","")&amp;IF(NOT(ISNUMBER($Q113)),"No peat sections logged for this core. ","")&amp;IF($T113="No","Core stops short of the reference depth, so its reference-depth stock is an underestimate. Its full-profile stock is still valid. ","")&amp;IF($L113="No","Core did not reach the mineral contact — the full-profile stock is a MINIMUM, not the whole store. ","")&amp;IF(AND(ISNUMBER($K113),$K113&lt;PEATLAND_MIN_DEPTH_CM),"Organic depth under "&amp;PEATLAND_MIN_DEPTH_CM&amp;" cm: by the guide's definition this is not peatland. Report it, but say so. ","")&amp;IF(AND(ISNUMBER($J113),$J113&lt;QC_RECOVERY_MIN),"Recovered only "&amp;TEXT($J113,"0%")&amp;" of the bore depth — the chamber probably did not fill completely. Material is missing, which is not the same as compaction. ","")&amp;IF(AND(ISNUMBER($J113),$J113&gt;1.05),"Recovered more than the bore depth — check the two measurements. ","")&amp;IF(AND(ISNUMBER($I113),$I113&gt;2),"Surface compaction of "&amp;$I113&amp;" cm: depths in this core sit shallower than in the ground, so depth-limited stock is biased. Full-profile stock is unaffected. ",""))</f>
        <v/>
      </c>
      <c r="V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8">
        <f>IF(OR($G114="",$H114="",$G114=0),"",$H114/$G114)</f>
        <v/>
      </c>
      <c r="K114" s="14" t="n"/>
      <c r="L114" s="14" t="n"/>
      <c r="M114" s="14" t="n"/>
      <c r="N114" s="14" t="n"/>
      <c r="O114" s="14" t="n"/>
      <c r="P114" s="14" t="n"/>
      <c r="Q114" s="18">
        <f>IF($A114="","",IF(SUMPRODUCT(MAX(('3. Peat Data'!$B$5:$B$604=$A114)*'3. Peat Data'!$F$5:$F$604))=0,"",SUMPRODUCT(MAX(('3. Peat Data'!$B$5:$B$604=$A114)*'3. Peat Data'!$F$5:$F$604))))</f>
        <v/>
      </c>
      <c r="R114" s="18">
        <f>IF($A114="","",IFERROR(SUMIFS('3. Peat Data'!$P$5:$P$604,'3. Peat Data'!$B$5:$B$604,$A114),""))</f>
        <v/>
      </c>
      <c r="S114" s="18">
        <f>IF($A114="","",IFERROR(SUMIFS('3. Peat Data'!$Q$5:$Q$604,'3. Peat Data'!$B$5:$B$604,$A114),""))</f>
        <v/>
      </c>
      <c r="T114" s="18">
        <f>IF(NOT(ISNUMBER($Q114)),"",IF($Q114&gt;=REFERENCE_DEPTH_CM,"Yes","No"))</f>
        <v/>
      </c>
      <c r="U114" s="18">
        <f>IF($A114="","",IF(AND($B114&lt;&gt;"",COUNTIF('1. Plot &amp; Site Log'!$A$5:$A$64,$B114)=0),"Plot ID not in Plot &amp; Site Log. ","")&amp;IF(NOT(ISNUMBER($Q114)),"No peat sections logged for this core. ","")&amp;IF($T114="No","Core stops short of the reference depth, so its reference-depth stock is an underestimate. Its full-profile stock is still valid. ","")&amp;IF($L114="No","Core did not reach the mineral contact — the full-profile stock is a MINIMUM, not the whole store. ","")&amp;IF(AND(ISNUMBER($K114),$K114&lt;PEATLAND_MIN_DEPTH_CM),"Organic depth under "&amp;PEATLAND_MIN_DEPTH_CM&amp;" cm: by the guide's definition this is not peatland. Report it, but say so. ","")&amp;IF(AND(ISNUMBER($J114),$J114&lt;QC_RECOVERY_MIN),"Recovered only "&amp;TEXT($J114,"0%")&amp;" of the bore depth — the chamber probably did not fill completely. Material is missing, which is not the same as compaction. ","")&amp;IF(AND(ISNUMBER($J114),$J114&gt;1.05),"Recovered more than the bore depth — check the two measurements. ","")&amp;IF(AND(ISNUMBER($I114),$I114&gt;2),"Surface compaction of "&amp;$I114&amp;" cm: depths in this core sit shallower than in the ground, so depth-limited stock is biased. Full-profile stock is unaffected. ",""))</f>
        <v/>
      </c>
      <c r="V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8">
        <f>IF(OR($G115="",$H115="",$G115=0),"",$H115/$G115)</f>
        <v/>
      </c>
      <c r="K115" s="14" t="n"/>
      <c r="L115" s="14" t="n"/>
      <c r="M115" s="14" t="n"/>
      <c r="N115" s="14" t="n"/>
      <c r="O115" s="14" t="n"/>
      <c r="P115" s="14" t="n"/>
      <c r="Q115" s="18">
        <f>IF($A115="","",IF(SUMPRODUCT(MAX(('3. Peat Data'!$B$5:$B$604=$A115)*'3. Peat Data'!$F$5:$F$604))=0,"",SUMPRODUCT(MAX(('3. Peat Data'!$B$5:$B$604=$A115)*'3. Peat Data'!$F$5:$F$604))))</f>
        <v/>
      </c>
      <c r="R115" s="18">
        <f>IF($A115="","",IFERROR(SUMIFS('3. Peat Data'!$P$5:$P$604,'3. Peat Data'!$B$5:$B$604,$A115),""))</f>
        <v/>
      </c>
      <c r="S115" s="18">
        <f>IF($A115="","",IFERROR(SUMIFS('3. Peat Data'!$Q$5:$Q$604,'3. Peat Data'!$B$5:$B$604,$A115),""))</f>
        <v/>
      </c>
      <c r="T115" s="18">
        <f>IF(NOT(ISNUMBER($Q115)),"",IF($Q115&gt;=REFERENCE_DEPTH_CM,"Yes","No"))</f>
        <v/>
      </c>
      <c r="U115" s="18">
        <f>IF($A115="","",IF(AND($B115&lt;&gt;"",COUNTIF('1. Plot &amp; Site Log'!$A$5:$A$64,$B115)=0),"Plot ID not in Plot &amp; Site Log. ","")&amp;IF(NOT(ISNUMBER($Q115)),"No peat sections logged for this core. ","")&amp;IF($T115="No","Core stops short of the reference depth, so its reference-depth stock is an underestimate. Its full-profile stock is still valid. ","")&amp;IF($L115="No","Core did not reach the mineral contact — the full-profile stock is a MINIMUM, not the whole store. ","")&amp;IF(AND(ISNUMBER($K115),$K115&lt;PEATLAND_MIN_DEPTH_CM),"Organic depth under "&amp;PEATLAND_MIN_DEPTH_CM&amp;" cm: by the guide's definition this is not peatland. Report it, but say so. ","")&amp;IF(AND(ISNUMBER($J115),$J115&lt;QC_RECOVERY_MIN),"Recovered only "&amp;TEXT($J115,"0%")&amp;" of the bore depth — the chamber probably did not fill completely. Material is missing, which is not the same as compaction. ","")&amp;IF(AND(ISNUMBER($J115),$J115&gt;1.05),"Recovered more than the bore depth — check the two measurements. ","")&amp;IF(AND(ISNUMBER($I115),$I115&gt;2),"Surface compaction of "&amp;$I115&amp;" cm: depths in this core sit shallower than in the ground, so depth-limited stock is biased. Full-profile stock is unaffected. ",""))</f>
        <v/>
      </c>
      <c r="V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8">
        <f>IF(OR($G116="",$H116="",$G116=0),"",$H116/$G116)</f>
        <v/>
      </c>
      <c r="K116" s="14" t="n"/>
      <c r="L116" s="14" t="n"/>
      <c r="M116" s="14" t="n"/>
      <c r="N116" s="14" t="n"/>
      <c r="O116" s="14" t="n"/>
      <c r="P116" s="14" t="n"/>
      <c r="Q116" s="18">
        <f>IF($A116="","",IF(SUMPRODUCT(MAX(('3. Peat Data'!$B$5:$B$604=$A116)*'3. Peat Data'!$F$5:$F$604))=0,"",SUMPRODUCT(MAX(('3. Peat Data'!$B$5:$B$604=$A116)*'3. Peat Data'!$F$5:$F$604))))</f>
        <v/>
      </c>
      <c r="R116" s="18">
        <f>IF($A116="","",IFERROR(SUMIFS('3. Peat Data'!$P$5:$P$604,'3. Peat Data'!$B$5:$B$604,$A116),""))</f>
        <v/>
      </c>
      <c r="S116" s="18">
        <f>IF($A116="","",IFERROR(SUMIFS('3. Peat Data'!$Q$5:$Q$604,'3. Peat Data'!$B$5:$B$604,$A116),""))</f>
        <v/>
      </c>
      <c r="T116" s="18">
        <f>IF(NOT(ISNUMBER($Q116)),"",IF($Q116&gt;=REFERENCE_DEPTH_CM,"Yes","No"))</f>
        <v/>
      </c>
      <c r="U116" s="18">
        <f>IF($A116="","",IF(AND($B116&lt;&gt;"",COUNTIF('1. Plot &amp; Site Log'!$A$5:$A$64,$B116)=0),"Plot ID not in Plot &amp; Site Log. ","")&amp;IF(NOT(ISNUMBER($Q116)),"No peat sections logged for this core. ","")&amp;IF($T116="No","Core stops short of the reference depth, so its reference-depth stock is an underestimate. Its full-profile stock is still valid. ","")&amp;IF($L116="No","Core did not reach the mineral contact — the full-profile stock is a MINIMUM, not the whole store. ","")&amp;IF(AND(ISNUMBER($K116),$K116&lt;PEATLAND_MIN_DEPTH_CM),"Organic depth under "&amp;PEATLAND_MIN_DEPTH_CM&amp;" cm: by the guide's definition this is not peatland. Report it, but say so. ","")&amp;IF(AND(ISNUMBER($J116),$J116&lt;QC_RECOVERY_MIN),"Recovered only "&amp;TEXT($J116,"0%")&amp;" of the bore depth — the chamber probably did not fill completely. Material is missing, which is not the same as compaction. ","")&amp;IF(AND(ISNUMBER($J116),$J116&gt;1.05),"Recovered more than the bore depth — check the two measurements. ","")&amp;IF(AND(ISNUMBER($I116),$I116&gt;2),"Surface compaction of "&amp;$I116&amp;" cm: depths in this core sit shallower than in the ground, so depth-limited stock is biased. Full-profile stock is unaffected. ",""))</f>
        <v/>
      </c>
      <c r="V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8">
        <f>IF(OR($G117="",$H117="",$G117=0),"",$H117/$G117)</f>
        <v/>
      </c>
      <c r="K117" s="14" t="n"/>
      <c r="L117" s="14" t="n"/>
      <c r="M117" s="14" t="n"/>
      <c r="N117" s="14" t="n"/>
      <c r="O117" s="14" t="n"/>
      <c r="P117" s="14" t="n"/>
      <c r="Q117" s="18">
        <f>IF($A117="","",IF(SUMPRODUCT(MAX(('3. Peat Data'!$B$5:$B$604=$A117)*'3. Peat Data'!$F$5:$F$604))=0,"",SUMPRODUCT(MAX(('3. Peat Data'!$B$5:$B$604=$A117)*'3. Peat Data'!$F$5:$F$604))))</f>
        <v/>
      </c>
      <c r="R117" s="18">
        <f>IF($A117="","",IFERROR(SUMIFS('3. Peat Data'!$P$5:$P$604,'3. Peat Data'!$B$5:$B$604,$A117),""))</f>
        <v/>
      </c>
      <c r="S117" s="18">
        <f>IF($A117="","",IFERROR(SUMIFS('3. Peat Data'!$Q$5:$Q$604,'3. Peat Data'!$B$5:$B$604,$A117),""))</f>
        <v/>
      </c>
      <c r="T117" s="18">
        <f>IF(NOT(ISNUMBER($Q117)),"",IF($Q117&gt;=REFERENCE_DEPTH_CM,"Yes","No"))</f>
        <v/>
      </c>
      <c r="U117" s="18">
        <f>IF($A117="","",IF(AND($B117&lt;&gt;"",COUNTIF('1. Plot &amp; Site Log'!$A$5:$A$64,$B117)=0),"Plot ID not in Plot &amp; Site Log. ","")&amp;IF(NOT(ISNUMBER($Q117)),"No peat sections logged for this core. ","")&amp;IF($T117="No","Core stops short of the reference depth, so its reference-depth stock is an underestimate. Its full-profile stock is still valid. ","")&amp;IF($L117="No","Core did not reach the mineral contact — the full-profile stock is a MINIMUM, not the whole store. ","")&amp;IF(AND(ISNUMBER($K117),$K117&lt;PEATLAND_MIN_DEPTH_CM),"Organic depth under "&amp;PEATLAND_MIN_DEPTH_CM&amp;" cm: by the guide's definition this is not peatland. Report it, but say so. ","")&amp;IF(AND(ISNUMBER($J117),$J117&lt;QC_RECOVERY_MIN),"Recovered only "&amp;TEXT($J117,"0%")&amp;" of the bore depth — the chamber probably did not fill completely. Material is missing, which is not the same as compaction. ","")&amp;IF(AND(ISNUMBER($J117),$J117&gt;1.05),"Recovered more than the bore depth — check the two measurements. ","")&amp;IF(AND(ISNUMBER($I117),$I117&gt;2),"Surface compaction of "&amp;$I117&amp;" cm: depths in this core sit shallower than in the ground, so depth-limited stock is biased. Full-profile stock is unaffected. ",""))</f>
        <v/>
      </c>
      <c r="V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8">
        <f>IF(OR($G118="",$H118="",$G118=0),"",$H118/$G118)</f>
        <v/>
      </c>
      <c r="K118" s="14" t="n"/>
      <c r="L118" s="14" t="n"/>
      <c r="M118" s="14" t="n"/>
      <c r="N118" s="14" t="n"/>
      <c r="O118" s="14" t="n"/>
      <c r="P118" s="14" t="n"/>
      <c r="Q118" s="18">
        <f>IF($A118="","",IF(SUMPRODUCT(MAX(('3. Peat Data'!$B$5:$B$604=$A118)*'3. Peat Data'!$F$5:$F$604))=0,"",SUMPRODUCT(MAX(('3. Peat Data'!$B$5:$B$604=$A118)*'3. Peat Data'!$F$5:$F$604))))</f>
        <v/>
      </c>
      <c r="R118" s="18">
        <f>IF($A118="","",IFERROR(SUMIFS('3. Peat Data'!$P$5:$P$604,'3. Peat Data'!$B$5:$B$604,$A118),""))</f>
        <v/>
      </c>
      <c r="S118" s="18">
        <f>IF($A118="","",IFERROR(SUMIFS('3. Peat Data'!$Q$5:$Q$604,'3. Peat Data'!$B$5:$B$604,$A118),""))</f>
        <v/>
      </c>
      <c r="T118" s="18">
        <f>IF(NOT(ISNUMBER($Q118)),"",IF($Q118&gt;=REFERENCE_DEPTH_CM,"Yes","No"))</f>
        <v/>
      </c>
      <c r="U118" s="18">
        <f>IF($A118="","",IF(AND($B118&lt;&gt;"",COUNTIF('1. Plot &amp; Site Log'!$A$5:$A$64,$B118)=0),"Plot ID not in Plot &amp; Site Log. ","")&amp;IF(NOT(ISNUMBER($Q118)),"No peat sections logged for this core. ","")&amp;IF($T118="No","Core stops short of the reference depth, so its reference-depth stock is an underestimate. Its full-profile stock is still valid. ","")&amp;IF($L118="No","Core did not reach the mineral contact — the full-profile stock is a MINIMUM, not the whole store. ","")&amp;IF(AND(ISNUMBER($K118),$K118&lt;PEATLAND_MIN_DEPTH_CM),"Organic depth under "&amp;PEATLAND_MIN_DEPTH_CM&amp;" cm: by the guide's definition this is not peatland. Report it, but say so. ","")&amp;IF(AND(ISNUMBER($J118),$J118&lt;QC_RECOVERY_MIN),"Recovered only "&amp;TEXT($J118,"0%")&amp;" of the bore depth — the chamber probably did not fill completely. Material is missing, which is not the same as compaction. ","")&amp;IF(AND(ISNUMBER($J118),$J118&gt;1.05),"Recovered more than the bore depth — check the two measurements. ","")&amp;IF(AND(ISNUMBER($I118),$I118&gt;2),"Surface compaction of "&amp;$I118&amp;" cm: depths in this core sit shallower than in the ground, so depth-limited stock is biased. Full-profile stock is unaffected. ",""))</f>
        <v/>
      </c>
      <c r="V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8">
        <f>IF(OR($G119="",$H119="",$G119=0),"",$H119/$G119)</f>
        <v/>
      </c>
      <c r="K119" s="14" t="n"/>
      <c r="L119" s="14" t="n"/>
      <c r="M119" s="14" t="n"/>
      <c r="N119" s="14" t="n"/>
      <c r="O119" s="14" t="n"/>
      <c r="P119" s="14" t="n"/>
      <c r="Q119" s="18">
        <f>IF($A119="","",IF(SUMPRODUCT(MAX(('3. Peat Data'!$B$5:$B$604=$A119)*'3. Peat Data'!$F$5:$F$604))=0,"",SUMPRODUCT(MAX(('3. Peat Data'!$B$5:$B$604=$A119)*'3. Peat Data'!$F$5:$F$604))))</f>
        <v/>
      </c>
      <c r="R119" s="18">
        <f>IF($A119="","",IFERROR(SUMIFS('3. Peat Data'!$P$5:$P$604,'3. Peat Data'!$B$5:$B$604,$A119),""))</f>
        <v/>
      </c>
      <c r="S119" s="18">
        <f>IF($A119="","",IFERROR(SUMIFS('3. Peat Data'!$Q$5:$Q$604,'3. Peat Data'!$B$5:$B$604,$A119),""))</f>
        <v/>
      </c>
      <c r="T119" s="18">
        <f>IF(NOT(ISNUMBER($Q119)),"",IF($Q119&gt;=REFERENCE_DEPTH_CM,"Yes","No"))</f>
        <v/>
      </c>
      <c r="U119" s="18">
        <f>IF($A119="","",IF(AND($B119&lt;&gt;"",COUNTIF('1. Plot &amp; Site Log'!$A$5:$A$64,$B119)=0),"Plot ID not in Plot &amp; Site Log. ","")&amp;IF(NOT(ISNUMBER($Q119)),"No peat sections logged for this core. ","")&amp;IF($T119="No","Core stops short of the reference depth, so its reference-depth stock is an underestimate. Its full-profile stock is still valid. ","")&amp;IF($L119="No","Core did not reach the mineral contact — the full-profile stock is a MINIMUM, not the whole store. ","")&amp;IF(AND(ISNUMBER($K119),$K119&lt;PEATLAND_MIN_DEPTH_CM),"Organic depth under "&amp;PEATLAND_MIN_DEPTH_CM&amp;" cm: by the guide's definition this is not peatland. Report it, but say so. ","")&amp;IF(AND(ISNUMBER($J119),$J119&lt;QC_RECOVERY_MIN),"Recovered only "&amp;TEXT($J119,"0%")&amp;" of the bore depth — the chamber probably did not fill completely. Material is missing, which is not the same as compaction. ","")&amp;IF(AND(ISNUMBER($J119),$J119&gt;1.05),"Recovered more than the bore depth — check the two measurements. ","")&amp;IF(AND(ISNUMBER($I119),$I119&gt;2),"Surface compaction of "&amp;$I119&amp;" cm: depths in this core sit shallower than in the ground, so depth-limited stock is biased. Full-profile stock is unaffected. ",""))</f>
        <v/>
      </c>
      <c r="V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8">
        <f>IF(OR($G120="",$H120="",$G120=0),"",$H120/$G120)</f>
        <v/>
      </c>
      <c r="K120" s="14" t="n"/>
      <c r="L120" s="14" t="n"/>
      <c r="M120" s="14" t="n"/>
      <c r="N120" s="14" t="n"/>
      <c r="O120" s="14" t="n"/>
      <c r="P120" s="14" t="n"/>
      <c r="Q120" s="18">
        <f>IF($A120="","",IF(SUMPRODUCT(MAX(('3. Peat Data'!$B$5:$B$604=$A120)*'3. Peat Data'!$F$5:$F$604))=0,"",SUMPRODUCT(MAX(('3. Peat Data'!$B$5:$B$604=$A120)*'3. Peat Data'!$F$5:$F$604))))</f>
        <v/>
      </c>
      <c r="R120" s="18">
        <f>IF($A120="","",IFERROR(SUMIFS('3. Peat Data'!$P$5:$P$604,'3. Peat Data'!$B$5:$B$604,$A120),""))</f>
        <v/>
      </c>
      <c r="S120" s="18">
        <f>IF($A120="","",IFERROR(SUMIFS('3. Peat Data'!$Q$5:$Q$604,'3. Peat Data'!$B$5:$B$604,$A120),""))</f>
        <v/>
      </c>
      <c r="T120" s="18">
        <f>IF(NOT(ISNUMBER($Q120)),"",IF($Q120&gt;=REFERENCE_DEPTH_CM,"Yes","No"))</f>
        <v/>
      </c>
      <c r="U120" s="18">
        <f>IF($A120="","",IF(AND($B120&lt;&gt;"",COUNTIF('1. Plot &amp; Site Log'!$A$5:$A$64,$B120)=0),"Plot ID not in Plot &amp; Site Log. ","")&amp;IF(NOT(ISNUMBER($Q120)),"No peat sections logged for this core. ","")&amp;IF($T120="No","Core stops short of the reference depth, so its reference-depth stock is an underestimate. Its full-profile stock is still valid. ","")&amp;IF($L120="No","Core did not reach the mineral contact — the full-profile stock is a MINIMUM, not the whole store. ","")&amp;IF(AND(ISNUMBER($K120),$K120&lt;PEATLAND_MIN_DEPTH_CM),"Organic depth under "&amp;PEATLAND_MIN_DEPTH_CM&amp;" cm: by the guide's definition this is not peatland. Report it, but say so. ","")&amp;IF(AND(ISNUMBER($J120),$J120&lt;QC_RECOVERY_MIN),"Recovered only "&amp;TEXT($J120,"0%")&amp;" of the bore depth — the chamber probably did not fill completely. Material is missing, which is not the same as compaction. ","")&amp;IF(AND(ISNUMBER($J120),$J120&gt;1.05),"Recovered more than the bore depth — check the two measurements. ","")&amp;IF(AND(ISNUMBER($I120),$I120&gt;2),"Surface compaction of "&amp;$I120&amp;" cm: depths in this core sit shallower than in the ground, so depth-limited stock is biased. Full-profile stock is unaffected. ",""))</f>
        <v/>
      </c>
      <c r="V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8">
        <f>IF(OR($G121="",$H121="",$G121=0),"",$H121/$G121)</f>
        <v/>
      </c>
      <c r="K121" s="14" t="n"/>
      <c r="L121" s="14" t="n"/>
      <c r="M121" s="14" t="n"/>
      <c r="N121" s="14" t="n"/>
      <c r="O121" s="14" t="n"/>
      <c r="P121" s="14" t="n"/>
      <c r="Q121" s="18">
        <f>IF($A121="","",IF(SUMPRODUCT(MAX(('3. Peat Data'!$B$5:$B$604=$A121)*'3. Peat Data'!$F$5:$F$604))=0,"",SUMPRODUCT(MAX(('3. Peat Data'!$B$5:$B$604=$A121)*'3. Peat Data'!$F$5:$F$604))))</f>
        <v/>
      </c>
      <c r="R121" s="18">
        <f>IF($A121="","",IFERROR(SUMIFS('3. Peat Data'!$P$5:$P$604,'3. Peat Data'!$B$5:$B$604,$A121),""))</f>
        <v/>
      </c>
      <c r="S121" s="18">
        <f>IF($A121="","",IFERROR(SUMIFS('3. Peat Data'!$Q$5:$Q$604,'3. Peat Data'!$B$5:$B$604,$A121),""))</f>
        <v/>
      </c>
      <c r="T121" s="18">
        <f>IF(NOT(ISNUMBER($Q121)),"",IF($Q121&gt;=REFERENCE_DEPTH_CM,"Yes","No"))</f>
        <v/>
      </c>
      <c r="U121" s="18">
        <f>IF($A121="","",IF(AND($B121&lt;&gt;"",COUNTIF('1. Plot &amp; Site Log'!$A$5:$A$64,$B121)=0),"Plot ID not in Plot &amp; Site Log. ","")&amp;IF(NOT(ISNUMBER($Q121)),"No peat sections logged for this core. ","")&amp;IF($T121="No","Core stops short of the reference depth, so its reference-depth stock is an underestimate. Its full-profile stock is still valid. ","")&amp;IF($L121="No","Core did not reach the mineral contact — the full-profile stock is a MINIMUM, not the whole store. ","")&amp;IF(AND(ISNUMBER($K121),$K121&lt;PEATLAND_MIN_DEPTH_CM),"Organic depth under "&amp;PEATLAND_MIN_DEPTH_CM&amp;" cm: by the guide's definition this is not peatland. Report it, but say so. ","")&amp;IF(AND(ISNUMBER($J121),$J121&lt;QC_RECOVERY_MIN),"Recovered only "&amp;TEXT($J121,"0%")&amp;" of the bore depth — the chamber probably did not fill completely. Material is missing, which is not the same as compaction. ","")&amp;IF(AND(ISNUMBER($J121),$J121&gt;1.05),"Recovered more than the bore depth — check the two measurements. ","")&amp;IF(AND(ISNUMBER($I121),$I121&gt;2),"Surface compaction of "&amp;$I121&amp;" cm: depths in this core sit shallower than in the ground, so depth-limited stock is biased. Full-profile stock is unaffected. ",""))</f>
        <v/>
      </c>
      <c r="V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8">
        <f>IF(OR($G122="",$H122="",$G122=0),"",$H122/$G122)</f>
        <v/>
      </c>
      <c r="K122" s="14" t="n"/>
      <c r="L122" s="14" t="n"/>
      <c r="M122" s="14" t="n"/>
      <c r="N122" s="14" t="n"/>
      <c r="O122" s="14" t="n"/>
      <c r="P122" s="14" t="n"/>
      <c r="Q122" s="18">
        <f>IF($A122="","",IF(SUMPRODUCT(MAX(('3. Peat Data'!$B$5:$B$604=$A122)*'3. Peat Data'!$F$5:$F$604))=0,"",SUMPRODUCT(MAX(('3. Peat Data'!$B$5:$B$604=$A122)*'3. Peat Data'!$F$5:$F$604))))</f>
        <v/>
      </c>
      <c r="R122" s="18">
        <f>IF($A122="","",IFERROR(SUMIFS('3. Peat Data'!$P$5:$P$604,'3. Peat Data'!$B$5:$B$604,$A122),""))</f>
        <v/>
      </c>
      <c r="S122" s="18">
        <f>IF($A122="","",IFERROR(SUMIFS('3. Peat Data'!$Q$5:$Q$604,'3. Peat Data'!$B$5:$B$604,$A122),""))</f>
        <v/>
      </c>
      <c r="T122" s="18">
        <f>IF(NOT(ISNUMBER($Q122)),"",IF($Q122&gt;=REFERENCE_DEPTH_CM,"Yes","No"))</f>
        <v/>
      </c>
      <c r="U122" s="18">
        <f>IF($A122="","",IF(AND($B122&lt;&gt;"",COUNTIF('1. Plot &amp; Site Log'!$A$5:$A$64,$B122)=0),"Plot ID not in Plot &amp; Site Log. ","")&amp;IF(NOT(ISNUMBER($Q122)),"No peat sections logged for this core. ","")&amp;IF($T122="No","Core stops short of the reference depth, so its reference-depth stock is an underestimate. Its full-profile stock is still valid. ","")&amp;IF($L122="No","Core did not reach the mineral contact — the full-profile stock is a MINIMUM, not the whole store. ","")&amp;IF(AND(ISNUMBER($K122),$K122&lt;PEATLAND_MIN_DEPTH_CM),"Organic depth under "&amp;PEATLAND_MIN_DEPTH_CM&amp;" cm: by the guide's definition this is not peatland. Report it, but say so. ","")&amp;IF(AND(ISNUMBER($J122),$J122&lt;QC_RECOVERY_MIN),"Recovered only "&amp;TEXT($J122,"0%")&amp;" of the bore depth — the chamber probably did not fill completely. Material is missing, which is not the same as compaction. ","")&amp;IF(AND(ISNUMBER($J122),$J122&gt;1.05),"Recovered more than the bore depth — check the two measurements. ","")&amp;IF(AND(ISNUMBER($I122),$I122&gt;2),"Surface compaction of "&amp;$I122&amp;" cm: depths in this core sit shallower than in the ground, so depth-limited stock is biased. Full-profile stock is unaffected. ",""))</f>
        <v/>
      </c>
      <c r="V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8">
        <f>IF(OR($G123="",$H123="",$G123=0),"",$H123/$G123)</f>
        <v/>
      </c>
      <c r="K123" s="14" t="n"/>
      <c r="L123" s="14" t="n"/>
      <c r="M123" s="14" t="n"/>
      <c r="N123" s="14" t="n"/>
      <c r="O123" s="14" t="n"/>
      <c r="P123" s="14" t="n"/>
      <c r="Q123" s="18">
        <f>IF($A123="","",IF(SUMPRODUCT(MAX(('3. Peat Data'!$B$5:$B$604=$A123)*'3. Peat Data'!$F$5:$F$604))=0,"",SUMPRODUCT(MAX(('3. Peat Data'!$B$5:$B$604=$A123)*'3. Peat Data'!$F$5:$F$604))))</f>
        <v/>
      </c>
      <c r="R123" s="18">
        <f>IF($A123="","",IFERROR(SUMIFS('3. Peat Data'!$P$5:$P$604,'3. Peat Data'!$B$5:$B$604,$A123),""))</f>
        <v/>
      </c>
      <c r="S123" s="18">
        <f>IF($A123="","",IFERROR(SUMIFS('3. Peat Data'!$Q$5:$Q$604,'3. Peat Data'!$B$5:$B$604,$A123),""))</f>
        <v/>
      </c>
      <c r="T123" s="18">
        <f>IF(NOT(ISNUMBER($Q123)),"",IF($Q123&gt;=REFERENCE_DEPTH_CM,"Yes","No"))</f>
        <v/>
      </c>
      <c r="U123" s="18">
        <f>IF($A123="","",IF(AND($B123&lt;&gt;"",COUNTIF('1. Plot &amp; Site Log'!$A$5:$A$64,$B123)=0),"Plot ID not in Plot &amp; Site Log. ","")&amp;IF(NOT(ISNUMBER($Q123)),"No peat sections logged for this core. ","")&amp;IF($T123="No","Core stops short of the reference depth, so its reference-depth stock is an underestimate. Its full-profile stock is still valid. ","")&amp;IF($L123="No","Core did not reach the mineral contact — the full-profile stock is a MINIMUM, not the whole store. ","")&amp;IF(AND(ISNUMBER($K123),$K123&lt;PEATLAND_MIN_DEPTH_CM),"Organic depth under "&amp;PEATLAND_MIN_DEPTH_CM&amp;" cm: by the guide's definition this is not peatland. Report it, but say so. ","")&amp;IF(AND(ISNUMBER($J123),$J123&lt;QC_RECOVERY_MIN),"Recovered only "&amp;TEXT($J123,"0%")&amp;" of the bore depth — the chamber probably did not fill completely. Material is missing, which is not the same as compaction. ","")&amp;IF(AND(ISNUMBER($J123),$J123&gt;1.05),"Recovered more than the bore depth — check the two measurements. ","")&amp;IF(AND(ISNUMBER($I123),$I123&gt;2),"Surface compaction of "&amp;$I123&amp;" cm: depths in this core sit shallower than in the ground, so depth-limited stock is biased. Full-profile stock is unaffected. ",""))</f>
        <v/>
      </c>
      <c r="V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8">
        <f>IF(OR($G124="",$H124="",$G124=0),"",$H124/$G124)</f>
        <v/>
      </c>
      <c r="K124" s="14" t="n"/>
      <c r="L124" s="14" t="n"/>
      <c r="M124" s="14" t="n"/>
      <c r="N124" s="14" t="n"/>
      <c r="O124" s="14" t="n"/>
      <c r="P124" s="14" t="n"/>
      <c r="Q124" s="18">
        <f>IF($A124="","",IF(SUMPRODUCT(MAX(('3. Peat Data'!$B$5:$B$604=$A124)*'3. Peat Data'!$F$5:$F$604))=0,"",SUMPRODUCT(MAX(('3. Peat Data'!$B$5:$B$604=$A124)*'3. Peat Data'!$F$5:$F$604))))</f>
        <v/>
      </c>
      <c r="R124" s="18">
        <f>IF($A124="","",IFERROR(SUMIFS('3. Peat Data'!$P$5:$P$604,'3. Peat Data'!$B$5:$B$604,$A124),""))</f>
        <v/>
      </c>
      <c r="S124" s="18">
        <f>IF($A124="","",IFERROR(SUMIFS('3. Peat Data'!$Q$5:$Q$604,'3. Peat Data'!$B$5:$B$604,$A124),""))</f>
        <v/>
      </c>
      <c r="T124" s="18">
        <f>IF(NOT(ISNUMBER($Q124)),"",IF($Q124&gt;=REFERENCE_DEPTH_CM,"Yes","No"))</f>
        <v/>
      </c>
      <c r="U124" s="18">
        <f>IF($A124="","",IF(AND($B124&lt;&gt;"",COUNTIF('1. Plot &amp; Site Log'!$A$5:$A$64,$B124)=0),"Plot ID not in Plot &amp; Site Log. ","")&amp;IF(NOT(ISNUMBER($Q124)),"No peat sections logged for this core. ","")&amp;IF($T124="No","Core stops short of the reference depth, so its reference-depth stock is an underestimate. Its full-profile stock is still valid. ","")&amp;IF($L124="No","Core did not reach the mineral contact — the full-profile stock is a MINIMUM, not the whole store. ","")&amp;IF(AND(ISNUMBER($K124),$K124&lt;PEATLAND_MIN_DEPTH_CM),"Organic depth under "&amp;PEATLAND_MIN_DEPTH_CM&amp;" cm: by the guide's definition this is not peatland. Report it, but say so. ","")&amp;IF(AND(ISNUMBER($J124),$J124&lt;QC_RECOVERY_MIN),"Recovered only "&amp;TEXT($J124,"0%")&amp;" of the bore depth — the chamber probably did not fill completely. Material is missing, which is not the same as compaction. ","")&amp;IF(AND(ISNUMBER($J124),$J124&gt;1.05),"Recovered more than the bore depth — check the two measurements. ","")&amp;IF(AND(ISNUMBER($I124),$I124&gt;2),"Surface compaction of "&amp;$I124&amp;" cm: depths in this core sit shallower than in the ground, so depth-limited stock is biased. Full-profile stock is unaffected. ",""))</f>
        <v/>
      </c>
      <c r="V124" s="14" t="n"/>
    </row>
  </sheetData>
  <mergeCells count="1">
    <mergeCell ref="A2:V2"/>
  </mergeCells>
  <dataValidations count="4">
    <dataValidation sqref="B5:B124" showDropDown="0" showInputMessage="0" showErrorMessage="0" allowBlank="1" type="list">
      <formula1>='1. Plot &amp; Site Log'!$A$5:$A$64</formula1>
    </dataValidation>
    <dataValidation sqref="L5:L124" showDropDown="0" showInputMessage="0" showErrorMessage="0" allowBlank="1" type="list">
      <formula1>"Yes,No,Unsure"</formula1>
    </dataValidation>
    <dataValidation sqref="P5:P124" showDropDown="0" showInputMessage="0" showErrorMessage="0" allowBlank="1" type="list">
      <formula1>"Yes,No"</formula1>
    </dataValidation>
    <dataValidation sqref="M5:M124" showDropDown="0" showInputMessage="0" showErrorMessage="0" allowBlank="1" type="list">
      <formula1>='R1. Reference'!$A$6:$A$15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04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8" customWidth="1" min="3" max="3"/>
    <col width="10" customWidth="1" min="4" max="4"/>
    <col width="11" customWidth="1" min="5" max="5"/>
    <col width="12" customWidth="1" min="6" max="6"/>
    <col width="11" customWidth="1" min="7" max="7"/>
    <col width="10" customWidth="1" min="8" max="8"/>
    <col width="19" customWidth="1" min="9" max="9"/>
    <col width="12" customWidth="1" min="10" max="10"/>
    <col width="11" customWidth="1" min="11" max="11"/>
    <col width="11" customWidth="1" min="12" max="12"/>
    <col width="12" customWidth="1" min="13" max="13"/>
    <col width="11" customWidth="1" min="14" max="14"/>
    <col width="15" customWidth="1" min="15" max="15"/>
    <col width="15" customWidth="1" min="16" max="16"/>
    <col width="15" customWidth="1" min="17" max="17"/>
    <col hidden="1" width="13" customWidth="1" min="18" max="18"/>
    <col width="16" customWidth="1" min="19" max="19"/>
    <col width="46" customWidth="1" min="20" max="20"/>
    <col width="26" customWidth="1" min="21" max="21"/>
  </cols>
  <sheetData>
    <row r="1">
      <c r="A1" s="10" t="inlineStr">
        <is>
          <t>PEAT DATA</t>
        </is>
      </c>
    </row>
    <row r="2" ht="34" customHeight="1">
      <c r="A2" s="15" t="inlineStr">
        <is>
          <t>ONE ROW PER SECTION. Depths run continuously down the core, so the bottom of one section is the top of the next — and they continue across drive boundaries (drive 2 starts where drive 1 ended). Enter either LOI₅₅₀ or a measured organic carbon %; if you have both, the measured value wins.</t>
        </is>
      </c>
    </row>
    <row r="4" ht="42" customHeight="1">
      <c r="A4" s="16" t="inlineStr">
        <is>
          <t>Plot ID</t>
        </is>
      </c>
      <c r="B4" s="16" t="inlineStr">
        <is>
          <t>Core ID</t>
        </is>
      </c>
      <c r="C4" s="16" t="inlineStr">
        <is>
          <t>Drive #</t>
        </is>
      </c>
      <c r="D4" s="16" t="inlineStr">
        <is>
          <t>Section ID</t>
        </is>
      </c>
      <c r="E4" s="16" t="inlineStr">
        <is>
          <t>Top depth (cm)</t>
        </is>
      </c>
      <c r="F4" s="16" t="inlineStr">
        <is>
          <t>Bottom depth (cm)</t>
        </is>
      </c>
      <c r="G4" s="16" t="inlineStr">
        <is>
          <t>Thickness (cm)</t>
        </is>
      </c>
      <c r="H4" s="16" t="inlineStr">
        <is>
          <t>von Post</t>
        </is>
      </c>
      <c r="I4" s="16" t="inlineStr">
        <is>
          <t>Bulk density basis</t>
        </is>
      </c>
      <c r="J4" s="16" t="inlineStr">
        <is>
          <t>Bulk density (g/cm³)</t>
        </is>
      </c>
      <c r="K4" s="16" t="inlineStr">
        <is>
          <t>Water content (%)</t>
        </is>
      </c>
      <c r="L4" s="16" t="inlineStr">
        <is>
          <t>LOI₅₅₀ (%)</t>
        </is>
      </c>
      <c r="M4" s="16" t="inlineStr">
        <is>
          <t>Organic carbon (%)</t>
        </is>
      </c>
      <c r="N4" s="16" t="inlineStr">
        <is>
          <t>Carbon % used</t>
        </is>
      </c>
      <c r="O4" s="16" t="inlineStr">
        <is>
          <t>Thickness within reference depth (cm)</t>
        </is>
      </c>
      <c r="P4" s="16" t="inlineStr">
        <is>
          <t>Stock, full thickness (kg C/m²)</t>
        </is>
      </c>
      <c r="Q4" s="16" t="inlineStr">
        <is>
          <t>Stock to reference depth (kg C/m²)</t>
        </is>
      </c>
      <c r="R4" s="16" t="inlineStr">
        <is>
          <t>_stock per cm</t>
        </is>
      </c>
      <c r="S4" s="16" t="inlineStr">
        <is>
          <t>Cumulative carbon to base (kg C/m²)</t>
        </is>
      </c>
      <c r="T4" s="16" t="inlineStr">
        <is>
          <t>QC flags</t>
        </is>
      </c>
      <c r="U4" s="16" t="inlineStr">
        <is>
          <t>Notes</t>
        </is>
      </c>
    </row>
    <row r="5">
      <c r="A5" s="14" t="n"/>
      <c r="B5" s="14" t="n"/>
      <c r="C5" s="14" t="n"/>
      <c r="D5" s="14" t="n"/>
      <c r="E5" s="14" t="n"/>
      <c r="F5" s="14" t="n"/>
      <c r="G5" s="14">
        <f>IF(OR($E5="",$F5=""),"",$F5-$E5)</f>
        <v/>
      </c>
      <c r="H5" s="14" t="n"/>
      <c r="I5" s="14" t="n"/>
      <c r="J5" s="19" t="n"/>
      <c r="K5" s="19" t="n"/>
      <c r="L5" s="19" t="n"/>
      <c r="M5" s="19" t="n"/>
      <c r="N5" s="18">
        <f>IF($M5&lt;&gt;"",$M5,IF($L5&lt;&gt;"",$L5*CARBON_FRACTION_OM,""))</f>
        <v/>
      </c>
      <c r="O5" s="18">
        <f>IF(OR($E5="",$F5=""),"",MAX(0,MIN($F5,REFERENCE_DEPTH_CM)-MIN($E5,REFERENCE_DEPTH_CM)))</f>
        <v/>
      </c>
      <c r="P5" s="18">
        <f>IF(OR($J5="",$N5="",$G5=""),"",$J5*($N5/100)*$G5*10)</f>
        <v/>
      </c>
      <c r="Q5" s="18">
        <f>IF(OR($J5="",$N5="",$O5=""),"",$J5*($N5/100)*$O5*10)</f>
        <v/>
      </c>
      <c r="R5" s="18">
        <f>IF(OR(NOT(ISNUMBER($P5)),NOT(ISNUMBER($G5)),$G5=0),0,$P5/$G5)</f>
        <v/>
      </c>
      <c r="S5" s="18">
        <f>IF(OR($B5="",NOT(ISNUMBER($F5))),"",SUMIFS('3. Peat Data'!$P$5:$P$604,'3. Peat Data'!$B$5:$B$604,$B5,'3. Peat Data'!$F$5:$F$604,"&lt;="&amp;$F5))</f>
        <v/>
      </c>
      <c r="T5" s="18">
        <f>IF(AND($A5="",$B5="",$E5=""),"",IF(AND($B5&lt;&gt;"",COUNTIF('2. Core Log'!$A$5:$A$124,$B5)=0),"Core ID not in Core Log. ","")&amp;IF(AND($A5&lt;&gt;"",COUNTIF('1. Plot &amp; Site Log'!$A$5:$A$64,$A5)=0),"Plot ID not in Plot &amp; Site Log. ","")&amp;IF(AND(ISNUMBER($E5),ISNUMBER($F5),$F5&lt;=$E5),"Bottom depth is not below top depth. ","")&amp;IF($I5="","Say which bulk-density basis the lab reported. ","")&amp;IF(AND(ISNUMBER($J5),OR($J5&lt;QC_BD_MIN,$J5&gt;QC_BD_MAX)),"Bulk density outside "&amp;QC_BD_MIN&amp;"–"&amp;QC_BD_MAX&amp;" g/cm³ for peat. Above the top of that range usually means the mineral contact has been passed. ","")&amp;IF(AND(ISNUMBER($N5),$N5&gt;QC_CARBON_PCT_MAX),"Carbon above "&amp;QC_CARBON_PCT_MAX&amp;"% — check units; this may be organic matter rather than carbon. ","")&amp;IF(AND($L5&lt;&gt;"",$M5&lt;&gt;""),"Both LOI and measured carbon given — the measured value is used. ","")&amp;IF(AND($M5="",$L5&lt;&gt;"",OM_FACTOR_IS_LOCAL&lt;&gt;"Yes"),"Carbon derived from LOI using the default factor of "&amp;CARBON_FRACTION_OM&amp;", which has not been calibrated locally. See R1. Reference. ","")&amp;IF(AND(ISNUMBER($O5),$O5=0,ISNUMBER($E5)),"Section lies entirely below the reference depth — it counts to the full-profile stock only. ",""))</f>
        <v/>
      </c>
      <c r="U5" s="14" t="n"/>
    </row>
    <row r="6">
      <c r="A6" s="14" t="n"/>
      <c r="B6" s="14" t="n"/>
      <c r="C6" s="14" t="n"/>
      <c r="D6" s="14" t="n"/>
      <c r="E6" s="14" t="n"/>
      <c r="F6" s="14" t="n"/>
      <c r="G6" s="14">
        <f>IF(OR($E6="",$F6=""),"",$F6-$E6)</f>
        <v/>
      </c>
      <c r="H6" s="14" t="n"/>
      <c r="I6" s="14" t="n"/>
      <c r="J6" s="19" t="n"/>
      <c r="K6" s="19" t="n"/>
      <c r="L6" s="19" t="n"/>
      <c r="M6" s="19" t="n"/>
      <c r="N6" s="18">
        <f>IF($M6&lt;&gt;"",$M6,IF($L6&lt;&gt;"",$L6*CARBON_FRACTION_OM,""))</f>
        <v/>
      </c>
      <c r="O6" s="18">
        <f>IF(OR($E6="",$F6=""),"",MAX(0,MIN($F6,REFERENCE_DEPTH_CM)-MIN($E6,REFERENCE_DEPTH_CM)))</f>
        <v/>
      </c>
      <c r="P6" s="18">
        <f>IF(OR($J6="",$N6="",$G6=""),"",$J6*($N6/100)*$G6*10)</f>
        <v/>
      </c>
      <c r="Q6" s="18">
        <f>IF(OR($J6="",$N6="",$O6=""),"",$J6*($N6/100)*$O6*10)</f>
        <v/>
      </c>
      <c r="R6" s="18">
        <f>IF(OR(NOT(ISNUMBER($P6)),NOT(ISNUMBER($G6)),$G6=0),0,$P6/$G6)</f>
        <v/>
      </c>
      <c r="S6" s="18">
        <f>IF(OR($B6="",NOT(ISNUMBER($F6))),"",SUMIFS('3. Peat Data'!$P$5:$P$604,'3. Peat Data'!$B$5:$B$604,$B6,'3. Peat Data'!$F$5:$F$604,"&lt;="&amp;$F6))</f>
        <v/>
      </c>
      <c r="T6" s="18">
        <f>IF(AND($A6="",$B6="",$E6=""),"",IF(AND($B6&lt;&gt;"",COUNTIF('2. Core Log'!$A$5:$A$124,$B6)=0),"Core ID not in Core Log. ","")&amp;IF(AND($A6&lt;&gt;"",COUNTIF('1. Plot &amp; Site Log'!$A$5:$A$64,$A6)=0),"Plot ID not in Plot &amp; Site Log. ","")&amp;IF(AND(ISNUMBER($E6),ISNUMBER($F6),$F6&lt;=$E6),"Bottom depth is not below top depth. ","")&amp;IF($I6="","Say which bulk-density basis the lab reported. ","")&amp;IF(AND(ISNUMBER($J6),OR($J6&lt;QC_BD_MIN,$J6&gt;QC_BD_MAX)),"Bulk density outside "&amp;QC_BD_MIN&amp;"–"&amp;QC_BD_MAX&amp;" g/cm³ for peat. Above the top of that range usually means the mineral contact has been passed. ","")&amp;IF(AND(ISNUMBER($N6),$N6&gt;QC_CARBON_PCT_MAX),"Carbon above "&amp;QC_CARBON_PCT_MAX&amp;"% — check units; this may be organic matter rather than carbon. ","")&amp;IF(AND($L6&lt;&gt;"",$M6&lt;&gt;""),"Both LOI and measured carbon given — the measured value is used. ","")&amp;IF(AND($M6="",$L6&lt;&gt;"",OM_FACTOR_IS_LOCAL&lt;&gt;"Yes"),"Carbon derived from LOI using the default factor of "&amp;CARBON_FRACTION_OM&amp;", which has not been calibrated locally. See R1. Reference. ","")&amp;IF(AND(ISNUMBER($O6),$O6=0,ISNUMBER($E6)),"Section lies entirely below the reference depth — it counts to the full-profile stock only. ",""))</f>
        <v/>
      </c>
      <c r="U6" s="14" t="n"/>
    </row>
    <row r="7">
      <c r="A7" s="14" t="n"/>
      <c r="B7" s="14" t="n"/>
      <c r="C7" s="14" t="n"/>
      <c r="D7" s="14" t="n"/>
      <c r="E7" s="14" t="n"/>
      <c r="F7" s="14" t="n"/>
      <c r="G7" s="14">
        <f>IF(OR($E7="",$F7=""),"",$F7-$E7)</f>
        <v/>
      </c>
      <c r="H7" s="14" t="n"/>
      <c r="I7" s="14" t="n"/>
      <c r="J7" s="19" t="n"/>
      <c r="K7" s="19" t="n"/>
      <c r="L7" s="19" t="n"/>
      <c r="M7" s="19" t="n"/>
      <c r="N7" s="18">
        <f>IF($M7&lt;&gt;"",$M7,IF($L7&lt;&gt;"",$L7*CARBON_FRACTION_OM,""))</f>
        <v/>
      </c>
      <c r="O7" s="18">
        <f>IF(OR($E7="",$F7=""),"",MAX(0,MIN($F7,REFERENCE_DEPTH_CM)-MIN($E7,REFERENCE_DEPTH_CM)))</f>
        <v/>
      </c>
      <c r="P7" s="18">
        <f>IF(OR($J7="",$N7="",$G7=""),"",$J7*($N7/100)*$G7*10)</f>
        <v/>
      </c>
      <c r="Q7" s="18">
        <f>IF(OR($J7="",$N7="",$O7=""),"",$J7*($N7/100)*$O7*10)</f>
        <v/>
      </c>
      <c r="R7" s="18">
        <f>IF(OR(NOT(ISNUMBER($P7)),NOT(ISNUMBER($G7)),$G7=0),0,$P7/$G7)</f>
        <v/>
      </c>
      <c r="S7" s="18">
        <f>IF(OR($B7="",NOT(ISNUMBER($F7))),"",SUMIFS('3. Peat Data'!$P$5:$P$604,'3. Peat Data'!$B$5:$B$604,$B7,'3. Peat Data'!$F$5:$F$604,"&lt;="&amp;$F7))</f>
        <v/>
      </c>
      <c r="T7" s="18">
        <f>IF(AND($A7="",$B7="",$E7=""),"",IF(AND($B7&lt;&gt;"",COUNTIF('2. Core Log'!$A$5:$A$124,$B7)=0),"Core ID not in Core Log. ","")&amp;IF(AND($A7&lt;&gt;"",COUNTIF('1. Plot &amp; Site Log'!$A$5:$A$64,$A7)=0),"Plot ID not in Plot &amp; Site Log. ","")&amp;IF(AND(ISNUMBER($E7),ISNUMBER($F7),$F7&lt;=$E7),"Bottom depth is not below top depth. ","")&amp;IF($I7="","Say which bulk-density basis the lab reported. ","")&amp;IF(AND(ISNUMBER($J7),OR($J7&lt;QC_BD_MIN,$J7&gt;QC_BD_MAX)),"Bulk density outside "&amp;QC_BD_MIN&amp;"–"&amp;QC_BD_MAX&amp;" g/cm³ for peat. Above the top of that range usually means the mineral contact has been passed. ","")&amp;IF(AND(ISNUMBER($N7),$N7&gt;QC_CARBON_PCT_MAX),"Carbon above "&amp;QC_CARBON_PCT_MAX&amp;"% — check units; this may be organic matter rather than carbon. ","")&amp;IF(AND($L7&lt;&gt;"",$M7&lt;&gt;""),"Both LOI and measured carbon given — the measured value is used. ","")&amp;IF(AND($M7="",$L7&lt;&gt;"",OM_FACTOR_IS_LOCAL&lt;&gt;"Yes"),"Carbon derived from LOI using the default factor of "&amp;CARBON_FRACTION_OM&amp;", which has not been calibrated locally. See R1. Reference. ","")&amp;IF(AND(ISNUMBER($O7),$O7=0,ISNUMBER($E7)),"Section lies entirely below the reference depth — it counts to the full-profile stock only. ",""))</f>
        <v/>
      </c>
      <c r="U7" s="14" t="n"/>
    </row>
    <row r="8">
      <c r="A8" s="14" t="n"/>
      <c r="B8" s="14" t="n"/>
      <c r="C8" s="14" t="n"/>
      <c r="D8" s="14" t="n"/>
      <c r="E8" s="14" t="n"/>
      <c r="F8" s="14" t="n"/>
      <c r="G8" s="14">
        <f>IF(OR($E8="",$F8=""),"",$F8-$E8)</f>
        <v/>
      </c>
      <c r="H8" s="14" t="n"/>
      <c r="I8" s="14" t="n"/>
      <c r="J8" s="19" t="n"/>
      <c r="K8" s="19" t="n"/>
      <c r="L8" s="19" t="n"/>
      <c r="M8" s="19" t="n"/>
      <c r="N8" s="18">
        <f>IF($M8&lt;&gt;"",$M8,IF($L8&lt;&gt;"",$L8*CARBON_FRACTION_OM,""))</f>
        <v/>
      </c>
      <c r="O8" s="18">
        <f>IF(OR($E8="",$F8=""),"",MAX(0,MIN($F8,REFERENCE_DEPTH_CM)-MIN($E8,REFERENCE_DEPTH_CM)))</f>
        <v/>
      </c>
      <c r="P8" s="18">
        <f>IF(OR($J8="",$N8="",$G8=""),"",$J8*($N8/100)*$G8*10)</f>
        <v/>
      </c>
      <c r="Q8" s="18">
        <f>IF(OR($J8="",$N8="",$O8=""),"",$J8*($N8/100)*$O8*10)</f>
        <v/>
      </c>
      <c r="R8" s="18">
        <f>IF(OR(NOT(ISNUMBER($P8)),NOT(ISNUMBER($G8)),$G8=0),0,$P8/$G8)</f>
        <v/>
      </c>
      <c r="S8" s="18">
        <f>IF(OR($B8="",NOT(ISNUMBER($F8))),"",SUMIFS('3. Peat Data'!$P$5:$P$604,'3. Peat Data'!$B$5:$B$604,$B8,'3. Peat Data'!$F$5:$F$604,"&lt;="&amp;$F8))</f>
        <v/>
      </c>
      <c r="T8" s="18">
        <f>IF(AND($A8="",$B8="",$E8=""),"",IF(AND($B8&lt;&gt;"",COUNTIF('2. Core Log'!$A$5:$A$124,$B8)=0),"Core ID not in Core Log. ","")&amp;IF(AND($A8&lt;&gt;"",COUNTIF('1. Plot &amp; Site Log'!$A$5:$A$64,$A8)=0),"Plot ID not in Plot &amp; Site Log. ","")&amp;IF(AND(ISNUMBER($E8),ISNUMBER($F8),$F8&lt;=$E8),"Bottom depth is not below top depth. ","")&amp;IF($I8="","Say which bulk-density basis the lab reported. ","")&amp;IF(AND(ISNUMBER($J8),OR($J8&lt;QC_BD_MIN,$J8&gt;QC_BD_MAX)),"Bulk density outside "&amp;QC_BD_MIN&amp;"–"&amp;QC_BD_MAX&amp;" g/cm³ for peat. Above the top of that range usually means the mineral contact has been passed. ","")&amp;IF(AND(ISNUMBER($N8),$N8&gt;QC_CARBON_PCT_MAX),"Carbon above "&amp;QC_CARBON_PCT_MAX&amp;"% — check units; this may be organic matter rather than carbon. ","")&amp;IF(AND($L8&lt;&gt;"",$M8&lt;&gt;""),"Both LOI and measured carbon given — the measured value is used. ","")&amp;IF(AND($M8="",$L8&lt;&gt;"",OM_FACTOR_IS_LOCAL&lt;&gt;"Yes"),"Carbon derived from LOI using the default factor of "&amp;CARBON_FRACTION_OM&amp;", which has not been calibrated locally. See R1. Reference. ","")&amp;IF(AND(ISNUMBER($O8),$O8=0,ISNUMBER($E8)),"Section lies entirely below the reference depth — it counts to the full-profile stock only. ",""))</f>
        <v/>
      </c>
      <c r="U8" s="14" t="n"/>
    </row>
    <row r="9">
      <c r="A9" s="14" t="n"/>
      <c r="B9" s="14" t="n"/>
      <c r="C9" s="14" t="n"/>
      <c r="D9" s="14" t="n"/>
      <c r="E9" s="14" t="n"/>
      <c r="F9" s="14" t="n"/>
      <c r="G9" s="14">
        <f>IF(OR($E9="",$F9=""),"",$F9-$E9)</f>
        <v/>
      </c>
      <c r="H9" s="14" t="n"/>
      <c r="I9" s="14" t="n"/>
      <c r="J9" s="19" t="n"/>
      <c r="K9" s="19" t="n"/>
      <c r="L9" s="19" t="n"/>
      <c r="M9" s="19" t="n"/>
      <c r="N9" s="18">
        <f>IF($M9&lt;&gt;"",$M9,IF($L9&lt;&gt;"",$L9*CARBON_FRACTION_OM,""))</f>
        <v/>
      </c>
      <c r="O9" s="18">
        <f>IF(OR($E9="",$F9=""),"",MAX(0,MIN($F9,REFERENCE_DEPTH_CM)-MIN($E9,REFERENCE_DEPTH_CM)))</f>
        <v/>
      </c>
      <c r="P9" s="18">
        <f>IF(OR($J9="",$N9="",$G9=""),"",$J9*($N9/100)*$G9*10)</f>
        <v/>
      </c>
      <c r="Q9" s="18">
        <f>IF(OR($J9="",$N9="",$O9=""),"",$J9*($N9/100)*$O9*10)</f>
        <v/>
      </c>
      <c r="R9" s="18">
        <f>IF(OR(NOT(ISNUMBER($P9)),NOT(ISNUMBER($G9)),$G9=0),0,$P9/$G9)</f>
        <v/>
      </c>
      <c r="S9" s="18">
        <f>IF(OR($B9="",NOT(ISNUMBER($F9))),"",SUMIFS('3. Peat Data'!$P$5:$P$604,'3. Peat Data'!$B$5:$B$604,$B9,'3. Peat Data'!$F$5:$F$604,"&lt;="&amp;$F9))</f>
        <v/>
      </c>
      <c r="T9" s="18">
        <f>IF(AND($A9="",$B9="",$E9=""),"",IF(AND($B9&lt;&gt;"",COUNTIF('2. Core Log'!$A$5:$A$124,$B9)=0),"Core ID not in Core Log. ","")&amp;IF(AND($A9&lt;&gt;"",COUNTIF('1. Plot &amp; Site Log'!$A$5:$A$64,$A9)=0),"Plot ID not in Plot &amp; Site Log. ","")&amp;IF(AND(ISNUMBER($E9),ISNUMBER($F9),$F9&lt;=$E9),"Bottom depth is not below top depth. ","")&amp;IF($I9="","Say which bulk-density basis the lab reported. ","")&amp;IF(AND(ISNUMBER($J9),OR($J9&lt;QC_BD_MIN,$J9&gt;QC_BD_MAX)),"Bulk density outside "&amp;QC_BD_MIN&amp;"–"&amp;QC_BD_MAX&amp;" g/cm³ for peat. Above the top of that range usually means the mineral contact has been passed. ","")&amp;IF(AND(ISNUMBER($N9),$N9&gt;QC_CARBON_PCT_MAX),"Carbon above "&amp;QC_CARBON_PCT_MAX&amp;"% — check units; this may be organic matter rather than carbon. ","")&amp;IF(AND($L9&lt;&gt;"",$M9&lt;&gt;""),"Both LOI and measured carbon given — the measured value is used. ","")&amp;IF(AND($M9="",$L9&lt;&gt;"",OM_FACTOR_IS_LOCAL&lt;&gt;"Yes"),"Carbon derived from LOI using the default factor of "&amp;CARBON_FRACTION_OM&amp;", which has not been calibrated locally. See R1. Reference. ","")&amp;IF(AND(ISNUMBER($O9),$O9=0,ISNUMBER($E9)),"Section lies entirely below the reference depth — it counts to the full-profile stock only. ",""))</f>
        <v/>
      </c>
      <c r="U9" s="14" t="n"/>
    </row>
    <row r="10">
      <c r="A10" s="14" t="n"/>
      <c r="B10" s="14" t="n"/>
      <c r="C10" s="14" t="n"/>
      <c r="D10" s="14" t="n"/>
      <c r="E10" s="14" t="n"/>
      <c r="F10" s="14" t="n"/>
      <c r="G10" s="14">
        <f>IF(OR($E10="",$F10=""),"",$F10-$E10)</f>
        <v/>
      </c>
      <c r="H10" s="14" t="n"/>
      <c r="I10" s="14" t="n"/>
      <c r="J10" s="19" t="n"/>
      <c r="K10" s="19" t="n"/>
      <c r="L10" s="19" t="n"/>
      <c r="M10" s="19" t="n"/>
      <c r="N10" s="18">
        <f>IF($M10&lt;&gt;"",$M10,IF($L10&lt;&gt;"",$L10*CARBON_FRACTION_OM,""))</f>
        <v/>
      </c>
      <c r="O10" s="18">
        <f>IF(OR($E10="",$F10=""),"",MAX(0,MIN($F10,REFERENCE_DEPTH_CM)-MIN($E10,REFERENCE_DEPTH_CM)))</f>
        <v/>
      </c>
      <c r="P10" s="18">
        <f>IF(OR($J10="",$N10="",$G10=""),"",$J10*($N10/100)*$G10*10)</f>
        <v/>
      </c>
      <c r="Q10" s="18">
        <f>IF(OR($J10="",$N10="",$O10=""),"",$J10*($N10/100)*$O10*10)</f>
        <v/>
      </c>
      <c r="R10" s="18">
        <f>IF(OR(NOT(ISNUMBER($P10)),NOT(ISNUMBER($G10)),$G10=0),0,$P10/$G10)</f>
        <v/>
      </c>
      <c r="S10" s="18">
        <f>IF(OR($B10="",NOT(ISNUMBER($F10))),"",SUMIFS('3. Peat Data'!$P$5:$P$604,'3. Peat Data'!$B$5:$B$604,$B10,'3. Peat Data'!$F$5:$F$604,"&lt;="&amp;$F10))</f>
        <v/>
      </c>
      <c r="T10" s="18">
        <f>IF(AND($A10="",$B10="",$E10=""),"",IF(AND($B10&lt;&gt;"",COUNTIF('2. Core Log'!$A$5:$A$124,$B10)=0),"Core ID not in Core Log. ","")&amp;IF(AND($A10&lt;&gt;"",COUNTIF('1. Plot &amp; Site Log'!$A$5:$A$64,$A10)=0),"Plot ID not in Plot &amp; Site Log. ","")&amp;IF(AND(ISNUMBER($E10),ISNUMBER($F10),$F10&lt;=$E10),"Bottom depth is not below top depth. ","")&amp;IF($I10="","Say which bulk-density basis the lab reported. ","")&amp;IF(AND(ISNUMBER($J10),OR($J10&lt;QC_BD_MIN,$J10&gt;QC_BD_MAX)),"Bulk density outside "&amp;QC_BD_MIN&amp;"–"&amp;QC_BD_MAX&amp;" g/cm³ for peat. Above the top of that range usually means the mineral contact has been passed. ","")&amp;IF(AND(ISNUMBER($N10),$N10&gt;QC_CARBON_PCT_MAX),"Carbon above "&amp;QC_CARBON_PCT_MAX&amp;"% — check units; this may be organic matter rather than carbon. ","")&amp;IF(AND($L10&lt;&gt;"",$M10&lt;&gt;""),"Both LOI and measured carbon given — the measured value is used. ","")&amp;IF(AND($M10="",$L10&lt;&gt;"",OM_FACTOR_IS_LOCAL&lt;&gt;"Yes"),"Carbon derived from LOI using the default factor of "&amp;CARBON_FRACTION_OM&amp;", which has not been calibrated locally. See R1. Reference. ","")&amp;IF(AND(ISNUMBER($O10),$O10=0,ISNUMBER($E10)),"Section lies entirely below the reference depth — it counts to the full-profile stock only. ",""))</f>
        <v/>
      </c>
      <c r="U10" s="14" t="n"/>
    </row>
    <row r="11">
      <c r="A11" s="14" t="n"/>
      <c r="B11" s="14" t="n"/>
      <c r="C11" s="14" t="n"/>
      <c r="D11" s="14" t="n"/>
      <c r="E11" s="14" t="n"/>
      <c r="F11" s="14" t="n"/>
      <c r="G11" s="14">
        <f>IF(OR($E11="",$F11=""),"",$F11-$E11)</f>
        <v/>
      </c>
      <c r="H11" s="14" t="n"/>
      <c r="I11" s="14" t="n"/>
      <c r="J11" s="19" t="n"/>
      <c r="K11" s="19" t="n"/>
      <c r="L11" s="19" t="n"/>
      <c r="M11" s="19" t="n"/>
      <c r="N11" s="18">
        <f>IF($M11&lt;&gt;"",$M11,IF($L11&lt;&gt;"",$L11*CARBON_FRACTION_OM,""))</f>
        <v/>
      </c>
      <c r="O11" s="18">
        <f>IF(OR($E11="",$F11=""),"",MAX(0,MIN($F11,REFERENCE_DEPTH_CM)-MIN($E11,REFERENCE_DEPTH_CM)))</f>
        <v/>
      </c>
      <c r="P11" s="18">
        <f>IF(OR($J11="",$N11="",$G11=""),"",$J11*($N11/100)*$G11*10)</f>
        <v/>
      </c>
      <c r="Q11" s="18">
        <f>IF(OR($J11="",$N11="",$O11=""),"",$J11*($N11/100)*$O11*10)</f>
        <v/>
      </c>
      <c r="R11" s="18">
        <f>IF(OR(NOT(ISNUMBER($P11)),NOT(ISNUMBER($G11)),$G11=0),0,$P11/$G11)</f>
        <v/>
      </c>
      <c r="S11" s="18">
        <f>IF(OR($B11="",NOT(ISNUMBER($F11))),"",SUMIFS('3. Peat Data'!$P$5:$P$604,'3. Peat Data'!$B$5:$B$604,$B11,'3. Peat Data'!$F$5:$F$604,"&lt;="&amp;$F11))</f>
        <v/>
      </c>
      <c r="T11" s="18">
        <f>IF(AND($A11="",$B11="",$E11=""),"",IF(AND($B11&lt;&gt;"",COUNTIF('2. Core Log'!$A$5:$A$124,$B11)=0),"Core ID not in Core Log. ","")&amp;IF(AND($A11&lt;&gt;"",COUNTIF('1. Plot &amp; Site Log'!$A$5:$A$64,$A11)=0),"Plot ID not in Plot &amp; Site Log. ","")&amp;IF(AND(ISNUMBER($E11),ISNUMBER($F11),$F11&lt;=$E11),"Bottom depth is not below top depth. ","")&amp;IF($I11="","Say which bulk-density basis the lab reported. ","")&amp;IF(AND(ISNUMBER($J11),OR($J11&lt;QC_BD_MIN,$J11&gt;QC_BD_MAX)),"Bulk density outside "&amp;QC_BD_MIN&amp;"–"&amp;QC_BD_MAX&amp;" g/cm³ for peat. Above the top of that range usually means the mineral contact has been passed. ","")&amp;IF(AND(ISNUMBER($N11),$N11&gt;QC_CARBON_PCT_MAX),"Carbon above "&amp;QC_CARBON_PCT_MAX&amp;"% — check units; this may be organic matter rather than carbon. ","")&amp;IF(AND($L11&lt;&gt;"",$M11&lt;&gt;""),"Both LOI and measured carbon given — the measured value is used. ","")&amp;IF(AND($M11="",$L11&lt;&gt;"",OM_FACTOR_IS_LOCAL&lt;&gt;"Yes"),"Carbon derived from LOI using the default factor of "&amp;CARBON_FRACTION_OM&amp;", which has not been calibrated locally. See R1. Reference. ","")&amp;IF(AND(ISNUMBER($O11),$O11=0,ISNUMBER($E11)),"Section lies entirely below the reference depth — it counts to the full-profile stock only. ",""))</f>
        <v/>
      </c>
      <c r="U11" s="14" t="n"/>
    </row>
    <row r="12">
      <c r="A12" s="14" t="n"/>
      <c r="B12" s="14" t="n"/>
      <c r="C12" s="14" t="n"/>
      <c r="D12" s="14" t="n"/>
      <c r="E12" s="14" t="n"/>
      <c r="F12" s="14" t="n"/>
      <c r="G12" s="14">
        <f>IF(OR($E12="",$F12=""),"",$F12-$E12)</f>
        <v/>
      </c>
      <c r="H12" s="14" t="n"/>
      <c r="I12" s="14" t="n"/>
      <c r="J12" s="19" t="n"/>
      <c r="K12" s="19" t="n"/>
      <c r="L12" s="19" t="n"/>
      <c r="M12" s="19" t="n"/>
      <c r="N12" s="18">
        <f>IF($M12&lt;&gt;"",$M12,IF($L12&lt;&gt;"",$L12*CARBON_FRACTION_OM,""))</f>
        <v/>
      </c>
      <c r="O12" s="18">
        <f>IF(OR($E12="",$F12=""),"",MAX(0,MIN($F12,REFERENCE_DEPTH_CM)-MIN($E12,REFERENCE_DEPTH_CM)))</f>
        <v/>
      </c>
      <c r="P12" s="18">
        <f>IF(OR($J12="",$N12="",$G12=""),"",$J12*($N12/100)*$G12*10)</f>
        <v/>
      </c>
      <c r="Q12" s="18">
        <f>IF(OR($J12="",$N12="",$O12=""),"",$J12*($N12/100)*$O12*10)</f>
        <v/>
      </c>
      <c r="R12" s="18">
        <f>IF(OR(NOT(ISNUMBER($P12)),NOT(ISNUMBER($G12)),$G12=0),0,$P12/$G12)</f>
        <v/>
      </c>
      <c r="S12" s="18">
        <f>IF(OR($B12="",NOT(ISNUMBER($F12))),"",SUMIFS('3. Peat Data'!$P$5:$P$604,'3. Peat Data'!$B$5:$B$604,$B12,'3. Peat Data'!$F$5:$F$604,"&lt;="&amp;$F12))</f>
        <v/>
      </c>
      <c r="T12" s="18">
        <f>IF(AND($A12="",$B12="",$E12=""),"",IF(AND($B12&lt;&gt;"",COUNTIF('2. Core Log'!$A$5:$A$124,$B12)=0),"Core ID not in Core Log. ","")&amp;IF(AND($A12&lt;&gt;"",COUNTIF('1. Plot &amp; Site Log'!$A$5:$A$64,$A12)=0),"Plot ID not in Plot &amp; Site Log. ","")&amp;IF(AND(ISNUMBER($E12),ISNUMBER($F12),$F12&lt;=$E12),"Bottom depth is not below top depth. ","")&amp;IF($I12="","Say which bulk-density basis the lab reported. ","")&amp;IF(AND(ISNUMBER($J12),OR($J12&lt;QC_BD_MIN,$J12&gt;QC_BD_MAX)),"Bulk density outside "&amp;QC_BD_MIN&amp;"–"&amp;QC_BD_MAX&amp;" g/cm³ for peat. Above the top of that range usually means the mineral contact has been passed. ","")&amp;IF(AND(ISNUMBER($N12),$N12&gt;QC_CARBON_PCT_MAX),"Carbon above "&amp;QC_CARBON_PCT_MAX&amp;"% — check units; this may be organic matter rather than carbon. ","")&amp;IF(AND($L12&lt;&gt;"",$M12&lt;&gt;""),"Both LOI and measured carbon given — the measured value is used. ","")&amp;IF(AND($M12="",$L12&lt;&gt;"",OM_FACTOR_IS_LOCAL&lt;&gt;"Yes"),"Carbon derived from LOI using the default factor of "&amp;CARBON_FRACTION_OM&amp;", which has not been calibrated locally. See R1. Reference. ","")&amp;IF(AND(ISNUMBER($O12),$O12=0,ISNUMBER($E12)),"Section lies entirely below the reference depth — it counts to the full-profile stock only. ",""))</f>
        <v/>
      </c>
      <c r="U12" s="14" t="n"/>
    </row>
    <row r="13">
      <c r="A13" s="14" t="n"/>
      <c r="B13" s="14" t="n"/>
      <c r="C13" s="14" t="n"/>
      <c r="D13" s="14" t="n"/>
      <c r="E13" s="14" t="n"/>
      <c r="F13" s="14" t="n"/>
      <c r="G13" s="14">
        <f>IF(OR($E13="",$F13=""),"",$F13-$E13)</f>
        <v/>
      </c>
      <c r="H13" s="14" t="n"/>
      <c r="I13" s="14" t="n"/>
      <c r="J13" s="19" t="n"/>
      <c r="K13" s="19" t="n"/>
      <c r="L13" s="19" t="n"/>
      <c r="M13" s="19" t="n"/>
      <c r="N13" s="18">
        <f>IF($M13&lt;&gt;"",$M13,IF($L13&lt;&gt;"",$L13*CARBON_FRACTION_OM,""))</f>
        <v/>
      </c>
      <c r="O13" s="18">
        <f>IF(OR($E13="",$F13=""),"",MAX(0,MIN($F13,REFERENCE_DEPTH_CM)-MIN($E13,REFERENCE_DEPTH_CM)))</f>
        <v/>
      </c>
      <c r="P13" s="18">
        <f>IF(OR($J13="",$N13="",$G13=""),"",$J13*($N13/100)*$G13*10)</f>
        <v/>
      </c>
      <c r="Q13" s="18">
        <f>IF(OR($J13="",$N13="",$O13=""),"",$J13*($N13/100)*$O13*10)</f>
        <v/>
      </c>
      <c r="R13" s="18">
        <f>IF(OR(NOT(ISNUMBER($P13)),NOT(ISNUMBER($G13)),$G13=0),0,$P13/$G13)</f>
        <v/>
      </c>
      <c r="S13" s="18">
        <f>IF(OR($B13="",NOT(ISNUMBER($F13))),"",SUMIFS('3. Peat Data'!$P$5:$P$604,'3. Peat Data'!$B$5:$B$604,$B13,'3. Peat Data'!$F$5:$F$604,"&lt;="&amp;$F13))</f>
        <v/>
      </c>
      <c r="T13" s="18">
        <f>IF(AND($A13="",$B13="",$E13=""),"",IF(AND($B13&lt;&gt;"",COUNTIF('2. Core Log'!$A$5:$A$124,$B13)=0),"Core ID not in Core Log. ","")&amp;IF(AND($A13&lt;&gt;"",COUNTIF('1. Plot &amp; Site Log'!$A$5:$A$64,$A13)=0),"Plot ID not in Plot &amp; Site Log. ","")&amp;IF(AND(ISNUMBER($E13),ISNUMBER($F13),$F13&lt;=$E13),"Bottom depth is not below top depth. ","")&amp;IF($I13="","Say which bulk-density basis the lab reported. ","")&amp;IF(AND(ISNUMBER($J13),OR($J13&lt;QC_BD_MIN,$J13&gt;QC_BD_MAX)),"Bulk density outside "&amp;QC_BD_MIN&amp;"–"&amp;QC_BD_MAX&amp;" g/cm³ for peat. Above the top of that range usually means the mineral contact has been passed. ","")&amp;IF(AND(ISNUMBER($N13),$N13&gt;QC_CARBON_PCT_MAX),"Carbon above "&amp;QC_CARBON_PCT_MAX&amp;"% — check units; this may be organic matter rather than carbon. ","")&amp;IF(AND($L13&lt;&gt;"",$M13&lt;&gt;""),"Both LOI and measured carbon given — the measured value is used. ","")&amp;IF(AND($M13="",$L13&lt;&gt;"",OM_FACTOR_IS_LOCAL&lt;&gt;"Yes"),"Carbon derived from LOI using the default factor of "&amp;CARBON_FRACTION_OM&amp;", which has not been calibrated locally. See R1. Reference. ","")&amp;IF(AND(ISNUMBER($O13),$O13=0,ISNUMBER($E13)),"Section lies entirely below the reference depth — it counts to the full-profile stock only. ",""))</f>
        <v/>
      </c>
      <c r="U13" s="14" t="n"/>
    </row>
    <row r="14">
      <c r="A14" s="14" t="n"/>
      <c r="B14" s="14" t="n"/>
      <c r="C14" s="14" t="n"/>
      <c r="D14" s="14" t="n"/>
      <c r="E14" s="14" t="n"/>
      <c r="F14" s="14" t="n"/>
      <c r="G14" s="14">
        <f>IF(OR($E14="",$F14=""),"",$F14-$E14)</f>
        <v/>
      </c>
      <c r="H14" s="14" t="n"/>
      <c r="I14" s="14" t="n"/>
      <c r="J14" s="19" t="n"/>
      <c r="K14" s="19" t="n"/>
      <c r="L14" s="19" t="n"/>
      <c r="M14" s="19" t="n"/>
      <c r="N14" s="18">
        <f>IF($M14&lt;&gt;"",$M14,IF($L14&lt;&gt;"",$L14*CARBON_FRACTION_OM,""))</f>
        <v/>
      </c>
      <c r="O14" s="18">
        <f>IF(OR($E14="",$F14=""),"",MAX(0,MIN($F14,REFERENCE_DEPTH_CM)-MIN($E14,REFERENCE_DEPTH_CM)))</f>
        <v/>
      </c>
      <c r="P14" s="18">
        <f>IF(OR($J14="",$N14="",$G14=""),"",$J14*($N14/100)*$G14*10)</f>
        <v/>
      </c>
      <c r="Q14" s="18">
        <f>IF(OR($J14="",$N14="",$O14=""),"",$J14*($N14/100)*$O14*10)</f>
        <v/>
      </c>
      <c r="R14" s="18">
        <f>IF(OR(NOT(ISNUMBER($P14)),NOT(ISNUMBER($G14)),$G14=0),0,$P14/$G14)</f>
        <v/>
      </c>
      <c r="S14" s="18">
        <f>IF(OR($B14="",NOT(ISNUMBER($F14))),"",SUMIFS('3. Peat Data'!$P$5:$P$604,'3. Peat Data'!$B$5:$B$604,$B14,'3. Peat Data'!$F$5:$F$604,"&lt;="&amp;$F14))</f>
        <v/>
      </c>
      <c r="T14" s="18">
        <f>IF(AND($A14="",$B14="",$E14=""),"",IF(AND($B14&lt;&gt;"",COUNTIF('2. Core Log'!$A$5:$A$124,$B14)=0),"Core ID not in Core Log. ","")&amp;IF(AND($A14&lt;&gt;"",COUNTIF('1. Plot &amp; Site Log'!$A$5:$A$64,$A14)=0),"Plot ID not in Plot &amp; Site Log. ","")&amp;IF(AND(ISNUMBER($E14),ISNUMBER($F14),$F14&lt;=$E14),"Bottom depth is not below top depth. ","")&amp;IF($I14="","Say which bulk-density basis the lab reported. ","")&amp;IF(AND(ISNUMBER($J14),OR($J14&lt;QC_BD_MIN,$J14&gt;QC_BD_MAX)),"Bulk density outside "&amp;QC_BD_MIN&amp;"–"&amp;QC_BD_MAX&amp;" g/cm³ for peat. Above the top of that range usually means the mineral contact has been passed. ","")&amp;IF(AND(ISNUMBER($N14),$N14&gt;QC_CARBON_PCT_MAX),"Carbon above "&amp;QC_CARBON_PCT_MAX&amp;"% — check units; this may be organic matter rather than carbon. ","")&amp;IF(AND($L14&lt;&gt;"",$M14&lt;&gt;""),"Both LOI and measured carbon given — the measured value is used. ","")&amp;IF(AND($M14="",$L14&lt;&gt;"",OM_FACTOR_IS_LOCAL&lt;&gt;"Yes"),"Carbon derived from LOI using the default factor of "&amp;CARBON_FRACTION_OM&amp;", which has not been calibrated locally. See R1. Reference. ","")&amp;IF(AND(ISNUMBER($O14),$O14=0,ISNUMBER($E14)),"Section lies entirely below the reference depth — it counts to the full-profile stock only. ",""))</f>
        <v/>
      </c>
      <c r="U14" s="14" t="n"/>
    </row>
    <row r="15">
      <c r="A15" s="14" t="n"/>
      <c r="B15" s="14" t="n"/>
      <c r="C15" s="14" t="n"/>
      <c r="D15" s="14" t="n"/>
      <c r="E15" s="14" t="n"/>
      <c r="F15" s="14" t="n"/>
      <c r="G15" s="14">
        <f>IF(OR($E15="",$F15=""),"",$F15-$E15)</f>
        <v/>
      </c>
      <c r="H15" s="14" t="n"/>
      <c r="I15" s="14" t="n"/>
      <c r="J15" s="19" t="n"/>
      <c r="K15" s="19" t="n"/>
      <c r="L15" s="19" t="n"/>
      <c r="M15" s="19" t="n"/>
      <c r="N15" s="18">
        <f>IF($M15&lt;&gt;"",$M15,IF($L15&lt;&gt;"",$L15*CARBON_FRACTION_OM,""))</f>
        <v/>
      </c>
      <c r="O15" s="18">
        <f>IF(OR($E15="",$F15=""),"",MAX(0,MIN($F15,REFERENCE_DEPTH_CM)-MIN($E15,REFERENCE_DEPTH_CM)))</f>
        <v/>
      </c>
      <c r="P15" s="18">
        <f>IF(OR($J15="",$N15="",$G15=""),"",$J15*($N15/100)*$G15*10)</f>
        <v/>
      </c>
      <c r="Q15" s="18">
        <f>IF(OR($J15="",$N15="",$O15=""),"",$J15*($N15/100)*$O15*10)</f>
        <v/>
      </c>
      <c r="R15" s="18">
        <f>IF(OR(NOT(ISNUMBER($P15)),NOT(ISNUMBER($G15)),$G15=0),0,$P15/$G15)</f>
        <v/>
      </c>
      <c r="S15" s="18">
        <f>IF(OR($B15="",NOT(ISNUMBER($F15))),"",SUMIFS('3. Peat Data'!$P$5:$P$604,'3. Peat Data'!$B$5:$B$604,$B15,'3. Peat Data'!$F$5:$F$604,"&lt;="&amp;$F15))</f>
        <v/>
      </c>
      <c r="T15" s="18">
        <f>IF(AND($A15="",$B15="",$E15=""),"",IF(AND($B15&lt;&gt;"",COUNTIF('2. Core Log'!$A$5:$A$124,$B15)=0),"Core ID not in Core Log. ","")&amp;IF(AND($A15&lt;&gt;"",COUNTIF('1. Plot &amp; Site Log'!$A$5:$A$64,$A15)=0),"Plot ID not in Plot &amp; Site Log. ","")&amp;IF(AND(ISNUMBER($E15),ISNUMBER($F15),$F15&lt;=$E15),"Bottom depth is not below top depth. ","")&amp;IF($I15="","Say which bulk-density basis the lab reported. ","")&amp;IF(AND(ISNUMBER($J15),OR($J15&lt;QC_BD_MIN,$J15&gt;QC_BD_MAX)),"Bulk density outside "&amp;QC_BD_MIN&amp;"–"&amp;QC_BD_MAX&amp;" g/cm³ for peat. Above the top of that range usually means the mineral contact has been passed. ","")&amp;IF(AND(ISNUMBER($N15),$N15&gt;QC_CARBON_PCT_MAX),"Carbon above "&amp;QC_CARBON_PCT_MAX&amp;"% — check units; this may be organic matter rather than carbon. ","")&amp;IF(AND($L15&lt;&gt;"",$M15&lt;&gt;""),"Both LOI and measured carbon given — the measured value is used. ","")&amp;IF(AND($M15="",$L15&lt;&gt;"",OM_FACTOR_IS_LOCAL&lt;&gt;"Yes"),"Carbon derived from LOI using the default factor of "&amp;CARBON_FRACTION_OM&amp;", which has not been calibrated locally. See R1. Reference. ","")&amp;IF(AND(ISNUMBER($O15),$O15=0,ISNUMBER($E15)),"Section lies entirely below the reference depth — it counts to the full-profile stock only. ",""))</f>
        <v/>
      </c>
      <c r="U15" s="14" t="n"/>
    </row>
    <row r="16">
      <c r="A16" s="14" t="n"/>
      <c r="B16" s="14" t="n"/>
      <c r="C16" s="14" t="n"/>
      <c r="D16" s="14" t="n"/>
      <c r="E16" s="14" t="n"/>
      <c r="F16" s="14" t="n"/>
      <c r="G16" s="14">
        <f>IF(OR($E16="",$F16=""),"",$F16-$E16)</f>
        <v/>
      </c>
      <c r="H16" s="14" t="n"/>
      <c r="I16" s="14" t="n"/>
      <c r="J16" s="19" t="n"/>
      <c r="K16" s="19" t="n"/>
      <c r="L16" s="19" t="n"/>
      <c r="M16" s="19" t="n"/>
      <c r="N16" s="18">
        <f>IF($M16&lt;&gt;"",$M16,IF($L16&lt;&gt;"",$L16*CARBON_FRACTION_OM,""))</f>
        <v/>
      </c>
      <c r="O16" s="18">
        <f>IF(OR($E16="",$F16=""),"",MAX(0,MIN($F16,REFERENCE_DEPTH_CM)-MIN($E16,REFERENCE_DEPTH_CM)))</f>
        <v/>
      </c>
      <c r="P16" s="18">
        <f>IF(OR($J16="",$N16="",$G16=""),"",$J16*($N16/100)*$G16*10)</f>
        <v/>
      </c>
      <c r="Q16" s="18">
        <f>IF(OR($J16="",$N16="",$O16=""),"",$J16*($N16/100)*$O16*10)</f>
        <v/>
      </c>
      <c r="R16" s="18">
        <f>IF(OR(NOT(ISNUMBER($P16)),NOT(ISNUMBER($G16)),$G16=0),0,$P16/$G16)</f>
        <v/>
      </c>
      <c r="S16" s="18">
        <f>IF(OR($B16="",NOT(ISNUMBER($F16))),"",SUMIFS('3. Peat Data'!$P$5:$P$604,'3. Peat Data'!$B$5:$B$604,$B16,'3. Peat Data'!$F$5:$F$604,"&lt;="&amp;$F16))</f>
        <v/>
      </c>
      <c r="T16" s="18">
        <f>IF(AND($A16="",$B16="",$E16=""),"",IF(AND($B16&lt;&gt;"",COUNTIF('2. Core Log'!$A$5:$A$124,$B16)=0),"Core ID not in Core Log. ","")&amp;IF(AND($A16&lt;&gt;"",COUNTIF('1. Plot &amp; Site Log'!$A$5:$A$64,$A16)=0),"Plot ID not in Plot &amp; Site Log. ","")&amp;IF(AND(ISNUMBER($E16),ISNUMBER($F16),$F16&lt;=$E16),"Bottom depth is not below top depth. ","")&amp;IF($I16="","Say which bulk-density basis the lab reported. ","")&amp;IF(AND(ISNUMBER($J16),OR($J16&lt;QC_BD_MIN,$J16&gt;QC_BD_MAX)),"Bulk density outside "&amp;QC_BD_MIN&amp;"–"&amp;QC_BD_MAX&amp;" g/cm³ for peat. Above the top of that range usually means the mineral contact has been passed. ","")&amp;IF(AND(ISNUMBER($N16),$N16&gt;QC_CARBON_PCT_MAX),"Carbon above "&amp;QC_CARBON_PCT_MAX&amp;"% — check units; this may be organic matter rather than carbon. ","")&amp;IF(AND($L16&lt;&gt;"",$M16&lt;&gt;""),"Both LOI and measured carbon given — the measured value is used. ","")&amp;IF(AND($M16="",$L16&lt;&gt;"",OM_FACTOR_IS_LOCAL&lt;&gt;"Yes"),"Carbon derived from LOI using the default factor of "&amp;CARBON_FRACTION_OM&amp;", which has not been calibrated locally. See R1. Reference. ","")&amp;IF(AND(ISNUMBER($O16),$O16=0,ISNUMBER($E16)),"Section lies entirely below the reference depth — it counts to the full-profile stock only. ",""))</f>
        <v/>
      </c>
      <c r="U16" s="14" t="n"/>
    </row>
    <row r="17">
      <c r="A17" s="14" t="n"/>
      <c r="B17" s="14" t="n"/>
      <c r="C17" s="14" t="n"/>
      <c r="D17" s="14" t="n"/>
      <c r="E17" s="14" t="n"/>
      <c r="F17" s="14" t="n"/>
      <c r="G17" s="14">
        <f>IF(OR($E17="",$F17=""),"",$F17-$E17)</f>
        <v/>
      </c>
      <c r="H17" s="14" t="n"/>
      <c r="I17" s="14" t="n"/>
      <c r="J17" s="19" t="n"/>
      <c r="K17" s="19" t="n"/>
      <c r="L17" s="19" t="n"/>
      <c r="M17" s="19" t="n"/>
      <c r="N17" s="18">
        <f>IF($M17&lt;&gt;"",$M17,IF($L17&lt;&gt;"",$L17*CARBON_FRACTION_OM,""))</f>
        <v/>
      </c>
      <c r="O17" s="18">
        <f>IF(OR($E17="",$F17=""),"",MAX(0,MIN($F17,REFERENCE_DEPTH_CM)-MIN($E17,REFERENCE_DEPTH_CM)))</f>
        <v/>
      </c>
      <c r="P17" s="18">
        <f>IF(OR($J17="",$N17="",$G17=""),"",$J17*($N17/100)*$G17*10)</f>
        <v/>
      </c>
      <c r="Q17" s="18">
        <f>IF(OR($J17="",$N17="",$O17=""),"",$J17*($N17/100)*$O17*10)</f>
        <v/>
      </c>
      <c r="R17" s="18">
        <f>IF(OR(NOT(ISNUMBER($P17)),NOT(ISNUMBER($G17)),$G17=0),0,$P17/$G17)</f>
        <v/>
      </c>
      <c r="S17" s="18">
        <f>IF(OR($B17="",NOT(ISNUMBER($F17))),"",SUMIFS('3. Peat Data'!$P$5:$P$604,'3. Peat Data'!$B$5:$B$604,$B17,'3. Peat Data'!$F$5:$F$604,"&lt;="&amp;$F17))</f>
        <v/>
      </c>
      <c r="T17" s="18">
        <f>IF(AND($A17="",$B17="",$E17=""),"",IF(AND($B17&lt;&gt;"",COUNTIF('2. Core Log'!$A$5:$A$124,$B17)=0),"Core ID not in Core Log. ","")&amp;IF(AND($A17&lt;&gt;"",COUNTIF('1. Plot &amp; Site Log'!$A$5:$A$64,$A17)=0),"Plot ID not in Plot &amp; Site Log. ","")&amp;IF(AND(ISNUMBER($E17),ISNUMBER($F17),$F17&lt;=$E17),"Bottom depth is not below top depth. ","")&amp;IF($I17="","Say which bulk-density basis the lab reported. ","")&amp;IF(AND(ISNUMBER($J17),OR($J17&lt;QC_BD_MIN,$J17&gt;QC_BD_MAX)),"Bulk density outside "&amp;QC_BD_MIN&amp;"–"&amp;QC_BD_MAX&amp;" g/cm³ for peat. Above the top of that range usually means the mineral contact has been passed. ","")&amp;IF(AND(ISNUMBER($N17),$N17&gt;QC_CARBON_PCT_MAX),"Carbon above "&amp;QC_CARBON_PCT_MAX&amp;"% — check units; this may be organic matter rather than carbon. ","")&amp;IF(AND($L17&lt;&gt;"",$M17&lt;&gt;""),"Both LOI and measured carbon given — the measured value is used. ","")&amp;IF(AND($M17="",$L17&lt;&gt;"",OM_FACTOR_IS_LOCAL&lt;&gt;"Yes"),"Carbon derived from LOI using the default factor of "&amp;CARBON_FRACTION_OM&amp;", which has not been calibrated locally. See R1. Reference. ","")&amp;IF(AND(ISNUMBER($O17),$O17=0,ISNUMBER($E17)),"Section lies entirely below the reference depth — it counts to the full-profile stock only. ",""))</f>
        <v/>
      </c>
      <c r="U17" s="14" t="n"/>
    </row>
    <row r="18">
      <c r="A18" s="14" t="n"/>
      <c r="B18" s="14" t="n"/>
      <c r="C18" s="14" t="n"/>
      <c r="D18" s="14" t="n"/>
      <c r="E18" s="14" t="n"/>
      <c r="F18" s="14" t="n"/>
      <c r="G18" s="14">
        <f>IF(OR($E18="",$F18=""),"",$F18-$E18)</f>
        <v/>
      </c>
      <c r="H18" s="14" t="n"/>
      <c r="I18" s="14" t="n"/>
      <c r="J18" s="19" t="n"/>
      <c r="K18" s="19" t="n"/>
      <c r="L18" s="19" t="n"/>
      <c r="M18" s="19" t="n"/>
      <c r="N18" s="18">
        <f>IF($M18&lt;&gt;"",$M18,IF($L18&lt;&gt;"",$L18*CARBON_FRACTION_OM,""))</f>
        <v/>
      </c>
      <c r="O18" s="18">
        <f>IF(OR($E18="",$F18=""),"",MAX(0,MIN($F18,REFERENCE_DEPTH_CM)-MIN($E18,REFERENCE_DEPTH_CM)))</f>
        <v/>
      </c>
      <c r="P18" s="18">
        <f>IF(OR($J18="",$N18="",$G18=""),"",$J18*($N18/100)*$G18*10)</f>
        <v/>
      </c>
      <c r="Q18" s="18">
        <f>IF(OR($J18="",$N18="",$O18=""),"",$J18*($N18/100)*$O18*10)</f>
        <v/>
      </c>
      <c r="R18" s="18">
        <f>IF(OR(NOT(ISNUMBER($P18)),NOT(ISNUMBER($G18)),$G18=0),0,$P18/$G18)</f>
        <v/>
      </c>
      <c r="S18" s="18">
        <f>IF(OR($B18="",NOT(ISNUMBER($F18))),"",SUMIFS('3. Peat Data'!$P$5:$P$604,'3. Peat Data'!$B$5:$B$604,$B18,'3. Peat Data'!$F$5:$F$604,"&lt;="&amp;$F18))</f>
        <v/>
      </c>
      <c r="T18" s="18">
        <f>IF(AND($A18="",$B18="",$E18=""),"",IF(AND($B18&lt;&gt;"",COUNTIF('2. Core Log'!$A$5:$A$124,$B18)=0),"Core ID not in Core Log. ","")&amp;IF(AND($A18&lt;&gt;"",COUNTIF('1. Plot &amp; Site Log'!$A$5:$A$64,$A18)=0),"Plot ID not in Plot &amp; Site Log. ","")&amp;IF(AND(ISNUMBER($E18),ISNUMBER($F18),$F18&lt;=$E18),"Bottom depth is not below top depth. ","")&amp;IF($I18="","Say which bulk-density basis the lab reported. ","")&amp;IF(AND(ISNUMBER($J18),OR($J18&lt;QC_BD_MIN,$J18&gt;QC_BD_MAX)),"Bulk density outside "&amp;QC_BD_MIN&amp;"–"&amp;QC_BD_MAX&amp;" g/cm³ for peat. Above the top of that range usually means the mineral contact has been passed. ","")&amp;IF(AND(ISNUMBER($N18),$N18&gt;QC_CARBON_PCT_MAX),"Carbon above "&amp;QC_CARBON_PCT_MAX&amp;"% — check units; this may be organic matter rather than carbon. ","")&amp;IF(AND($L18&lt;&gt;"",$M18&lt;&gt;""),"Both LOI and measured carbon given — the measured value is used. ","")&amp;IF(AND($M18="",$L18&lt;&gt;"",OM_FACTOR_IS_LOCAL&lt;&gt;"Yes"),"Carbon derived from LOI using the default factor of "&amp;CARBON_FRACTION_OM&amp;", which has not been calibrated locally. See R1. Reference. ","")&amp;IF(AND(ISNUMBER($O18),$O18=0,ISNUMBER($E18)),"Section lies entirely below the reference depth — it counts to the full-profile stock only. ",""))</f>
        <v/>
      </c>
      <c r="U18" s="14" t="n"/>
    </row>
    <row r="19">
      <c r="A19" s="14" t="n"/>
      <c r="B19" s="14" t="n"/>
      <c r="C19" s="14" t="n"/>
      <c r="D19" s="14" t="n"/>
      <c r="E19" s="14" t="n"/>
      <c r="F19" s="14" t="n"/>
      <c r="G19" s="14">
        <f>IF(OR($E19="",$F19=""),"",$F19-$E19)</f>
        <v/>
      </c>
      <c r="H19" s="14" t="n"/>
      <c r="I19" s="14" t="n"/>
      <c r="J19" s="19" t="n"/>
      <c r="K19" s="19" t="n"/>
      <c r="L19" s="19" t="n"/>
      <c r="M19" s="19" t="n"/>
      <c r="N19" s="18">
        <f>IF($M19&lt;&gt;"",$M19,IF($L19&lt;&gt;"",$L19*CARBON_FRACTION_OM,""))</f>
        <v/>
      </c>
      <c r="O19" s="18">
        <f>IF(OR($E19="",$F19=""),"",MAX(0,MIN($F19,REFERENCE_DEPTH_CM)-MIN($E19,REFERENCE_DEPTH_CM)))</f>
        <v/>
      </c>
      <c r="P19" s="18">
        <f>IF(OR($J19="",$N19="",$G19=""),"",$J19*($N19/100)*$G19*10)</f>
        <v/>
      </c>
      <c r="Q19" s="18">
        <f>IF(OR($J19="",$N19="",$O19=""),"",$J19*($N19/100)*$O19*10)</f>
        <v/>
      </c>
      <c r="R19" s="18">
        <f>IF(OR(NOT(ISNUMBER($P19)),NOT(ISNUMBER($G19)),$G19=0),0,$P19/$G19)</f>
        <v/>
      </c>
      <c r="S19" s="18">
        <f>IF(OR($B19="",NOT(ISNUMBER($F19))),"",SUMIFS('3. Peat Data'!$P$5:$P$604,'3. Peat Data'!$B$5:$B$604,$B19,'3. Peat Data'!$F$5:$F$604,"&lt;="&amp;$F19))</f>
        <v/>
      </c>
      <c r="T19" s="18">
        <f>IF(AND($A19="",$B19="",$E19=""),"",IF(AND($B19&lt;&gt;"",COUNTIF('2. Core Log'!$A$5:$A$124,$B19)=0),"Core ID not in Core Log. ","")&amp;IF(AND($A19&lt;&gt;"",COUNTIF('1. Plot &amp; Site Log'!$A$5:$A$64,$A19)=0),"Plot ID not in Plot &amp; Site Log. ","")&amp;IF(AND(ISNUMBER($E19),ISNUMBER($F19),$F19&lt;=$E19),"Bottom depth is not below top depth. ","")&amp;IF($I19="","Say which bulk-density basis the lab reported. ","")&amp;IF(AND(ISNUMBER($J19),OR($J19&lt;QC_BD_MIN,$J19&gt;QC_BD_MAX)),"Bulk density outside "&amp;QC_BD_MIN&amp;"–"&amp;QC_BD_MAX&amp;" g/cm³ for peat. Above the top of that range usually means the mineral contact has been passed. ","")&amp;IF(AND(ISNUMBER($N19),$N19&gt;QC_CARBON_PCT_MAX),"Carbon above "&amp;QC_CARBON_PCT_MAX&amp;"% — check units; this may be organic matter rather than carbon. ","")&amp;IF(AND($L19&lt;&gt;"",$M19&lt;&gt;""),"Both LOI and measured carbon given — the measured value is used. ","")&amp;IF(AND($M19="",$L19&lt;&gt;"",OM_FACTOR_IS_LOCAL&lt;&gt;"Yes"),"Carbon derived from LOI using the default factor of "&amp;CARBON_FRACTION_OM&amp;", which has not been calibrated locally. See R1. Reference. ","")&amp;IF(AND(ISNUMBER($O19),$O19=0,ISNUMBER($E19)),"Section lies entirely below the reference depth — it counts to the full-profile stock only. ",""))</f>
        <v/>
      </c>
      <c r="U19" s="14" t="n"/>
    </row>
    <row r="20">
      <c r="A20" s="14" t="n"/>
      <c r="B20" s="14" t="n"/>
      <c r="C20" s="14" t="n"/>
      <c r="D20" s="14" t="n"/>
      <c r="E20" s="14" t="n"/>
      <c r="F20" s="14" t="n"/>
      <c r="G20" s="14">
        <f>IF(OR($E20="",$F20=""),"",$F20-$E20)</f>
        <v/>
      </c>
      <c r="H20" s="14" t="n"/>
      <c r="I20" s="14" t="n"/>
      <c r="J20" s="19" t="n"/>
      <c r="K20" s="19" t="n"/>
      <c r="L20" s="19" t="n"/>
      <c r="M20" s="19" t="n"/>
      <c r="N20" s="18">
        <f>IF($M20&lt;&gt;"",$M20,IF($L20&lt;&gt;"",$L20*CARBON_FRACTION_OM,""))</f>
        <v/>
      </c>
      <c r="O20" s="18">
        <f>IF(OR($E20="",$F20=""),"",MAX(0,MIN($F20,REFERENCE_DEPTH_CM)-MIN($E20,REFERENCE_DEPTH_CM)))</f>
        <v/>
      </c>
      <c r="P20" s="18">
        <f>IF(OR($J20="",$N20="",$G20=""),"",$J20*($N20/100)*$G20*10)</f>
        <v/>
      </c>
      <c r="Q20" s="18">
        <f>IF(OR($J20="",$N20="",$O20=""),"",$J20*($N20/100)*$O20*10)</f>
        <v/>
      </c>
      <c r="R20" s="18">
        <f>IF(OR(NOT(ISNUMBER($P20)),NOT(ISNUMBER($G20)),$G20=0),0,$P20/$G20)</f>
        <v/>
      </c>
      <c r="S20" s="18">
        <f>IF(OR($B20="",NOT(ISNUMBER($F20))),"",SUMIFS('3. Peat Data'!$P$5:$P$604,'3. Peat Data'!$B$5:$B$604,$B20,'3. Peat Data'!$F$5:$F$604,"&lt;="&amp;$F20))</f>
        <v/>
      </c>
      <c r="T20" s="18">
        <f>IF(AND($A20="",$B20="",$E20=""),"",IF(AND($B20&lt;&gt;"",COUNTIF('2. Core Log'!$A$5:$A$124,$B20)=0),"Core ID not in Core Log. ","")&amp;IF(AND($A20&lt;&gt;"",COUNTIF('1. Plot &amp; Site Log'!$A$5:$A$64,$A20)=0),"Plot ID not in Plot &amp; Site Log. ","")&amp;IF(AND(ISNUMBER($E20),ISNUMBER($F20),$F20&lt;=$E20),"Bottom depth is not below top depth. ","")&amp;IF($I20="","Say which bulk-density basis the lab reported. ","")&amp;IF(AND(ISNUMBER($J20),OR($J20&lt;QC_BD_MIN,$J20&gt;QC_BD_MAX)),"Bulk density outside "&amp;QC_BD_MIN&amp;"–"&amp;QC_BD_MAX&amp;" g/cm³ for peat. Above the top of that range usually means the mineral contact has been passed. ","")&amp;IF(AND(ISNUMBER($N20),$N20&gt;QC_CARBON_PCT_MAX),"Carbon above "&amp;QC_CARBON_PCT_MAX&amp;"% — check units; this may be organic matter rather than carbon. ","")&amp;IF(AND($L20&lt;&gt;"",$M20&lt;&gt;""),"Both LOI and measured carbon given — the measured value is used. ","")&amp;IF(AND($M20="",$L20&lt;&gt;"",OM_FACTOR_IS_LOCAL&lt;&gt;"Yes"),"Carbon derived from LOI using the default factor of "&amp;CARBON_FRACTION_OM&amp;", which has not been calibrated locally. See R1. Reference. ","")&amp;IF(AND(ISNUMBER($O20),$O20=0,ISNUMBER($E20)),"Section lies entirely below the reference depth — it counts to the full-profile stock only. ",""))</f>
        <v/>
      </c>
      <c r="U20" s="14" t="n"/>
    </row>
    <row r="21">
      <c r="A21" s="14" t="n"/>
      <c r="B21" s="14" t="n"/>
      <c r="C21" s="14" t="n"/>
      <c r="D21" s="14" t="n"/>
      <c r="E21" s="14" t="n"/>
      <c r="F21" s="14" t="n"/>
      <c r="G21" s="14">
        <f>IF(OR($E21="",$F21=""),"",$F21-$E21)</f>
        <v/>
      </c>
      <c r="H21" s="14" t="n"/>
      <c r="I21" s="14" t="n"/>
      <c r="J21" s="19" t="n"/>
      <c r="K21" s="19" t="n"/>
      <c r="L21" s="19" t="n"/>
      <c r="M21" s="19" t="n"/>
      <c r="N21" s="18">
        <f>IF($M21&lt;&gt;"",$M21,IF($L21&lt;&gt;"",$L21*CARBON_FRACTION_OM,""))</f>
        <v/>
      </c>
      <c r="O21" s="18">
        <f>IF(OR($E21="",$F21=""),"",MAX(0,MIN($F21,REFERENCE_DEPTH_CM)-MIN($E21,REFERENCE_DEPTH_CM)))</f>
        <v/>
      </c>
      <c r="P21" s="18">
        <f>IF(OR($J21="",$N21="",$G21=""),"",$J21*($N21/100)*$G21*10)</f>
        <v/>
      </c>
      <c r="Q21" s="18">
        <f>IF(OR($J21="",$N21="",$O21=""),"",$J21*($N21/100)*$O21*10)</f>
        <v/>
      </c>
      <c r="R21" s="18">
        <f>IF(OR(NOT(ISNUMBER($P21)),NOT(ISNUMBER($G21)),$G21=0),0,$P21/$G21)</f>
        <v/>
      </c>
      <c r="S21" s="18">
        <f>IF(OR($B21="",NOT(ISNUMBER($F21))),"",SUMIFS('3. Peat Data'!$P$5:$P$604,'3. Peat Data'!$B$5:$B$604,$B21,'3. Peat Data'!$F$5:$F$604,"&lt;="&amp;$F21))</f>
        <v/>
      </c>
      <c r="T21" s="18">
        <f>IF(AND($A21="",$B21="",$E21=""),"",IF(AND($B21&lt;&gt;"",COUNTIF('2. Core Log'!$A$5:$A$124,$B21)=0),"Core ID not in Core Log. ","")&amp;IF(AND($A21&lt;&gt;"",COUNTIF('1. Plot &amp; Site Log'!$A$5:$A$64,$A21)=0),"Plot ID not in Plot &amp; Site Log. ","")&amp;IF(AND(ISNUMBER($E21),ISNUMBER($F21),$F21&lt;=$E21),"Bottom depth is not below top depth. ","")&amp;IF($I21="","Say which bulk-density basis the lab reported. ","")&amp;IF(AND(ISNUMBER($J21),OR($J21&lt;QC_BD_MIN,$J21&gt;QC_BD_MAX)),"Bulk density outside "&amp;QC_BD_MIN&amp;"–"&amp;QC_BD_MAX&amp;" g/cm³ for peat. Above the top of that range usually means the mineral contact has been passed. ","")&amp;IF(AND(ISNUMBER($N21),$N21&gt;QC_CARBON_PCT_MAX),"Carbon above "&amp;QC_CARBON_PCT_MAX&amp;"% — check units; this may be organic matter rather than carbon. ","")&amp;IF(AND($L21&lt;&gt;"",$M21&lt;&gt;""),"Both LOI and measured carbon given — the measured value is used. ","")&amp;IF(AND($M21="",$L21&lt;&gt;"",OM_FACTOR_IS_LOCAL&lt;&gt;"Yes"),"Carbon derived from LOI using the default factor of "&amp;CARBON_FRACTION_OM&amp;", which has not been calibrated locally. See R1. Reference. ","")&amp;IF(AND(ISNUMBER($O21),$O21=0,ISNUMBER($E21)),"Section lies entirely below the reference depth — it counts to the full-profile stock only. ",""))</f>
        <v/>
      </c>
      <c r="U21" s="14" t="n"/>
    </row>
    <row r="22">
      <c r="A22" s="14" t="n"/>
      <c r="B22" s="14" t="n"/>
      <c r="C22" s="14" t="n"/>
      <c r="D22" s="14" t="n"/>
      <c r="E22" s="14" t="n"/>
      <c r="F22" s="14" t="n"/>
      <c r="G22" s="14">
        <f>IF(OR($E22="",$F22=""),"",$F22-$E22)</f>
        <v/>
      </c>
      <c r="H22" s="14" t="n"/>
      <c r="I22" s="14" t="n"/>
      <c r="J22" s="19" t="n"/>
      <c r="K22" s="19" t="n"/>
      <c r="L22" s="19" t="n"/>
      <c r="M22" s="19" t="n"/>
      <c r="N22" s="18">
        <f>IF($M22&lt;&gt;"",$M22,IF($L22&lt;&gt;"",$L22*CARBON_FRACTION_OM,""))</f>
        <v/>
      </c>
      <c r="O22" s="18">
        <f>IF(OR($E22="",$F22=""),"",MAX(0,MIN($F22,REFERENCE_DEPTH_CM)-MIN($E22,REFERENCE_DEPTH_CM)))</f>
        <v/>
      </c>
      <c r="P22" s="18">
        <f>IF(OR($J22="",$N22="",$G22=""),"",$J22*($N22/100)*$G22*10)</f>
        <v/>
      </c>
      <c r="Q22" s="18">
        <f>IF(OR($J22="",$N22="",$O22=""),"",$J22*($N22/100)*$O22*10)</f>
        <v/>
      </c>
      <c r="R22" s="18">
        <f>IF(OR(NOT(ISNUMBER($P22)),NOT(ISNUMBER($G22)),$G22=0),0,$P22/$G22)</f>
        <v/>
      </c>
      <c r="S22" s="18">
        <f>IF(OR($B22="",NOT(ISNUMBER($F22))),"",SUMIFS('3. Peat Data'!$P$5:$P$604,'3. Peat Data'!$B$5:$B$604,$B22,'3. Peat Data'!$F$5:$F$604,"&lt;="&amp;$F22))</f>
        <v/>
      </c>
      <c r="T22" s="18">
        <f>IF(AND($A22="",$B22="",$E22=""),"",IF(AND($B22&lt;&gt;"",COUNTIF('2. Core Log'!$A$5:$A$124,$B22)=0),"Core ID not in Core Log. ","")&amp;IF(AND($A22&lt;&gt;"",COUNTIF('1. Plot &amp; Site Log'!$A$5:$A$64,$A22)=0),"Plot ID not in Plot &amp; Site Log. ","")&amp;IF(AND(ISNUMBER($E22),ISNUMBER($F22),$F22&lt;=$E22),"Bottom depth is not below top depth. ","")&amp;IF($I22="","Say which bulk-density basis the lab reported. ","")&amp;IF(AND(ISNUMBER($J22),OR($J22&lt;QC_BD_MIN,$J22&gt;QC_BD_MAX)),"Bulk density outside "&amp;QC_BD_MIN&amp;"–"&amp;QC_BD_MAX&amp;" g/cm³ for peat. Above the top of that range usually means the mineral contact has been passed. ","")&amp;IF(AND(ISNUMBER($N22),$N22&gt;QC_CARBON_PCT_MAX),"Carbon above "&amp;QC_CARBON_PCT_MAX&amp;"% — check units; this may be organic matter rather than carbon. ","")&amp;IF(AND($L22&lt;&gt;"",$M22&lt;&gt;""),"Both LOI and measured carbon given — the measured value is used. ","")&amp;IF(AND($M22="",$L22&lt;&gt;"",OM_FACTOR_IS_LOCAL&lt;&gt;"Yes"),"Carbon derived from LOI using the default factor of "&amp;CARBON_FRACTION_OM&amp;", which has not been calibrated locally. See R1. Reference. ","")&amp;IF(AND(ISNUMBER($O22),$O22=0,ISNUMBER($E22)),"Section lies entirely below the reference depth — it counts to the full-profile stock only. ",""))</f>
        <v/>
      </c>
      <c r="U22" s="14" t="n"/>
    </row>
    <row r="23">
      <c r="A23" s="14" t="n"/>
      <c r="B23" s="14" t="n"/>
      <c r="C23" s="14" t="n"/>
      <c r="D23" s="14" t="n"/>
      <c r="E23" s="14" t="n"/>
      <c r="F23" s="14" t="n"/>
      <c r="G23" s="14">
        <f>IF(OR($E23="",$F23=""),"",$F23-$E23)</f>
        <v/>
      </c>
      <c r="H23" s="14" t="n"/>
      <c r="I23" s="14" t="n"/>
      <c r="J23" s="19" t="n"/>
      <c r="K23" s="19" t="n"/>
      <c r="L23" s="19" t="n"/>
      <c r="M23" s="19" t="n"/>
      <c r="N23" s="18">
        <f>IF($M23&lt;&gt;"",$M23,IF($L23&lt;&gt;"",$L23*CARBON_FRACTION_OM,""))</f>
        <v/>
      </c>
      <c r="O23" s="18">
        <f>IF(OR($E23="",$F23=""),"",MAX(0,MIN($F23,REFERENCE_DEPTH_CM)-MIN($E23,REFERENCE_DEPTH_CM)))</f>
        <v/>
      </c>
      <c r="P23" s="18">
        <f>IF(OR($J23="",$N23="",$G23=""),"",$J23*($N23/100)*$G23*10)</f>
        <v/>
      </c>
      <c r="Q23" s="18">
        <f>IF(OR($J23="",$N23="",$O23=""),"",$J23*($N23/100)*$O23*10)</f>
        <v/>
      </c>
      <c r="R23" s="18">
        <f>IF(OR(NOT(ISNUMBER($P23)),NOT(ISNUMBER($G23)),$G23=0),0,$P23/$G23)</f>
        <v/>
      </c>
      <c r="S23" s="18">
        <f>IF(OR($B23="",NOT(ISNUMBER($F23))),"",SUMIFS('3. Peat Data'!$P$5:$P$604,'3. Peat Data'!$B$5:$B$604,$B23,'3. Peat Data'!$F$5:$F$604,"&lt;="&amp;$F23))</f>
        <v/>
      </c>
      <c r="T23" s="18">
        <f>IF(AND($A23="",$B23="",$E23=""),"",IF(AND($B23&lt;&gt;"",COUNTIF('2. Core Log'!$A$5:$A$124,$B23)=0),"Core ID not in Core Log. ","")&amp;IF(AND($A23&lt;&gt;"",COUNTIF('1. Plot &amp; Site Log'!$A$5:$A$64,$A23)=0),"Plot ID not in Plot &amp; Site Log. ","")&amp;IF(AND(ISNUMBER($E23),ISNUMBER($F23),$F23&lt;=$E23),"Bottom depth is not below top depth. ","")&amp;IF($I23="","Say which bulk-density basis the lab reported. ","")&amp;IF(AND(ISNUMBER($J23),OR($J23&lt;QC_BD_MIN,$J23&gt;QC_BD_MAX)),"Bulk density outside "&amp;QC_BD_MIN&amp;"–"&amp;QC_BD_MAX&amp;" g/cm³ for peat. Above the top of that range usually means the mineral contact has been passed. ","")&amp;IF(AND(ISNUMBER($N23),$N23&gt;QC_CARBON_PCT_MAX),"Carbon above "&amp;QC_CARBON_PCT_MAX&amp;"% — check units; this may be organic matter rather than carbon. ","")&amp;IF(AND($L23&lt;&gt;"",$M23&lt;&gt;""),"Both LOI and measured carbon given — the measured value is used. ","")&amp;IF(AND($M23="",$L23&lt;&gt;"",OM_FACTOR_IS_LOCAL&lt;&gt;"Yes"),"Carbon derived from LOI using the default factor of "&amp;CARBON_FRACTION_OM&amp;", which has not been calibrated locally. See R1. Reference. ","")&amp;IF(AND(ISNUMBER($O23),$O23=0,ISNUMBER($E23)),"Section lies entirely below the reference depth — it counts to the full-profile stock only. ",""))</f>
        <v/>
      </c>
      <c r="U23" s="14" t="n"/>
    </row>
    <row r="24">
      <c r="A24" s="14" t="n"/>
      <c r="B24" s="14" t="n"/>
      <c r="C24" s="14" t="n"/>
      <c r="D24" s="14" t="n"/>
      <c r="E24" s="14" t="n"/>
      <c r="F24" s="14" t="n"/>
      <c r="G24" s="14">
        <f>IF(OR($E24="",$F24=""),"",$F24-$E24)</f>
        <v/>
      </c>
      <c r="H24" s="14" t="n"/>
      <c r="I24" s="14" t="n"/>
      <c r="J24" s="19" t="n"/>
      <c r="K24" s="19" t="n"/>
      <c r="L24" s="19" t="n"/>
      <c r="M24" s="19" t="n"/>
      <c r="N24" s="18">
        <f>IF($M24&lt;&gt;"",$M24,IF($L24&lt;&gt;"",$L24*CARBON_FRACTION_OM,""))</f>
        <v/>
      </c>
      <c r="O24" s="18">
        <f>IF(OR($E24="",$F24=""),"",MAX(0,MIN($F24,REFERENCE_DEPTH_CM)-MIN($E24,REFERENCE_DEPTH_CM)))</f>
        <v/>
      </c>
      <c r="P24" s="18">
        <f>IF(OR($J24="",$N24="",$G24=""),"",$J24*($N24/100)*$G24*10)</f>
        <v/>
      </c>
      <c r="Q24" s="18">
        <f>IF(OR($J24="",$N24="",$O24=""),"",$J24*($N24/100)*$O24*10)</f>
        <v/>
      </c>
      <c r="R24" s="18">
        <f>IF(OR(NOT(ISNUMBER($P24)),NOT(ISNUMBER($G24)),$G24=0),0,$P24/$G24)</f>
        <v/>
      </c>
      <c r="S24" s="18">
        <f>IF(OR($B24="",NOT(ISNUMBER($F24))),"",SUMIFS('3. Peat Data'!$P$5:$P$604,'3. Peat Data'!$B$5:$B$604,$B24,'3. Peat Data'!$F$5:$F$604,"&lt;="&amp;$F24))</f>
        <v/>
      </c>
      <c r="T24" s="18">
        <f>IF(AND($A24="",$B24="",$E24=""),"",IF(AND($B24&lt;&gt;"",COUNTIF('2. Core Log'!$A$5:$A$124,$B24)=0),"Core ID not in Core Log. ","")&amp;IF(AND($A24&lt;&gt;"",COUNTIF('1. Plot &amp; Site Log'!$A$5:$A$64,$A24)=0),"Plot ID not in Plot &amp; Site Log. ","")&amp;IF(AND(ISNUMBER($E24),ISNUMBER($F24),$F24&lt;=$E24),"Bottom depth is not below top depth. ","")&amp;IF($I24="","Say which bulk-density basis the lab reported. ","")&amp;IF(AND(ISNUMBER($J24),OR($J24&lt;QC_BD_MIN,$J24&gt;QC_BD_MAX)),"Bulk density outside "&amp;QC_BD_MIN&amp;"–"&amp;QC_BD_MAX&amp;" g/cm³ for peat. Above the top of that range usually means the mineral contact has been passed. ","")&amp;IF(AND(ISNUMBER($N24),$N24&gt;QC_CARBON_PCT_MAX),"Carbon above "&amp;QC_CARBON_PCT_MAX&amp;"% — check units; this may be organic matter rather than carbon. ","")&amp;IF(AND($L24&lt;&gt;"",$M24&lt;&gt;""),"Both LOI and measured carbon given — the measured value is used. ","")&amp;IF(AND($M24="",$L24&lt;&gt;"",OM_FACTOR_IS_LOCAL&lt;&gt;"Yes"),"Carbon derived from LOI using the default factor of "&amp;CARBON_FRACTION_OM&amp;", which has not been calibrated locally. See R1. Reference. ","")&amp;IF(AND(ISNUMBER($O24),$O24=0,ISNUMBER($E24)),"Section lies entirely below the reference depth — it counts to the full-profile stock only. ",""))</f>
        <v/>
      </c>
      <c r="U24" s="14" t="n"/>
    </row>
    <row r="25">
      <c r="A25" s="14" t="n"/>
      <c r="B25" s="14" t="n"/>
      <c r="C25" s="14" t="n"/>
      <c r="D25" s="14" t="n"/>
      <c r="E25" s="14" t="n"/>
      <c r="F25" s="14" t="n"/>
      <c r="G25" s="14">
        <f>IF(OR($E25="",$F25=""),"",$F25-$E25)</f>
        <v/>
      </c>
      <c r="H25" s="14" t="n"/>
      <c r="I25" s="14" t="n"/>
      <c r="J25" s="19" t="n"/>
      <c r="K25" s="19" t="n"/>
      <c r="L25" s="19" t="n"/>
      <c r="M25" s="19" t="n"/>
      <c r="N25" s="18">
        <f>IF($M25&lt;&gt;"",$M25,IF($L25&lt;&gt;"",$L25*CARBON_FRACTION_OM,""))</f>
        <v/>
      </c>
      <c r="O25" s="18">
        <f>IF(OR($E25="",$F25=""),"",MAX(0,MIN($F25,REFERENCE_DEPTH_CM)-MIN($E25,REFERENCE_DEPTH_CM)))</f>
        <v/>
      </c>
      <c r="P25" s="18">
        <f>IF(OR($J25="",$N25="",$G25=""),"",$J25*($N25/100)*$G25*10)</f>
        <v/>
      </c>
      <c r="Q25" s="18">
        <f>IF(OR($J25="",$N25="",$O25=""),"",$J25*($N25/100)*$O25*10)</f>
        <v/>
      </c>
      <c r="R25" s="18">
        <f>IF(OR(NOT(ISNUMBER($P25)),NOT(ISNUMBER($G25)),$G25=0),0,$P25/$G25)</f>
        <v/>
      </c>
      <c r="S25" s="18">
        <f>IF(OR($B25="",NOT(ISNUMBER($F25))),"",SUMIFS('3. Peat Data'!$P$5:$P$604,'3. Peat Data'!$B$5:$B$604,$B25,'3. Peat Data'!$F$5:$F$604,"&lt;="&amp;$F25))</f>
        <v/>
      </c>
      <c r="T25" s="18">
        <f>IF(AND($A25="",$B25="",$E25=""),"",IF(AND($B25&lt;&gt;"",COUNTIF('2. Core Log'!$A$5:$A$124,$B25)=0),"Core ID not in Core Log. ","")&amp;IF(AND($A25&lt;&gt;"",COUNTIF('1. Plot &amp; Site Log'!$A$5:$A$64,$A25)=0),"Plot ID not in Plot &amp; Site Log. ","")&amp;IF(AND(ISNUMBER($E25),ISNUMBER($F25),$F25&lt;=$E25),"Bottom depth is not below top depth. ","")&amp;IF($I25="","Say which bulk-density basis the lab reported. ","")&amp;IF(AND(ISNUMBER($J25),OR($J25&lt;QC_BD_MIN,$J25&gt;QC_BD_MAX)),"Bulk density outside "&amp;QC_BD_MIN&amp;"–"&amp;QC_BD_MAX&amp;" g/cm³ for peat. Above the top of that range usually means the mineral contact has been passed. ","")&amp;IF(AND(ISNUMBER($N25),$N25&gt;QC_CARBON_PCT_MAX),"Carbon above "&amp;QC_CARBON_PCT_MAX&amp;"% — check units; this may be organic matter rather than carbon. ","")&amp;IF(AND($L25&lt;&gt;"",$M25&lt;&gt;""),"Both LOI and measured carbon given — the measured value is used. ","")&amp;IF(AND($M25="",$L25&lt;&gt;"",OM_FACTOR_IS_LOCAL&lt;&gt;"Yes"),"Carbon derived from LOI using the default factor of "&amp;CARBON_FRACTION_OM&amp;", which has not been calibrated locally. See R1. Reference. ","")&amp;IF(AND(ISNUMBER($O25),$O25=0,ISNUMBER($E25)),"Section lies entirely below the reference depth — it counts to the full-profile stock only. ",""))</f>
        <v/>
      </c>
      <c r="U25" s="14" t="n"/>
    </row>
    <row r="26">
      <c r="A26" s="14" t="n"/>
      <c r="B26" s="14" t="n"/>
      <c r="C26" s="14" t="n"/>
      <c r="D26" s="14" t="n"/>
      <c r="E26" s="14" t="n"/>
      <c r="F26" s="14" t="n"/>
      <c r="G26" s="14">
        <f>IF(OR($E26="",$F26=""),"",$F26-$E26)</f>
        <v/>
      </c>
      <c r="H26" s="14" t="n"/>
      <c r="I26" s="14" t="n"/>
      <c r="J26" s="19" t="n"/>
      <c r="K26" s="19" t="n"/>
      <c r="L26" s="19" t="n"/>
      <c r="M26" s="19" t="n"/>
      <c r="N26" s="18">
        <f>IF($M26&lt;&gt;"",$M26,IF($L26&lt;&gt;"",$L26*CARBON_FRACTION_OM,""))</f>
        <v/>
      </c>
      <c r="O26" s="18">
        <f>IF(OR($E26="",$F26=""),"",MAX(0,MIN($F26,REFERENCE_DEPTH_CM)-MIN($E26,REFERENCE_DEPTH_CM)))</f>
        <v/>
      </c>
      <c r="P26" s="18">
        <f>IF(OR($J26="",$N26="",$G26=""),"",$J26*($N26/100)*$G26*10)</f>
        <v/>
      </c>
      <c r="Q26" s="18">
        <f>IF(OR($J26="",$N26="",$O26=""),"",$J26*($N26/100)*$O26*10)</f>
        <v/>
      </c>
      <c r="R26" s="18">
        <f>IF(OR(NOT(ISNUMBER($P26)),NOT(ISNUMBER($G26)),$G26=0),0,$P26/$G26)</f>
        <v/>
      </c>
      <c r="S26" s="18">
        <f>IF(OR($B26="",NOT(ISNUMBER($F26))),"",SUMIFS('3. Peat Data'!$P$5:$P$604,'3. Peat Data'!$B$5:$B$604,$B26,'3. Peat Data'!$F$5:$F$604,"&lt;="&amp;$F26))</f>
        <v/>
      </c>
      <c r="T26" s="18">
        <f>IF(AND($A26="",$B26="",$E26=""),"",IF(AND($B26&lt;&gt;"",COUNTIF('2. Core Log'!$A$5:$A$124,$B26)=0),"Core ID not in Core Log. ","")&amp;IF(AND($A26&lt;&gt;"",COUNTIF('1. Plot &amp; Site Log'!$A$5:$A$64,$A26)=0),"Plot ID not in Plot &amp; Site Log. ","")&amp;IF(AND(ISNUMBER($E26),ISNUMBER($F26),$F26&lt;=$E26),"Bottom depth is not below top depth. ","")&amp;IF($I26="","Say which bulk-density basis the lab reported. ","")&amp;IF(AND(ISNUMBER($J26),OR($J26&lt;QC_BD_MIN,$J26&gt;QC_BD_MAX)),"Bulk density outside "&amp;QC_BD_MIN&amp;"–"&amp;QC_BD_MAX&amp;" g/cm³ for peat. Above the top of that range usually means the mineral contact has been passed. ","")&amp;IF(AND(ISNUMBER($N26),$N26&gt;QC_CARBON_PCT_MAX),"Carbon above "&amp;QC_CARBON_PCT_MAX&amp;"% — check units; this may be organic matter rather than carbon. ","")&amp;IF(AND($L26&lt;&gt;"",$M26&lt;&gt;""),"Both LOI and measured carbon given — the measured value is used. ","")&amp;IF(AND($M26="",$L26&lt;&gt;"",OM_FACTOR_IS_LOCAL&lt;&gt;"Yes"),"Carbon derived from LOI using the default factor of "&amp;CARBON_FRACTION_OM&amp;", which has not been calibrated locally. See R1. Reference. ","")&amp;IF(AND(ISNUMBER($O26),$O26=0,ISNUMBER($E26)),"Section lies entirely below the reference depth — it counts to the full-profile stock only. ",""))</f>
        <v/>
      </c>
      <c r="U26" s="14" t="n"/>
    </row>
    <row r="27">
      <c r="A27" s="14" t="n"/>
      <c r="B27" s="14" t="n"/>
      <c r="C27" s="14" t="n"/>
      <c r="D27" s="14" t="n"/>
      <c r="E27" s="14" t="n"/>
      <c r="F27" s="14" t="n"/>
      <c r="G27" s="14">
        <f>IF(OR($E27="",$F27=""),"",$F27-$E27)</f>
        <v/>
      </c>
      <c r="H27" s="14" t="n"/>
      <c r="I27" s="14" t="n"/>
      <c r="J27" s="19" t="n"/>
      <c r="K27" s="19" t="n"/>
      <c r="L27" s="19" t="n"/>
      <c r="M27" s="19" t="n"/>
      <c r="N27" s="18">
        <f>IF($M27&lt;&gt;"",$M27,IF($L27&lt;&gt;"",$L27*CARBON_FRACTION_OM,""))</f>
        <v/>
      </c>
      <c r="O27" s="18">
        <f>IF(OR($E27="",$F27=""),"",MAX(0,MIN($F27,REFERENCE_DEPTH_CM)-MIN($E27,REFERENCE_DEPTH_CM)))</f>
        <v/>
      </c>
      <c r="P27" s="18">
        <f>IF(OR($J27="",$N27="",$G27=""),"",$J27*($N27/100)*$G27*10)</f>
        <v/>
      </c>
      <c r="Q27" s="18">
        <f>IF(OR($J27="",$N27="",$O27=""),"",$J27*($N27/100)*$O27*10)</f>
        <v/>
      </c>
      <c r="R27" s="18">
        <f>IF(OR(NOT(ISNUMBER($P27)),NOT(ISNUMBER($G27)),$G27=0),0,$P27/$G27)</f>
        <v/>
      </c>
      <c r="S27" s="18">
        <f>IF(OR($B27="",NOT(ISNUMBER($F27))),"",SUMIFS('3. Peat Data'!$P$5:$P$604,'3. Peat Data'!$B$5:$B$604,$B27,'3. Peat Data'!$F$5:$F$604,"&lt;="&amp;$F27))</f>
        <v/>
      </c>
      <c r="T27" s="18">
        <f>IF(AND($A27="",$B27="",$E27=""),"",IF(AND($B27&lt;&gt;"",COUNTIF('2. Core Log'!$A$5:$A$124,$B27)=0),"Core ID not in Core Log. ","")&amp;IF(AND($A27&lt;&gt;"",COUNTIF('1. Plot &amp; Site Log'!$A$5:$A$64,$A27)=0),"Plot ID not in Plot &amp; Site Log. ","")&amp;IF(AND(ISNUMBER($E27),ISNUMBER($F27),$F27&lt;=$E27),"Bottom depth is not below top depth. ","")&amp;IF($I27="","Say which bulk-density basis the lab reported. ","")&amp;IF(AND(ISNUMBER($J27),OR($J27&lt;QC_BD_MIN,$J27&gt;QC_BD_MAX)),"Bulk density outside "&amp;QC_BD_MIN&amp;"–"&amp;QC_BD_MAX&amp;" g/cm³ for peat. Above the top of that range usually means the mineral contact has been passed. ","")&amp;IF(AND(ISNUMBER($N27),$N27&gt;QC_CARBON_PCT_MAX),"Carbon above "&amp;QC_CARBON_PCT_MAX&amp;"% — check units; this may be organic matter rather than carbon. ","")&amp;IF(AND($L27&lt;&gt;"",$M27&lt;&gt;""),"Both LOI and measured carbon given — the measured value is used. ","")&amp;IF(AND($M27="",$L27&lt;&gt;"",OM_FACTOR_IS_LOCAL&lt;&gt;"Yes"),"Carbon derived from LOI using the default factor of "&amp;CARBON_FRACTION_OM&amp;", which has not been calibrated locally. See R1. Reference. ","")&amp;IF(AND(ISNUMBER($O27),$O27=0,ISNUMBER($E27)),"Section lies entirely below the reference depth — it counts to the full-profile stock only. ",""))</f>
        <v/>
      </c>
      <c r="U27" s="14" t="n"/>
    </row>
    <row r="28">
      <c r="A28" s="14" t="n"/>
      <c r="B28" s="14" t="n"/>
      <c r="C28" s="14" t="n"/>
      <c r="D28" s="14" t="n"/>
      <c r="E28" s="14" t="n"/>
      <c r="F28" s="14" t="n"/>
      <c r="G28" s="14">
        <f>IF(OR($E28="",$F28=""),"",$F28-$E28)</f>
        <v/>
      </c>
      <c r="H28" s="14" t="n"/>
      <c r="I28" s="14" t="n"/>
      <c r="J28" s="19" t="n"/>
      <c r="K28" s="19" t="n"/>
      <c r="L28" s="19" t="n"/>
      <c r="M28" s="19" t="n"/>
      <c r="N28" s="18">
        <f>IF($M28&lt;&gt;"",$M28,IF($L28&lt;&gt;"",$L28*CARBON_FRACTION_OM,""))</f>
        <v/>
      </c>
      <c r="O28" s="18">
        <f>IF(OR($E28="",$F28=""),"",MAX(0,MIN($F28,REFERENCE_DEPTH_CM)-MIN($E28,REFERENCE_DEPTH_CM)))</f>
        <v/>
      </c>
      <c r="P28" s="18">
        <f>IF(OR($J28="",$N28="",$G28=""),"",$J28*($N28/100)*$G28*10)</f>
        <v/>
      </c>
      <c r="Q28" s="18">
        <f>IF(OR($J28="",$N28="",$O28=""),"",$J28*($N28/100)*$O28*10)</f>
        <v/>
      </c>
      <c r="R28" s="18">
        <f>IF(OR(NOT(ISNUMBER($P28)),NOT(ISNUMBER($G28)),$G28=0),0,$P28/$G28)</f>
        <v/>
      </c>
      <c r="S28" s="18">
        <f>IF(OR($B28="",NOT(ISNUMBER($F28))),"",SUMIFS('3. Peat Data'!$P$5:$P$604,'3. Peat Data'!$B$5:$B$604,$B28,'3. Peat Data'!$F$5:$F$604,"&lt;="&amp;$F28))</f>
        <v/>
      </c>
      <c r="T28" s="18">
        <f>IF(AND($A28="",$B28="",$E28=""),"",IF(AND($B28&lt;&gt;"",COUNTIF('2. Core Log'!$A$5:$A$124,$B28)=0),"Core ID not in Core Log. ","")&amp;IF(AND($A28&lt;&gt;"",COUNTIF('1. Plot &amp; Site Log'!$A$5:$A$64,$A28)=0),"Plot ID not in Plot &amp; Site Log. ","")&amp;IF(AND(ISNUMBER($E28),ISNUMBER($F28),$F28&lt;=$E28),"Bottom depth is not below top depth. ","")&amp;IF($I28="","Say which bulk-density basis the lab reported. ","")&amp;IF(AND(ISNUMBER($J28),OR($J28&lt;QC_BD_MIN,$J28&gt;QC_BD_MAX)),"Bulk density outside "&amp;QC_BD_MIN&amp;"–"&amp;QC_BD_MAX&amp;" g/cm³ for peat. Above the top of that range usually means the mineral contact has been passed. ","")&amp;IF(AND(ISNUMBER($N28),$N28&gt;QC_CARBON_PCT_MAX),"Carbon above "&amp;QC_CARBON_PCT_MAX&amp;"% — check units; this may be organic matter rather than carbon. ","")&amp;IF(AND($L28&lt;&gt;"",$M28&lt;&gt;""),"Both LOI and measured carbon given — the measured value is used. ","")&amp;IF(AND($M28="",$L28&lt;&gt;"",OM_FACTOR_IS_LOCAL&lt;&gt;"Yes"),"Carbon derived from LOI using the default factor of "&amp;CARBON_FRACTION_OM&amp;", which has not been calibrated locally. See R1. Reference. ","")&amp;IF(AND(ISNUMBER($O28),$O28=0,ISNUMBER($E28)),"Section lies entirely below the reference depth — it counts to the full-profile stock only. ",""))</f>
        <v/>
      </c>
      <c r="U28" s="14" t="n"/>
    </row>
    <row r="29">
      <c r="A29" s="14" t="n"/>
      <c r="B29" s="14" t="n"/>
      <c r="C29" s="14" t="n"/>
      <c r="D29" s="14" t="n"/>
      <c r="E29" s="14" t="n"/>
      <c r="F29" s="14" t="n"/>
      <c r="G29" s="14">
        <f>IF(OR($E29="",$F29=""),"",$F29-$E29)</f>
        <v/>
      </c>
      <c r="H29" s="14" t="n"/>
      <c r="I29" s="14" t="n"/>
      <c r="J29" s="19" t="n"/>
      <c r="K29" s="19" t="n"/>
      <c r="L29" s="19" t="n"/>
      <c r="M29" s="19" t="n"/>
      <c r="N29" s="18">
        <f>IF($M29&lt;&gt;"",$M29,IF($L29&lt;&gt;"",$L29*CARBON_FRACTION_OM,""))</f>
        <v/>
      </c>
      <c r="O29" s="18">
        <f>IF(OR($E29="",$F29=""),"",MAX(0,MIN($F29,REFERENCE_DEPTH_CM)-MIN($E29,REFERENCE_DEPTH_CM)))</f>
        <v/>
      </c>
      <c r="P29" s="18">
        <f>IF(OR($J29="",$N29="",$G29=""),"",$J29*($N29/100)*$G29*10)</f>
        <v/>
      </c>
      <c r="Q29" s="18">
        <f>IF(OR($J29="",$N29="",$O29=""),"",$J29*($N29/100)*$O29*10)</f>
        <v/>
      </c>
      <c r="R29" s="18">
        <f>IF(OR(NOT(ISNUMBER($P29)),NOT(ISNUMBER($G29)),$G29=0),0,$P29/$G29)</f>
        <v/>
      </c>
      <c r="S29" s="18">
        <f>IF(OR($B29="",NOT(ISNUMBER($F29))),"",SUMIFS('3. Peat Data'!$P$5:$P$604,'3. Peat Data'!$B$5:$B$604,$B29,'3. Peat Data'!$F$5:$F$604,"&lt;="&amp;$F29))</f>
        <v/>
      </c>
      <c r="T29" s="18">
        <f>IF(AND($A29="",$B29="",$E29=""),"",IF(AND($B29&lt;&gt;"",COUNTIF('2. Core Log'!$A$5:$A$124,$B29)=0),"Core ID not in Core Log. ","")&amp;IF(AND($A29&lt;&gt;"",COUNTIF('1. Plot &amp; Site Log'!$A$5:$A$64,$A29)=0),"Plot ID not in Plot &amp; Site Log. ","")&amp;IF(AND(ISNUMBER($E29),ISNUMBER($F29),$F29&lt;=$E29),"Bottom depth is not below top depth. ","")&amp;IF($I29="","Say which bulk-density basis the lab reported. ","")&amp;IF(AND(ISNUMBER($J29),OR($J29&lt;QC_BD_MIN,$J29&gt;QC_BD_MAX)),"Bulk density outside "&amp;QC_BD_MIN&amp;"–"&amp;QC_BD_MAX&amp;" g/cm³ for peat. Above the top of that range usually means the mineral contact has been passed. ","")&amp;IF(AND(ISNUMBER($N29),$N29&gt;QC_CARBON_PCT_MAX),"Carbon above "&amp;QC_CARBON_PCT_MAX&amp;"% — check units; this may be organic matter rather than carbon. ","")&amp;IF(AND($L29&lt;&gt;"",$M29&lt;&gt;""),"Both LOI and measured carbon given — the measured value is used. ","")&amp;IF(AND($M29="",$L29&lt;&gt;"",OM_FACTOR_IS_LOCAL&lt;&gt;"Yes"),"Carbon derived from LOI using the default factor of "&amp;CARBON_FRACTION_OM&amp;", which has not been calibrated locally. See R1. Reference. ","")&amp;IF(AND(ISNUMBER($O29),$O29=0,ISNUMBER($E29)),"Section lies entirely below the reference depth — it counts to the full-profile stock only. ",""))</f>
        <v/>
      </c>
      <c r="U29" s="14" t="n"/>
    </row>
    <row r="30">
      <c r="A30" s="14" t="n"/>
      <c r="B30" s="14" t="n"/>
      <c r="C30" s="14" t="n"/>
      <c r="D30" s="14" t="n"/>
      <c r="E30" s="14" t="n"/>
      <c r="F30" s="14" t="n"/>
      <c r="G30" s="14">
        <f>IF(OR($E30="",$F30=""),"",$F30-$E30)</f>
        <v/>
      </c>
      <c r="H30" s="14" t="n"/>
      <c r="I30" s="14" t="n"/>
      <c r="J30" s="19" t="n"/>
      <c r="K30" s="19" t="n"/>
      <c r="L30" s="19" t="n"/>
      <c r="M30" s="19" t="n"/>
      <c r="N30" s="18">
        <f>IF($M30&lt;&gt;"",$M30,IF($L30&lt;&gt;"",$L30*CARBON_FRACTION_OM,""))</f>
        <v/>
      </c>
      <c r="O30" s="18">
        <f>IF(OR($E30="",$F30=""),"",MAX(0,MIN($F30,REFERENCE_DEPTH_CM)-MIN($E30,REFERENCE_DEPTH_CM)))</f>
        <v/>
      </c>
      <c r="P30" s="18">
        <f>IF(OR($J30="",$N30="",$G30=""),"",$J30*($N30/100)*$G30*10)</f>
        <v/>
      </c>
      <c r="Q30" s="18">
        <f>IF(OR($J30="",$N30="",$O30=""),"",$J30*($N30/100)*$O30*10)</f>
        <v/>
      </c>
      <c r="R30" s="18">
        <f>IF(OR(NOT(ISNUMBER($P30)),NOT(ISNUMBER($G30)),$G30=0),0,$P30/$G30)</f>
        <v/>
      </c>
      <c r="S30" s="18">
        <f>IF(OR($B30="",NOT(ISNUMBER($F30))),"",SUMIFS('3. Peat Data'!$P$5:$P$604,'3. Peat Data'!$B$5:$B$604,$B30,'3. Peat Data'!$F$5:$F$604,"&lt;="&amp;$F30))</f>
        <v/>
      </c>
      <c r="T30" s="18">
        <f>IF(AND($A30="",$B30="",$E30=""),"",IF(AND($B30&lt;&gt;"",COUNTIF('2. Core Log'!$A$5:$A$124,$B30)=0),"Core ID not in Core Log. ","")&amp;IF(AND($A30&lt;&gt;"",COUNTIF('1. Plot &amp; Site Log'!$A$5:$A$64,$A30)=0),"Plot ID not in Plot &amp; Site Log. ","")&amp;IF(AND(ISNUMBER($E30),ISNUMBER($F30),$F30&lt;=$E30),"Bottom depth is not below top depth. ","")&amp;IF($I30="","Say which bulk-density basis the lab reported. ","")&amp;IF(AND(ISNUMBER($J30),OR($J30&lt;QC_BD_MIN,$J30&gt;QC_BD_MAX)),"Bulk density outside "&amp;QC_BD_MIN&amp;"–"&amp;QC_BD_MAX&amp;" g/cm³ for peat. Above the top of that range usually means the mineral contact has been passed. ","")&amp;IF(AND(ISNUMBER($N30),$N30&gt;QC_CARBON_PCT_MAX),"Carbon above "&amp;QC_CARBON_PCT_MAX&amp;"% — check units; this may be organic matter rather than carbon. ","")&amp;IF(AND($L30&lt;&gt;"",$M30&lt;&gt;""),"Both LOI and measured carbon given — the measured value is used. ","")&amp;IF(AND($M30="",$L30&lt;&gt;"",OM_FACTOR_IS_LOCAL&lt;&gt;"Yes"),"Carbon derived from LOI using the default factor of "&amp;CARBON_FRACTION_OM&amp;", which has not been calibrated locally. See R1. Reference. ","")&amp;IF(AND(ISNUMBER($O30),$O30=0,ISNUMBER($E30)),"Section lies entirely below the reference depth — it counts to the full-profile stock only. ",""))</f>
        <v/>
      </c>
      <c r="U30" s="14" t="n"/>
    </row>
    <row r="31">
      <c r="A31" s="14" t="n"/>
      <c r="B31" s="14" t="n"/>
      <c r="C31" s="14" t="n"/>
      <c r="D31" s="14" t="n"/>
      <c r="E31" s="14" t="n"/>
      <c r="F31" s="14" t="n"/>
      <c r="G31" s="14">
        <f>IF(OR($E31="",$F31=""),"",$F31-$E31)</f>
        <v/>
      </c>
      <c r="H31" s="14" t="n"/>
      <c r="I31" s="14" t="n"/>
      <c r="J31" s="19" t="n"/>
      <c r="K31" s="19" t="n"/>
      <c r="L31" s="19" t="n"/>
      <c r="M31" s="19" t="n"/>
      <c r="N31" s="18">
        <f>IF($M31&lt;&gt;"",$M31,IF($L31&lt;&gt;"",$L31*CARBON_FRACTION_OM,""))</f>
        <v/>
      </c>
      <c r="O31" s="18">
        <f>IF(OR($E31="",$F31=""),"",MAX(0,MIN($F31,REFERENCE_DEPTH_CM)-MIN($E31,REFERENCE_DEPTH_CM)))</f>
        <v/>
      </c>
      <c r="P31" s="18">
        <f>IF(OR($J31="",$N31="",$G31=""),"",$J31*($N31/100)*$G31*10)</f>
        <v/>
      </c>
      <c r="Q31" s="18">
        <f>IF(OR($J31="",$N31="",$O31=""),"",$J31*($N31/100)*$O31*10)</f>
        <v/>
      </c>
      <c r="R31" s="18">
        <f>IF(OR(NOT(ISNUMBER($P31)),NOT(ISNUMBER($G31)),$G31=0),0,$P31/$G31)</f>
        <v/>
      </c>
      <c r="S31" s="18">
        <f>IF(OR($B31="",NOT(ISNUMBER($F31))),"",SUMIFS('3. Peat Data'!$P$5:$P$604,'3. Peat Data'!$B$5:$B$604,$B31,'3. Peat Data'!$F$5:$F$604,"&lt;="&amp;$F31))</f>
        <v/>
      </c>
      <c r="T31" s="18">
        <f>IF(AND($A31="",$B31="",$E31=""),"",IF(AND($B31&lt;&gt;"",COUNTIF('2. Core Log'!$A$5:$A$124,$B31)=0),"Core ID not in Core Log. ","")&amp;IF(AND($A31&lt;&gt;"",COUNTIF('1. Plot &amp; Site Log'!$A$5:$A$64,$A31)=0),"Plot ID not in Plot &amp; Site Log. ","")&amp;IF(AND(ISNUMBER($E31),ISNUMBER($F31),$F31&lt;=$E31),"Bottom depth is not below top depth. ","")&amp;IF($I31="","Say which bulk-density basis the lab reported. ","")&amp;IF(AND(ISNUMBER($J31),OR($J31&lt;QC_BD_MIN,$J31&gt;QC_BD_MAX)),"Bulk density outside "&amp;QC_BD_MIN&amp;"–"&amp;QC_BD_MAX&amp;" g/cm³ for peat. Above the top of that range usually means the mineral contact has been passed. ","")&amp;IF(AND(ISNUMBER($N31),$N31&gt;QC_CARBON_PCT_MAX),"Carbon above "&amp;QC_CARBON_PCT_MAX&amp;"% — check units; this may be organic matter rather than carbon. ","")&amp;IF(AND($L31&lt;&gt;"",$M31&lt;&gt;""),"Both LOI and measured carbon given — the measured value is used. ","")&amp;IF(AND($M31="",$L31&lt;&gt;"",OM_FACTOR_IS_LOCAL&lt;&gt;"Yes"),"Carbon derived from LOI using the default factor of "&amp;CARBON_FRACTION_OM&amp;", which has not been calibrated locally. See R1. Reference. ","")&amp;IF(AND(ISNUMBER($O31),$O31=0,ISNUMBER($E31)),"Section lies entirely below the reference depth — it counts to the full-profile stock only. ",""))</f>
        <v/>
      </c>
      <c r="U31" s="14" t="n"/>
    </row>
    <row r="32">
      <c r="A32" s="14" t="n"/>
      <c r="B32" s="14" t="n"/>
      <c r="C32" s="14" t="n"/>
      <c r="D32" s="14" t="n"/>
      <c r="E32" s="14" t="n"/>
      <c r="F32" s="14" t="n"/>
      <c r="G32" s="14">
        <f>IF(OR($E32="",$F32=""),"",$F32-$E32)</f>
        <v/>
      </c>
      <c r="H32" s="14" t="n"/>
      <c r="I32" s="14" t="n"/>
      <c r="J32" s="19" t="n"/>
      <c r="K32" s="19" t="n"/>
      <c r="L32" s="19" t="n"/>
      <c r="M32" s="19" t="n"/>
      <c r="N32" s="18">
        <f>IF($M32&lt;&gt;"",$M32,IF($L32&lt;&gt;"",$L32*CARBON_FRACTION_OM,""))</f>
        <v/>
      </c>
      <c r="O32" s="18">
        <f>IF(OR($E32="",$F32=""),"",MAX(0,MIN($F32,REFERENCE_DEPTH_CM)-MIN($E32,REFERENCE_DEPTH_CM)))</f>
        <v/>
      </c>
      <c r="P32" s="18">
        <f>IF(OR($J32="",$N32="",$G32=""),"",$J32*($N32/100)*$G32*10)</f>
        <v/>
      </c>
      <c r="Q32" s="18">
        <f>IF(OR($J32="",$N32="",$O32=""),"",$J32*($N32/100)*$O32*10)</f>
        <v/>
      </c>
      <c r="R32" s="18">
        <f>IF(OR(NOT(ISNUMBER($P32)),NOT(ISNUMBER($G32)),$G32=0),0,$P32/$G32)</f>
        <v/>
      </c>
      <c r="S32" s="18">
        <f>IF(OR($B32="",NOT(ISNUMBER($F32))),"",SUMIFS('3. Peat Data'!$P$5:$P$604,'3. Peat Data'!$B$5:$B$604,$B32,'3. Peat Data'!$F$5:$F$604,"&lt;="&amp;$F32))</f>
        <v/>
      </c>
      <c r="T32" s="18">
        <f>IF(AND($A32="",$B32="",$E32=""),"",IF(AND($B32&lt;&gt;"",COUNTIF('2. Core Log'!$A$5:$A$124,$B32)=0),"Core ID not in Core Log. ","")&amp;IF(AND($A32&lt;&gt;"",COUNTIF('1. Plot &amp; Site Log'!$A$5:$A$64,$A32)=0),"Plot ID not in Plot &amp; Site Log. ","")&amp;IF(AND(ISNUMBER($E32),ISNUMBER($F32),$F32&lt;=$E32),"Bottom depth is not below top depth. ","")&amp;IF($I32="","Say which bulk-density basis the lab reported. ","")&amp;IF(AND(ISNUMBER($J32),OR($J32&lt;QC_BD_MIN,$J32&gt;QC_BD_MAX)),"Bulk density outside "&amp;QC_BD_MIN&amp;"–"&amp;QC_BD_MAX&amp;" g/cm³ for peat. Above the top of that range usually means the mineral contact has been passed. ","")&amp;IF(AND(ISNUMBER($N32),$N32&gt;QC_CARBON_PCT_MAX),"Carbon above "&amp;QC_CARBON_PCT_MAX&amp;"% — check units; this may be organic matter rather than carbon. ","")&amp;IF(AND($L32&lt;&gt;"",$M32&lt;&gt;""),"Both LOI and measured carbon given — the measured value is used. ","")&amp;IF(AND($M32="",$L32&lt;&gt;"",OM_FACTOR_IS_LOCAL&lt;&gt;"Yes"),"Carbon derived from LOI using the default factor of "&amp;CARBON_FRACTION_OM&amp;", which has not been calibrated locally. See R1. Reference. ","")&amp;IF(AND(ISNUMBER($O32),$O32=0,ISNUMBER($E32)),"Section lies entirely below the reference depth — it counts to the full-profile stock only. ",""))</f>
        <v/>
      </c>
      <c r="U32" s="14" t="n"/>
    </row>
    <row r="33">
      <c r="A33" s="14" t="n"/>
      <c r="B33" s="14" t="n"/>
      <c r="C33" s="14" t="n"/>
      <c r="D33" s="14" t="n"/>
      <c r="E33" s="14" t="n"/>
      <c r="F33" s="14" t="n"/>
      <c r="G33" s="14">
        <f>IF(OR($E33="",$F33=""),"",$F33-$E33)</f>
        <v/>
      </c>
      <c r="H33" s="14" t="n"/>
      <c r="I33" s="14" t="n"/>
      <c r="J33" s="19" t="n"/>
      <c r="K33" s="19" t="n"/>
      <c r="L33" s="19" t="n"/>
      <c r="M33" s="19" t="n"/>
      <c r="N33" s="18">
        <f>IF($M33&lt;&gt;"",$M33,IF($L33&lt;&gt;"",$L33*CARBON_FRACTION_OM,""))</f>
        <v/>
      </c>
      <c r="O33" s="18">
        <f>IF(OR($E33="",$F33=""),"",MAX(0,MIN($F33,REFERENCE_DEPTH_CM)-MIN($E33,REFERENCE_DEPTH_CM)))</f>
        <v/>
      </c>
      <c r="P33" s="18">
        <f>IF(OR($J33="",$N33="",$G33=""),"",$J33*($N33/100)*$G33*10)</f>
        <v/>
      </c>
      <c r="Q33" s="18">
        <f>IF(OR($J33="",$N33="",$O33=""),"",$J33*($N33/100)*$O33*10)</f>
        <v/>
      </c>
      <c r="R33" s="18">
        <f>IF(OR(NOT(ISNUMBER($P33)),NOT(ISNUMBER($G33)),$G33=0),0,$P33/$G33)</f>
        <v/>
      </c>
      <c r="S33" s="18">
        <f>IF(OR($B33="",NOT(ISNUMBER($F33))),"",SUMIFS('3. Peat Data'!$P$5:$P$604,'3. Peat Data'!$B$5:$B$604,$B33,'3. Peat Data'!$F$5:$F$604,"&lt;="&amp;$F33))</f>
        <v/>
      </c>
      <c r="T33" s="18">
        <f>IF(AND($A33="",$B33="",$E33=""),"",IF(AND($B33&lt;&gt;"",COUNTIF('2. Core Log'!$A$5:$A$124,$B33)=0),"Core ID not in Core Log. ","")&amp;IF(AND($A33&lt;&gt;"",COUNTIF('1. Plot &amp; Site Log'!$A$5:$A$64,$A33)=0),"Plot ID not in Plot &amp; Site Log. ","")&amp;IF(AND(ISNUMBER($E33),ISNUMBER($F33),$F33&lt;=$E33),"Bottom depth is not below top depth. ","")&amp;IF($I33="","Say which bulk-density basis the lab reported. ","")&amp;IF(AND(ISNUMBER($J33),OR($J33&lt;QC_BD_MIN,$J33&gt;QC_BD_MAX)),"Bulk density outside "&amp;QC_BD_MIN&amp;"–"&amp;QC_BD_MAX&amp;" g/cm³ for peat. Above the top of that range usually means the mineral contact has been passed. ","")&amp;IF(AND(ISNUMBER($N33),$N33&gt;QC_CARBON_PCT_MAX),"Carbon above "&amp;QC_CARBON_PCT_MAX&amp;"% — check units; this may be organic matter rather than carbon. ","")&amp;IF(AND($L33&lt;&gt;"",$M33&lt;&gt;""),"Both LOI and measured carbon given — the measured value is used. ","")&amp;IF(AND($M33="",$L33&lt;&gt;"",OM_FACTOR_IS_LOCAL&lt;&gt;"Yes"),"Carbon derived from LOI using the default factor of "&amp;CARBON_FRACTION_OM&amp;", which has not been calibrated locally. See R1. Reference. ","")&amp;IF(AND(ISNUMBER($O33),$O33=0,ISNUMBER($E33)),"Section lies entirely below the reference depth — it counts to the full-profile stock only. ",""))</f>
        <v/>
      </c>
      <c r="U33" s="14" t="n"/>
    </row>
    <row r="34">
      <c r="A34" s="14" t="n"/>
      <c r="B34" s="14" t="n"/>
      <c r="C34" s="14" t="n"/>
      <c r="D34" s="14" t="n"/>
      <c r="E34" s="14" t="n"/>
      <c r="F34" s="14" t="n"/>
      <c r="G34" s="14">
        <f>IF(OR($E34="",$F34=""),"",$F34-$E34)</f>
        <v/>
      </c>
      <c r="H34" s="14" t="n"/>
      <c r="I34" s="14" t="n"/>
      <c r="J34" s="19" t="n"/>
      <c r="K34" s="19" t="n"/>
      <c r="L34" s="19" t="n"/>
      <c r="M34" s="19" t="n"/>
      <c r="N34" s="18">
        <f>IF($M34&lt;&gt;"",$M34,IF($L34&lt;&gt;"",$L34*CARBON_FRACTION_OM,""))</f>
        <v/>
      </c>
      <c r="O34" s="18">
        <f>IF(OR($E34="",$F34=""),"",MAX(0,MIN($F34,REFERENCE_DEPTH_CM)-MIN($E34,REFERENCE_DEPTH_CM)))</f>
        <v/>
      </c>
      <c r="P34" s="18">
        <f>IF(OR($J34="",$N34="",$G34=""),"",$J34*($N34/100)*$G34*10)</f>
        <v/>
      </c>
      <c r="Q34" s="18">
        <f>IF(OR($J34="",$N34="",$O34=""),"",$J34*($N34/100)*$O34*10)</f>
        <v/>
      </c>
      <c r="R34" s="18">
        <f>IF(OR(NOT(ISNUMBER($P34)),NOT(ISNUMBER($G34)),$G34=0),0,$P34/$G34)</f>
        <v/>
      </c>
      <c r="S34" s="18">
        <f>IF(OR($B34="",NOT(ISNUMBER($F34))),"",SUMIFS('3. Peat Data'!$P$5:$P$604,'3. Peat Data'!$B$5:$B$604,$B34,'3. Peat Data'!$F$5:$F$604,"&lt;="&amp;$F34))</f>
        <v/>
      </c>
      <c r="T34" s="18">
        <f>IF(AND($A34="",$B34="",$E34=""),"",IF(AND($B34&lt;&gt;"",COUNTIF('2. Core Log'!$A$5:$A$124,$B34)=0),"Core ID not in Core Log. ","")&amp;IF(AND($A34&lt;&gt;"",COUNTIF('1. Plot &amp; Site Log'!$A$5:$A$64,$A34)=0),"Plot ID not in Plot &amp; Site Log. ","")&amp;IF(AND(ISNUMBER($E34),ISNUMBER($F34),$F34&lt;=$E34),"Bottom depth is not below top depth. ","")&amp;IF($I34="","Say which bulk-density basis the lab reported. ","")&amp;IF(AND(ISNUMBER($J34),OR($J34&lt;QC_BD_MIN,$J34&gt;QC_BD_MAX)),"Bulk density outside "&amp;QC_BD_MIN&amp;"–"&amp;QC_BD_MAX&amp;" g/cm³ for peat. Above the top of that range usually means the mineral contact has been passed. ","")&amp;IF(AND(ISNUMBER($N34),$N34&gt;QC_CARBON_PCT_MAX),"Carbon above "&amp;QC_CARBON_PCT_MAX&amp;"% — check units; this may be organic matter rather than carbon. ","")&amp;IF(AND($L34&lt;&gt;"",$M34&lt;&gt;""),"Both LOI and measured carbon given — the measured value is used. ","")&amp;IF(AND($M34="",$L34&lt;&gt;"",OM_FACTOR_IS_LOCAL&lt;&gt;"Yes"),"Carbon derived from LOI using the default factor of "&amp;CARBON_FRACTION_OM&amp;", which has not been calibrated locally. See R1. Reference. ","")&amp;IF(AND(ISNUMBER($O34),$O34=0,ISNUMBER($E34)),"Section lies entirely below the reference depth — it counts to the full-profile stock only. ",""))</f>
        <v/>
      </c>
      <c r="U34" s="14" t="n"/>
    </row>
    <row r="35">
      <c r="A35" s="14" t="n"/>
      <c r="B35" s="14" t="n"/>
      <c r="C35" s="14" t="n"/>
      <c r="D35" s="14" t="n"/>
      <c r="E35" s="14" t="n"/>
      <c r="F35" s="14" t="n"/>
      <c r="G35" s="14">
        <f>IF(OR($E35="",$F35=""),"",$F35-$E35)</f>
        <v/>
      </c>
      <c r="H35" s="14" t="n"/>
      <c r="I35" s="14" t="n"/>
      <c r="J35" s="19" t="n"/>
      <c r="K35" s="19" t="n"/>
      <c r="L35" s="19" t="n"/>
      <c r="M35" s="19" t="n"/>
      <c r="N35" s="18">
        <f>IF($M35&lt;&gt;"",$M35,IF($L35&lt;&gt;"",$L35*CARBON_FRACTION_OM,""))</f>
        <v/>
      </c>
      <c r="O35" s="18">
        <f>IF(OR($E35="",$F35=""),"",MAX(0,MIN($F35,REFERENCE_DEPTH_CM)-MIN($E35,REFERENCE_DEPTH_CM)))</f>
        <v/>
      </c>
      <c r="P35" s="18">
        <f>IF(OR($J35="",$N35="",$G35=""),"",$J35*($N35/100)*$G35*10)</f>
        <v/>
      </c>
      <c r="Q35" s="18">
        <f>IF(OR($J35="",$N35="",$O35=""),"",$J35*($N35/100)*$O35*10)</f>
        <v/>
      </c>
      <c r="R35" s="18">
        <f>IF(OR(NOT(ISNUMBER($P35)),NOT(ISNUMBER($G35)),$G35=0),0,$P35/$G35)</f>
        <v/>
      </c>
      <c r="S35" s="18">
        <f>IF(OR($B35="",NOT(ISNUMBER($F35))),"",SUMIFS('3. Peat Data'!$P$5:$P$604,'3. Peat Data'!$B$5:$B$604,$B35,'3. Peat Data'!$F$5:$F$604,"&lt;="&amp;$F35))</f>
        <v/>
      </c>
      <c r="T35" s="18">
        <f>IF(AND($A35="",$B35="",$E35=""),"",IF(AND($B35&lt;&gt;"",COUNTIF('2. Core Log'!$A$5:$A$124,$B35)=0),"Core ID not in Core Log. ","")&amp;IF(AND($A35&lt;&gt;"",COUNTIF('1. Plot &amp; Site Log'!$A$5:$A$64,$A35)=0),"Plot ID not in Plot &amp; Site Log. ","")&amp;IF(AND(ISNUMBER($E35),ISNUMBER($F35),$F35&lt;=$E35),"Bottom depth is not below top depth. ","")&amp;IF($I35="","Say which bulk-density basis the lab reported. ","")&amp;IF(AND(ISNUMBER($J35),OR($J35&lt;QC_BD_MIN,$J35&gt;QC_BD_MAX)),"Bulk density outside "&amp;QC_BD_MIN&amp;"–"&amp;QC_BD_MAX&amp;" g/cm³ for peat. Above the top of that range usually means the mineral contact has been passed. ","")&amp;IF(AND(ISNUMBER($N35),$N35&gt;QC_CARBON_PCT_MAX),"Carbon above "&amp;QC_CARBON_PCT_MAX&amp;"% — check units; this may be organic matter rather than carbon. ","")&amp;IF(AND($L35&lt;&gt;"",$M35&lt;&gt;""),"Both LOI and measured carbon given — the measured value is used. ","")&amp;IF(AND($M35="",$L35&lt;&gt;"",OM_FACTOR_IS_LOCAL&lt;&gt;"Yes"),"Carbon derived from LOI using the default factor of "&amp;CARBON_FRACTION_OM&amp;", which has not been calibrated locally. See R1. Reference. ","")&amp;IF(AND(ISNUMBER($O35),$O35=0,ISNUMBER($E35)),"Section lies entirely below the reference depth — it counts to the full-profile stock only. ",""))</f>
        <v/>
      </c>
      <c r="U35" s="14" t="n"/>
    </row>
    <row r="36">
      <c r="A36" s="14" t="n"/>
      <c r="B36" s="14" t="n"/>
      <c r="C36" s="14" t="n"/>
      <c r="D36" s="14" t="n"/>
      <c r="E36" s="14" t="n"/>
      <c r="F36" s="14" t="n"/>
      <c r="G36" s="14">
        <f>IF(OR($E36="",$F36=""),"",$F36-$E36)</f>
        <v/>
      </c>
      <c r="H36" s="14" t="n"/>
      <c r="I36" s="14" t="n"/>
      <c r="J36" s="19" t="n"/>
      <c r="K36" s="19" t="n"/>
      <c r="L36" s="19" t="n"/>
      <c r="M36" s="19" t="n"/>
      <c r="N36" s="18">
        <f>IF($M36&lt;&gt;"",$M36,IF($L36&lt;&gt;"",$L36*CARBON_FRACTION_OM,""))</f>
        <v/>
      </c>
      <c r="O36" s="18">
        <f>IF(OR($E36="",$F36=""),"",MAX(0,MIN($F36,REFERENCE_DEPTH_CM)-MIN($E36,REFERENCE_DEPTH_CM)))</f>
        <v/>
      </c>
      <c r="P36" s="18">
        <f>IF(OR($J36="",$N36="",$G36=""),"",$J36*($N36/100)*$G36*10)</f>
        <v/>
      </c>
      <c r="Q36" s="18">
        <f>IF(OR($J36="",$N36="",$O36=""),"",$J36*($N36/100)*$O36*10)</f>
        <v/>
      </c>
      <c r="R36" s="18">
        <f>IF(OR(NOT(ISNUMBER($P36)),NOT(ISNUMBER($G36)),$G36=0),0,$P36/$G36)</f>
        <v/>
      </c>
      <c r="S36" s="18">
        <f>IF(OR($B36="",NOT(ISNUMBER($F36))),"",SUMIFS('3. Peat Data'!$P$5:$P$604,'3. Peat Data'!$B$5:$B$604,$B36,'3. Peat Data'!$F$5:$F$604,"&lt;="&amp;$F36))</f>
        <v/>
      </c>
      <c r="T36" s="18">
        <f>IF(AND($A36="",$B36="",$E36=""),"",IF(AND($B36&lt;&gt;"",COUNTIF('2. Core Log'!$A$5:$A$124,$B36)=0),"Core ID not in Core Log. ","")&amp;IF(AND($A36&lt;&gt;"",COUNTIF('1. Plot &amp; Site Log'!$A$5:$A$64,$A36)=0),"Plot ID not in Plot &amp; Site Log. ","")&amp;IF(AND(ISNUMBER($E36),ISNUMBER($F36),$F36&lt;=$E36),"Bottom depth is not below top depth. ","")&amp;IF($I36="","Say which bulk-density basis the lab reported. ","")&amp;IF(AND(ISNUMBER($J36),OR($J36&lt;QC_BD_MIN,$J36&gt;QC_BD_MAX)),"Bulk density outside "&amp;QC_BD_MIN&amp;"–"&amp;QC_BD_MAX&amp;" g/cm³ for peat. Above the top of that range usually means the mineral contact has been passed. ","")&amp;IF(AND(ISNUMBER($N36),$N36&gt;QC_CARBON_PCT_MAX),"Carbon above "&amp;QC_CARBON_PCT_MAX&amp;"% — check units; this may be organic matter rather than carbon. ","")&amp;IF(AND($L36&lt;&gt;"",$M36&lt;&gt;""),"Both LOI and measured carbon given — the measured value is used. ","")&amp;IF(AND($M36="",$L36&lt;&gt;"",OM_FACTOR_IS_LOCAL&lt;&gt;"Yes"),"Carbon derived from LOI using the default factor of "&amp;CARBON_FRACTION_OM&amp;", which has not been calibrated locally. See R1. Reference. ","")&amp;IF(AND(ISNUMBER($O36),$O36=0,ISNUMBER($E36)),"Section lies entirely below the reference depth — it counts to the full-profile stock only. ",""))</f>
        <v/>
      </c>
      <c r="U36" s="14" t="n"/>
    </row>
    <row r="37">
      <c r="A37" s="14" t="n"/>
      <c r="B37" s="14" t="n"/>
      <c r="C37" s="14" t="n"/>
      <c r="D37" s="14" t="n"/>
      <c r="E37" s="14" t="n"/>
      <c r="F37" s="14" t="n"/>
      <c r="G37" s="14">
        <f>IF(OR($E37="",$F37=""),"",$F37-$E37)</f>
        <v/>
      </c>
      <c r="H37" s="14" t="n"/>
      <c r="I37" s="14" t="n"/>
      <c r="J37" s="19" t="n"/>
      <c r="K37" s="19" t="n"/>
      <c r="L37" s="19" t="n"/>
      <c r="M37" s="19" t="n"/>
      <c r="N37" s="18">
        <f>IF($M37&lt;&gt;"",$M37,IF($L37&lt;&gt;"",$L37*CARBON_FRACTION_OM,""))</f>
        <v/>
      </c>
      <c r="O37" s="18">
        <f>IF(OR($E37="",$F37=""),"",MAX(0,MIN($F37,REFERENCE_DEPTH_CM)-MIN($E37,REFERENCE_DEPTH_CM)))</f>
        <v/>
      </c>
      <c r="P37" s="18">
        <f>IF(OR($J37="",$N37="",$G37=""),"",$J37*($N37/100)*$G37*10)</f>
        <v/>
      </c>
      <c r="Q37" s="18">
        <f>IF(OR($J37="",$N37="",$O37=""),"",$J37*($N37/100)*$O37*10)</f>
        <v/>
      </c>
      <c r="R37" s="18">
        <f>IF(OR(NOT(ISNUMBER($P37)),NOT(ISNUMBER($G37)),$G37=0),0,$P37/$G37)</f>
        <v/>
      </c>
      <c r="S37" s="18">
        <f>IF(OR($B37="",NOT(ISNUMBER($F37))),"",SUMIFS('3. Peat Data'!$P$5:$P$604,'3. Peat Data'!$B$5:$B$604,$B37,'3. Peat Data'!$F$5:$F$604,"&lt;="&amp;$F37))</f>
        <v/>
      </c>
      <c r="T37" s="18">
        <f>IF(AND($A37="",$B37="",$E37=""),"",IF(AND($B37&lt;&gt;"",COUNTIF('2. Core Log'!$A$5:$A$124,$B37)=0),"Core ID not in Core Log. ","")&amp;IF(AND($A37&lt;&gt;"",COUNTIF('1. Plot &amp; Site Log'!$A$5:$A$64,$A37)=0),"Plot ID not in Plot &amp; Site Log. ","")&amp;IF(AND(ISNUMBER($E37),ISNUMBER($F37),$F37&lt;=$E37),"Bottom depth is not below top depth. ","")&amp;IF($I37="","Say which bulk-density basis the lab reported. ","")&amp;IF(AND(ISNUMBER($J37),OR($J37&lt;QC_BD_MIN,$J37&gt;QC_BD_MAX)),"Bulk density outside "&amp;QC_BD_MIN&amp;"–"&amp;QC_BD_MAX&amp;" g/cm³ for peat. Above the top of that range usually means the mineral contact has been passed. ","")&amp;IF(AND(ISNUMBER($N37),$N37&gt;QC_CARBON_PCT_MAX),"Carbon above "&amp;QC_CARBON_PCT_MAX&amp;"% — check units; this may be organic matter rather than carbon. ","")&amp;IF(AND($L37&lt;&gt;"",$M37&lt;&gt;""),"Both LOI and measured carbon given — the measured value is used. ","")&amp;IF(AND($M37="",$L37&lt;&gt;"",OM_FACTOR_IS_LOCAL&lt;&gt;"Yes"),"Carbon derived from LOI using the default factor of "&amp;CARBON_FRACTION_OM&amp;", which has not been calibrated locally. See R1. Reference. ","")&amp;IF(AND(ISNUMBER($O37),$O37=0,ISNUMBER($E37)),"Section lies entirely below the reference depth — it counts to the full-profile stock only. ",""))</f>
        <v/>
      </c>
      <c r="U37" s="14" t="n"/>
    </row>
    <row r="38">
      <c r="A38" s="14" t="n"/>
      <c r="B38" s="14" t="n"/>
      <c r="C38" s="14" t="n"/>
      <c r="D38" s="14" t="n"/>
      <c r="E38" s="14" t="n"/>
      <c r="F38" s="14" t="n"/>
      <c r="G38" s="14">
        <f>IF(OR($E38="",$F38=""),"",$F38-$E38)</f>
        <v/>
      </c>
      <c r="H38" s="14" t="n"/>
      <c r="I38" s="14" t="n"/>
      <c r="J38" s="19" t="n"/>
      <c r="K38" s="19" t="n"/>
      <c r="L38" s="19" t="n"/>
      <c r="M38" s="19" t="n"/>
      <c r="N38" s="18">
        <f>IF($M38&lt;&gt;"",$M38,IF($L38&lt;&gt;"",$L38*CARBON_FRACTION_OM,""))</f>
        <v/>
      </c>
      <c r="O38" s="18">
        <f>IF(OR($E38="",$F38=""),"",MAX(0,MIN($F38,REFERENCE_DEPTH_CM)-MIN($E38,REFERENCE_DEPTH_CM)))</f>
        <v/>
      </c>
      <c r="P38" s="18">
        <f>IF(OR($J38="",$N38="",$G38=""),"",$J38*($N38/100)*$G38*10)</f>
        <v/>
      </c>
      <c r="Q38" s="18">
        <f>IF(OR($J38="",$N38="",$O38=""),"",$J38*($N38/100)*$O38*10)</f>
        <v/>
      </c>
      <c r="R38" s="18">
        <f>IF(OR(NOT(ISNUMBER($P38)),NOT(ISNUMBER($G38)),$G38=0),0,$P38/$G38)</f>
        <v/>
      </c>
      <c r="S38" s="18">
        <f>IF(OR($B38="",NOT(ISNUMBER($F38))),"",SUMIFS('3. Peat Data'!$P$5:$P$604,'3. Peat Data'!$B$5:$B$604,$B38,'3. Peat Data'!$F$5:$F$604,"&lt;="&amp;$F38))</f>
        <v/>
      </c>
      <c r="T38" s="18">
        <f>IF(AND($A38="",$B38="",$E38=""),"",IF(AND($B38&lt;&gt;"",COUNTIF('2. Core Log'!$A$5:$A$124,$B38)=0),"Core ID not in Core Log. ","")&amp;IF(AND($A38&lt;&gt;"",COUNTIF('1. Plot &amp; Site Log'!$A$5:$A$64,$A38)=0),"Plot ID not in Plot &amp; Site Log. ","")&amp;IF(AND(ISNUMBER($E38),ISNUMBER($F38),$F38&lt;=$E38),"Bottom depth is not below top depth. ","")&amp;IF($I38="","Say which bulk-density basis the lab reported. ","")&amp;IF(AND(ISNUMBER($J38),OR($J38&lt;QC_BD_MIN,$J38&gt;QC_BD_MAX)),"Bulk density outside "&amp;QC_BD_MIN&amp;"–"&amp;QC_BD_MAX&amp;" g/cm³ for peat. Above the top of that range usually means the mineral contact has been passed. ","")&amp;IF(AND(ISNUMBER($N38),$N38&gt;QC_CARBON_PCT_MAX),"Carbon above "&amp;QC_CARBON_PCT_MAX&amp;"% — check units; this may be organic matter rather than carbon. ","")&amp;IF(AND($L38&lt;&gt;"",$M38&lt;&gt;""),"Both LOI and measured carbon given — the measured value is used. ","")&amp;IF(AND($M38="",$L38&lt;&gt;"",OM_FACTOR_IS_LOCAL&lt;&gt;"Yes"),"Carbon derived from LOI using the default factor of "&amp;CARBON_FRACTION_OM&amp;", which has not been calibrated locally. See R1. Reference. ","")&amp;IF(AND(ISNUMBER($O38),$O38=0,ISNUMBER($E38)),"Section lies entirely below the reference depth — it counts to the full-profile stock only. ",""))</f>
        <v/>
      </c>
      <c r="U38" s="14" t="n"/>
    </row>
    <row r="39">
      <c r="A39" s="14" t="n"/>
      <c r="B39" s="14" t="n"/>
      <c r="C39" s="14" t="n"/>
      <c r="D39" s="14" t="n"/>
      <c r="E39" s="14" t="n"/>
      <c r="F39" s="14" t="n"/>
      <c r="G39" s="14">
        <f>IF(OR($E39="",$F39=""),"",$F39-$E39)</f>
        <v/>
      </c>
      <c r="H39" s="14" t="n"/>
      <c r="I39" s="14" t="n"/>
      <c r="J39" s="19" t="n"/>
      <c r="K39" s="19" t="n"/>
      <c r="L39" s="19" t="n"/>
      <c r="M39" s="19" t="n"/>
      <c r="N39" s="18">
        <f>IF($M39&lt;&gt;"",$M39,IF($L39&lt;&gt;"",$L39*CARBON_FRACTION_OM,""))</f>
        <v/>
      </c>
      <c r="O39" s="18">
        <f>IF(OR($E39="",$F39=""),"",MAX(0,MIN($F39,REFERENCE_DEPTH_CM)-MIN($E39,REFERENCE_DEPTH_CM)))</f>
        <v/>
      </c>
      <c r="P39" s="18">
        <f>IF(OR($J39="",$N39="",$G39=""),"",$J39*($N39/100)*$G39*10)</f>
        <v/>
      </c>
      <c r="Q39" s="18">
        <f>IF(OR($J39="",$N39="",$O39=""),"",$J39*($N39/100)*$O39*10)</f>
        <v/>
      </c>
      <c r="R39" s="18">
        <f>IF(OR(NOT(ISNUMBER($P39)),NOT(ISNUMBER($G39)),$G39=0),0,$P39/$G39)</f>
        <v/>
      </c>
      <c r="S39" s="18">
        <f>IF(OR($B39="",NOT(ISNUMBER($F39))),"",SUMIFS('3. Peat Data'!$P$5:$P$604,'3. Peat Data'!$B$5:$B$604,$B39,'3. Peat Data'!$F$5:$F$604,"&lt;="&amp;$F39))</f>
        <v/>
      </c>
      <c r="T39" s="18">
        <f>IF(AND($A39="",$B39="",$E39=""),"",IF(AND($B39&lt;&gt;"",COUNTIF('2. Core Log'!$A$5:$A$124,$B39)=0),"Core ID not in Core Log. ","")&amp;IF(AND($A39&lt;&gt;"",COUNTIF('1. Plot &amp; Site Log'!$A$5:$A$64,$A39)=0),"Plot ID not in Plot &amp; Site Log. ","")&amp;IF(AND(ISNUMBER($E39),ISNUMBER($F39),$F39&lt;=$E39),"Bottom depth is not below top depth. ","")&amp;IF($I39="","Say which bulk-density basis the lab reported. ","")&amp;IF(AND(ISNUMBER($J39),OR($J39&lt;QC_BD_MIN,$J39&gt;QC_BD_MAX)),"Bulk density outside "&amp;QC_BD_MIN&amp;"–"&amp;QC_BD_MAX&amp;" g/cm³ for peat. Above the top of that range usually means the mineral contact has been passed. ","")&amp;IF(AND(ISNUMBER($N39),$N39&gt;QC_CARBON_PCT_MAX),"Carbon above "&amp;QC_CARBON_PCT_MAX&amp;"% — check units; this may be organic matter rather than carbon. ","")&amp;IF(AND($L39&lt;&gt;"",$M39&lt;&gt;""),"Both LOI and measured carbon given — the measured value is used. ","")&amp;IF(AND($M39="",$L39&lt;&gt;"",OM_FACTOR_IS_LOCAL&lt;&gt;"Yes"),"Carbon derived from LOI using the default factor of "&amp;CARBON_FRACTION_OM&amp;", which has not been calibrated locally. See R1. Reference. ","")&amp;IF(AND(ISNUMBER($O39),$O39=0,ISNUMBER($E39)),"Section lies entirely below the reference depth — it counts to the full-profile stock only. ",""))</f>
        <v/>
      </c>
      <c r="U39" s="14" t="n"/>
    </row>
    <row r="40">
      <c r="A40" s="14" t="n"/>
      <c r="B40" s="14" t="n"/>
      <c r="C40" s="14" t="n"/>
      <c r="D40" s="14" t="n"/>
      <c r="E40" s="14" t="n"/>
      <c r="F40" s="14" t="n"/>
      <c r="G40" s="14">
        <f>IF(OR($E40="",$F40=""),"",$F40-$E40)</f>
        <v/>
      </c>
      <c r="H40" s="14" t="n"/>
      <c r="I40" s="14" t="n"/>
      <c r="J40" s="19" t="n"/>
      <c r="K40" s="19" t="n"/>
      <c r="L40" s="19" t="n"/>
      <c r="M40" s="19" t="n"/>
      <c r="N40" s="18">
        <f>IF($M40&lt;&gt;"",$M40,IF($L40&lt;&gt;"",$L40*CARBON_FRACTION_OM,""))</f>
        <v/>
      </c>
      <c r="O40" s="18">
        <f>IF(OR($E40="",$F40=""),"",MAX(0,MIN($F40,REFERENCE_DEPTH_CM)-MIN($E40,REFERENCE_DEPTH_CM)))</f>
        <v/>
      </c>
      <c r="P40" s="18">
        <f>IF(OR($J40="",$N40="",$G40=""),"",$J40*($N40/100)*$G40*10)</f>
        <v/>
      </c>
      <c r="Q40" s="18">
        <f>IF(OR($J40="",$N40="",$O40=""),"",$J40*($N40/100)*$O40*10)</f>
        <v/>
      </c>
      <c r="R40" s="18">
        <f>IF(OR(NOT(ISNUMBER($P40)),NOT(ISNUMBER($G40)),$G40=0),0,$P40/$G40)</f>
        <v/>
      </c>
      <c r="S40" s="18">
        <f>IF(OR($B40="",NOT(ISNUMBER($F40))),"",SUMIFS('3. Peat Data'!$P$5:$P$604,'3. Peat Data'!$B$5:$B$604,$B40,'3. Peat Data'!$F$5:$F$604,"&lt;="&amp;$F40))</f>
        <v/>
      </c>
      <c r="T40" s="18">
        <f>IF(AND($A40="",$B40="",$E40=""),"",IF(AND($B40&lt;&gt;"",COUNTIF('2. Core Log'!$A$5:$A$124,$B40)=0),"Core ID not in Core Log. ","")&amp;IF(AND($A40&lt;&gt;"",COUNTIF('1. Plot &amp; Site Log'!$A$5:$A$64,$A40)=0),"Plot ID not in Plot &amp; Site Log. ","")&amp;IF(AND(ISNUMBER($E40),ISNUMBER($F40),$F40&lt;=$E40),"Bottom depth is not below top depth. ","")&amp;IF($I40="","Say which bulk-density basis the lab reported. ","")&amp;IF(AND(ISNUMBER($J40),OR($J40&lt;QC_BD_MIN,$J40&gt;QC_BD_MAX)),"Bulk density outside "&amp;QC_BD_MIN&amp;"–"&amp;QC_BD_MAX&amp;" g/cm³ for peat. Above the top of that range usually means the mineral contact has been passed. ","")&amp;IF(AND(ISNUMBER($N40),$N40&gt;QC_CARBON_PCT_MAX),"Carbon above "&amp;QC_CARBON_PCT_MAX&amp;"% — check units; this may be organic matter rather than carbon. ","")&amp;IF(AND($L40&lt;&gt;"",$M40&lt;&gt;""),"Both LOI and measured carbon given — the measured value is used. ","")&amp;IF(AND($M40="",$L40&lt;&gt;"",OM_FACTOR_IS_LOCAL&lt;&gt;"Yes"),"Carbon derived from LOI using the default factor of "&amp;CARBON_FRACTION_OM&amp;", which has not been calibrated locally. See R1. Reference. ","")&amp;IF(AND(ISNUMBER($O40),$O40=0,ISNUMBER($E40)),"Section lies entirely below the reference depth — it counts to the full-profile stock only. ",""))</f>
        <v/>
      </c>
      <c r="U40" s="14" t="n"/>
    </row>
    <row r="41">
      <c r="A41" s="14" t="n"/>
      <c r="B41" s="14" t="n"/>
      <c r="C41" s="14" t="n"/>
      <c r="D41" s="14" t="n"/>
      <c r="E41" s="14" t="n"/>
      <c r="F41" s="14" t="n"/>
      <c r="G41" s="14">
        <f>IF(OR($E41="",$F41=""),"",$F41-$E41)</f>
        <v/>
      </c>
      <c r="H41" s="14" t="n"/>
      <c r="I41" s="14" t="n"/>
      <c r="J41" s="19" t="n"/>
      <c r="K41" s="19" t="n"/>
      <c r="L41" s="19" t="n"/>
      <c r="M41" s="19" t="n"/>
      <c r="N41" s="18">
        <f>IF($M41&lt;&gt;"",$M41,IF($L41&lt;&gt;"",$L41*CARBON_FRACTION_OM,""))</f>
        <v/>
      </c>
      <c r="O41" s="18">
        <f>IF(OR($E41="",$F41=""),"",MAX(0,MIN($F41,REFERENCE_DEPTH_CM)-MIN($E41,REFERENCE_DEPTH_CM)))</f>
        <v/>
      </c>
      <c r="P41" s="18">
        <f>IF(OR($J41="",$N41="",$G41=""),"",$J41*($N41/100)*$G41*10)</f>
        <v/>
      </c>
      <c r="Q41" s="18">
        <f>IF(OR($J41="",$N41="",$O41=""),"",$J41*($N41/100)*$O41*10)</f>
        <v/>
      </c>
      <c r="R41" s="18">
        <f>IF(OR(NOT(ISNUMBER($P41)),NOT(ISNUMBER($G41)),$G41=0),0,$P41/$G41)</f>
        <v/>
      </c>
      <c r="S41" s="18">
        <f>IF(OR($B41="",NOT(ISNUMBER($F41))),"",SUMIFS('3. Peat Data'!$P$5:$P$604,'3. Peat Data'!$B$5:$B$604,$B41,'3. Peat Data'!$F$5:$F$604,"&lt;="&amp;$F41))</f>
        <v/>
      </c>
      <c r="T41" s="18">
        <f>IF(AND($A41="",$B41="",$E41=""),"",IF(AND($B41&lt;&gt;"",COUNTIF('2. Core Log'!$A$5:$A$124,$B41)=0),"Core ID not in Core Log. ","")&amp;IF(AND($A41&lt;&gt;"",COUNTIF('1. Plot &amp; Site Log'!$A$5:$A$64,$A41)=0),"Plot ID not in Plot &amp; Site Log. ","")&amp;IF(AND(ISNUMBER($E41),ISNUMBER($F41),$F41&lt;=$E41),"Bottom depth is not below top depth. ","")&amp;IF($I41="","Say which bulk-density basis the lab reported. ","")&amp;IF(AND(ISNUMBER($J41),OR($J41&lt;QC_BD_MIN,$J41&gt;QC_BD_MAX)),"Bulk density outside "&amp;QC_BD_MIN&amp;"–"&amp;QC_BD_MAX&amp;" g/cm³ for peat. Above the top of that range usually means the mineral contact has been passed. ","")&amp;IF(AND(ISNUMBER($N41),$N41&gt;QC_CARBON_PCT_MAX),"Carbon above "&amp;QC_CARBON_PCT_MAX&amp;"% — check units; this may be organic matter rather than carbon. ","")&amp;IF(AND($L41&lt;&gt;"",$M41&lt;&gt;""),"Both LOI and measured carbon given — the measured value is used. ","")&amp;IF(AND($M41="",$L41&lt;&gt;"",OM_FACTOR_IS_LOCAL&lt;&gt;"Yes"),"Carbon derived from LOI using the default factor of "&amp;CARBON_FRACTION_OM&amp;", which has not been calibrated locally. See R1. Reference. ","")&amp;IF(AND(ISNUMBER($O41),$O41=0,ISNUMBER($E41)),"Section lies entirely below the reference depth — it counts to the full-profile stock only. ",""))</f>
        <v/>
      </c>
      <c r="U41" s="14" t="n"/>
    </row>
    <row r="42">
      <c r="A42" s="14" t="n"/>
      <c r="B42" s="14" t="n"/>
      <c r="C42" s="14" t="n"/>
      <c r="D42" s="14" t="n"/>
      <c r="E42" s="14" t="n"/>
      <c r="F42" s="14" t="n"/>
      <c r="G42" s="14">
        <f>IF(OR($E42="",$F42=""),"",$F42-$E42)</f>
        <v/>
      </c>
      <c r="H42" s="14" t="n"/>
      <c r="I42" s="14" t="n"/>
      <c r="J42" s="19" t="n"/>
      <c r="K42" s="19" t="n"/>
      <c r="L42" s="19" t="n"/>
      <c r="M42" s="19" t="n"/>
      <c r="N42" s="18">
        <f>IF($M42&lt;&gt;"",$M42,IF($L42&lt;&gt;"",$L42*CARBON_FRACTION_OM,""))</f>
        <v/>
      </c>
      <c r="O42" s="18">
        <f>IF(OR($E42="",$F42=""),"",MAX(0,MIN($F42,REFERENCE_DEPTH_CM)-MIN($E42,REFERENCE_DEPTH_CM)))</f>
        <v/>
      </c>
      <c r="P42" s="18">
        <f>IF(OR($J42="",$N42="",$G42=""),"",$J42*($N42/100)*$G42*10)</f>
        <v/>
      </c>
      <c r="Q42" s="18">
        <f>IF(OR($J42="",$N42="",$O42=""),"",$J42*($N42/100)*$O42*10)</f>
        <v/>
      </c>
      <c r="R42" s="18">
        <f>IF(OR(NOT(ISNUMBER($P42)),NOT(ISNUMBER($G42)),$G42=0),0,$P42/$G42)</f>
        <v/>
      </c>
      <c r="S42" s="18">
        <f>IF(OR($B42="",NOT(ISNUMBER($F42))),"",SUMIFS('3. Peat Data'!$P$5:$P$604,'3. Peat Data'!$B$5:$B$604,$B42,'3. Peat Data'!$F$5:$F$604,"&lt;="&amp;$F42))</f>
        <v/>
      </c>
      <c r="T42" s="18">
        <f>IF(AND($A42="",$B42="",$E42=""),"",IF(AND($B42&lt;&gt;"",COUNTIF('2. Core Log'!$A$5:$A$124,$B42)=0),"Core ID not in Core Log. ","")&amp;IF(AND($A42&lt;&gt;"",COUNTIF('1. Plot &amp; Site Log'!$A$5:$A$64,$A42)=0),"Plot ID not in Plot &amp; Site Log. ","")&amp;IF(AND(ISNUMBER($E42),ISNUMBER($F42),$F42&lt;=$E42),"Bottom depth is not below top depth. ","")&amp;IF($I42="","Say which bulk-density basis the lab reported. ","")&amp;IF(AND(ISNUMBER($J42),OR($J42&lt;QC_BD_MIN,$J42&gt;QC_BD_MAX)),"Bulk density outside "&amp;QC_BD_MIN&amp;"–"&amp;QC_BD_MAX&amp;" g/cm³ for peat. Above the top of that range usually means the mineral contact has been passed. ","")&amp;IF(AND(ISNUMBER($N42),$N42&gt;QC_CARBON_PCT_MAX),"Carbon above "&amp;QC_CARBON_PCT_MAX&amp;"% — check units; this may be organic matter rather than carbon. ","")&amp;IF(AND($L42&lt;&gt;"",$M42&lt;&gt;""),"Both LOI and measured carbon given — the measured value is used. ","")&amp;IF(AND($M42="",$L42&lt;&gt;"",OM_FACTOR_IS_LOCAL&lt;&gt;"Yes"),"Carbon derived from LOI using the default factor of "&amp;CARBON_FRACTION_OM&amp;", which has not been calibrated locally. See R1. Reference. ","")&amp;IF(AND(ISNUMBER($O42),$O42=0,ISNUMBER($E42)),"Section lies entirely below the reference depth — it counts to the full-profile stock only. ",""))</f>
        <v/>
      </c>
      <c r="U42" s="14" t="n"/>
    </row>
    <row r="43">
      <c r="A43" s="14" t="n"/>
      <c r="B43" s="14" t="n"/>
      <c r="C43" s="14" t="n"/>
      <c r="D43" s="14" t="n"/>
      <c r="E43" s="14" t="n"/>
      <c r="F43" s="14" t="n"/>
      <c r="G43" s="14">
        <f>IF(OR($E43="",$F43=""),"",$F43-$E43)</f>
        <v/>
      </c>
      <c r="H43" s="14" t="n"/>
      <c r="I43" s="14" t="n"/>
      <c r="J43" s="19" t="n"/>
      <c r="K43" s="19" t="n"/>
      <c r="L43" s="19" t="n"/>
      <c r="M43" s="19" t="n"/>
      <c r="N43" s="18">
        <f>IF($M43&lt;&gt;"",$M43,IF($L43&lt;&gt;"",$L43*CARBON_FRACTION_OM,""))</f>
        <v/>
      </c>
      <c r="O43" s="18">
        <f>IF(OR($E43="",$F43=""),"",MAX(0,MIN($F43,REFERENCE_DEPTH_CM)-MIN($E43,REFERENCE_DEPTH_CM)))</f>
        <v/>
      </c>
      <c r="P43" s="18">
        <f>IF(OR($J43="",$N43="",$G43=""),"",$J43*($N43/100)*$G43*10)</f>
        <v/>
      </c>
      <c r="Q43" s="18">
        <f>IF(OR($J43="",$N43="",$O43=""),"",$J43*($N43/100)*$O43*10)</f>
        <v/>
      </c>
      <c r="R43" s="18">
        <f>IF(OR(NOT(ISNUMBER($P43)),NOT(ISNUMBER($G43)),$G43=0),0,$P43/$G43)</f>
        <v/>
      </c>
      <c r="S43" s="18">
        <f>IF(OR($B43="",NOT(ISNUMBER($F43))),"",SUMIFS('3. Peat Data'!$P$5:$P$604,'3. Peat Data'!$B$5:$B$604,$B43,'3. Peat Data'!$F$5:$F$604,"&lt;="&amp;$F43))</f>
        <v/>
      </c>
      <c r="T43" s="18">
        <f>IF(AND($A43="",$B43="",$E43=""),"",IF(AND($B43&lt;&gt;"",COUNTIF('2. Core Log'!$A$5:$A$124,$B43)=0),"Core ID not in Core Log. ","")&amp;IF(AND($A43&lt;&gt;"",COUNTIF('1. Plot &amp; Site Log'!$A$5:$A$64,$A43)=0),"Plot ID not in Plot &amp; Site Log. ","")&amp;IF(AND(ISNUMBER($E43),ISNUMBER($F43),$F43&lt;=$E43),"Bottom depth is not below top depth. ","")&amp;IF($I43="","Say which bulk-density basis the lab reported. ","")&amp;IF(AND(ISNUMBER($J43),OR($J43&lt;QC_BD_MIN,$J43&gt;QC_BD_MAX)),"Bulk density outside "&amp;QC_BD_MIN&amp;"–"&amp;QC_BD_MAX&amp;" g/cm³ for peat. Above the top of that range usually means the mineral contact has been passed. ","")&amp;IF(AND(ISNUMBER($N43),$N43&gt;QC_CARBON_PCT_MAX),"Carbon above "&amp;QC_CARBON_PCT_MAX&amp;"% — check units; this may be organic matter rather than carbon. ","")&amp;IF(AND($L43&lt;&gt;"",$M43&lt;&gt;""),"Both LOI and measured carbon given — the measured value is used. ","")&amp;IF(AND($M43="",$L43&lt;&gt;"",OM_FACTOR_IS_LOCAL&lt;&gt;"Yes"),"Carbon derived from LOI using the default factor of "&amp;CARBON_FRACTION_OM&amp;", which has not been calibrated locally. See R1. Reference. ","")&amp;IF(AND(ISNUMBER($O43),$O43=0,ISNUMBER($E43)),"Section lies entirely below the reference depth — it counts to the full-profile stock only. ",""))</f>
        <v/>
      </c>
      <c r="U43" s="14" t="n"/>
    </row>
    <row r="44">
      <c r="A44" s="14" t="n"/>
      <c r="B44" s="14" t="n"/>
      <c r="C44" s="14" t="n"/>
      <c r="D44" s="14" t="n"/>
      <c r="E44" s="14" t="n"/>
      <c r="F44" s="14" t="n"/>
      <c r="G44" s="14">
        <f>IF(OR($E44="",$F44=""),"",$F44-$E44)</f>
        <v/>
      </c>
      <c r="H44" s="14" t="n"/>
      <c r="I44" s="14" t="n"/>
      <c r="J44" s="19" t="n"/>
      <c r="K44" s="19" t="n"/>
      <c r="L44" s="19" t="n"/>
      <c r="M44" s="19" t="n"/>
      <c r="N44" s="18">
        <f>IF($M44&lt;&gt;"",$M44,IF($L44&lt;&gt;"",$L44*CARBON_FRACTION_OM,""))</f>
        <v/>
      </c>
      <c r="O44" s="18">
        <f>IF(OR($E44="",$F44=""),"",MAX(0,MIN($F44,REFERENCE_DEPTH_CM)-MIN($E44,REFERENCE_DEPTH_CM)))</f>
        <v/>
      </c>
      <c r="P44" s="18">
        <f>IF(OR($J44="",$N44="",$G44=""),"",$J44*($N44/100)*$G44*10)</f>
        <v/>
      </c>
      <c r="Q44" s="18">
        <f>IF(OR($J44="",$N44="",$O44=""),"",$J44*($N44/100)*$O44*10)</f>
        <v/>
      </c>
      <c r="R44" s="18">
        <f>IF(OR(NOT(ISNUMBER($P44)),NOT(ISNUMBER($G44)),$G44=0),0,$P44/$G44)</f>
        <v/>
      </c>
      <c r="S44" s="18">
        <f>IF(OR($B44="",NOT(ISNUMBER($F44))),"",SUMIFS('3. Peat Data'!$P$5:$P$604,'3. Peat Data'!$B$5:$B$604,$B44,'3. Peat Data'!$F$5:$F$604,"&lt;="&amp;$F44))</f>
        <v/>
      </c>
      <c r="T44" s="18">
        <f>IF(AND($A44="",$B44="",$E44=""),"",IF(AND($B44&lt;&gt;"",COUNTIF('2. Core Log'!$A$5:$A$124,$B44)=0),"Core ID not in Core Log. ","")&amp;IF(AND($A44&lt;&gt;"",COUNTIF('1. Plot &amp; Site Log'!$A$5:$A$64,$A44)=0),"Plot ID not in Plot &amp; Site Log. ","")&amp;IF(AND(ISNUMBER($E44),ISNUMBER($F44),$F44&lt;=$E44),"Bottom depth is not below top depth. ","")&amp;IF($I44="","Say which bulk-density basis the lab reported. ","")&amp;IF(AND(ISNUMBER($J44),OR($J44&lt;QC_BD_MIN,$J44&gt;QC_BD_MAX)),"Bulk density outside "&amp;QC_BD_MIN&amp;"–"&amp;QC_BD_MAX&amp;" g/cm³ for peat. Above the top of that range usually means the mineral contact has been passed. ","")&amp;IF(AND(ISNUMBER($N44),$N44&gt;QC_CARBON_PCT_MAX),"Carbon above "&amp;QC_CARBON_PCT_MAX&amp;"% — check units; this may be organic matter rather than carbon. ","")&amp;IF(AND($L44&lt;&gt;"",$M44&lt;&gt;""),"Both LOI and measured carbon given — the measured value is used. ","")&amp;IF(AND($M44="",$L44&lt;&gt;"",OM_FACTOR_IS_LOCAL&lt;&gt;"Yes"),"Carbon derived from LOI using the default factor of "&amp;CARBON_FRACTION_OM&amp;", which has not been calibrated locally. See R1. Reference. ","")&amp;IF(AND(ISNUMBER($O44),$O44=0,ISNUMBER($E44)),"Section lies entirely below the reference depth — it counts to the full-profile stock only. ",""))</f>
        <v/>
      </c>
      <c r="U44" s="14" t="n"/>
    </row>
    <row r="45">
      <c r="A45" s="14" t="n"/>
      <c r="B45" s="14" t="n"/>
      <c r="C45" s="14" t="n"/>
      <c r="D45" s="14" t="n"/>
      <c r="E45" s="14" t="n"/>
      <c r="F45" s="14" t="n"/>
      <c r="G45" s="14">
        <f>IF(OR($E45="",$F45=""),"",$F45-$E45)</f>
        <v/>
      </c>
      <c r="H45" s="14" t="n"/>
      <c r="I45" s="14" t="n"/>
      <c r="J45" s="19" t="n"/>
      <c r="K45" s="19" t="n"/>
      <c r="L45" s="19" t="n"/>
      <c r="M45" s="19" t="n"/>
      <c r="N45" s="18">
        <f>IF($M45&lt;&gt;"",$M45,IF($L45&lt;&gt;"",$L45*CARBON_FRACTION_OM,""))</f>
        <v/>
      </c>
      <c r="O45" s="18">
        <f>IF(OR($E45="",$F45=""),"",MAX(0,MIN($F45,REFERENCE_DEPTH_CM)-MIN($E45,REFERENCE_DEPTH_CM)))</f>
        <v/>
      </c>
      <c r="P45" s="18">
        <f>IF(OR($J45="",$N45="",$G45=""),"",$J45*($N45/100)*$G45*10)</f>
        <v/>
      </c>
      <c r="Q45" s="18">
        <f>IF(OR($J45="",$N45="",$O45=""),"",$J45*($N45/100)*$O45*10)</f>
        <v/>
      </c>
      <c r="R45" s="18">
        <f>IF(OR(NOT(ISNUMBER($P45)),NOT(ISNUMBER($G45)),$G45=0),0,$P45/$G45)</f>
        <v/>
      </c>
      <c r="S45" s="18">
        <f>IF(OR($B45="",NOT(ISNUMBER($F45))),"",SUMIFS('3. Peat Data'!$P$5:$P$604,'3. Peat Data'!$B$5:$B$604,$B45,'3. Peat Data'!$F$5:$F$604,"&lt;="&amp;$F45))</f>
        <v/>
      </c>
      <c r="T45" s="18">
        <f>IF(AND($A45="",$B45="",$E45=""),"",IF(AND($B45&lt;&gt;"",COUNTIF('2. Core Log'!$A$5:$A$124,$B45)=0),"Core ID not in Core Log. ","")&amp;IF(AND($A45&lt;&gt;"",COUNTIF('1. Plot &amp; Site Log'!$A$5:$A$64,$A45)=0),"Plot ID not in Plot &amp; Site Log. ","")&amp;IF(AND(ISNUMBER($E45),ISNUMBER($F45),$F45&lt;=$E45),"Bottom depth is not below top depth. ","")&amp;IF($I45="","Say which bulk-density basis the lab reported. ","")&amp;IF(AND(ISNUMBER($J45),OR($J45&lt;QC_BD_MIN,$J45&gt;QC_BD_MAX)),"Bulk density outside "&amp;QC_BD_MIN&amp;"–"&amp;QC_BD_MAX&amp;" g/cm³ for peat. Above the top of that range usually means the mineral contact has been passed. ","")&amp;IF(AND(ISNUMBER($N45),$N45&gt;QC_CARBON_PCT_MAX),"Carbon above "&amp;QC_CARBON_PCT_MAX&amp;"% — check units; this may be organic matter rather than carbon. ","")&amp;IF(AND($L45&lt;&gt;"",$M45&lt;&gt;""),"Both LOI and measured carbon given — the measured value is used. ","")&amp;IF(AND($M45="",$L45&lt;&gt;"",OM_FACTOR_IS_LOCAL&lt;&gt;"Yes"),"Carbon derived from LOI using the default factor of "&amp;CARBON_FRACTION_OM&amp;", which has not been calibrated locally. See R1. Reference. ","")&amp;IF(AND(ISNUMBER($O45),$O45=0,ISNUMBER($E45)),"Section lies entirely below the reference depth — it counts to the full-profile stock only. ",""))</f>
        <v/>
      </c>
      <c r="U45" s="14" t="n"/>
    </row>
    <row r="46">
      <c r="A46" s="14" t="n"/>
      <c r="B46" s="14" t="n"/>
      <c r="C46" s="14" t="n"/>
      <c r="D46" s="14" t="n"/>
      <c r="E46" s="14" t="n"/>
      <c r="F46" s="14" t="n"/>
      <c r="G46" s="14">
        <f>IF(OR($E46="",$F46=""),"",$F46-$E46)</f>
        <v/>
      </c>
      <c r="H46" s="14" t="n"/>
      <c r="I46" s="14" t="n"/>
      <c r="J46" s="19" t="n"/>
      <c r="K46" s="19" t="n"/>
      <c r="L46" s="19" t="n"/>
      <c r="M46" s="19" t="n"/>
      <c r="N46" s="18">
        <f>IF($M46&lt;&gt;"",$M46,IF($L46&lt;&gt;"",$L46*CARBON_FRACTION_OM,""))</f>
        <v/>
      </c>
      <c r="O46" s="18">
        <f>IF(OR($E46="",$F46=""),"",MAX(0,MIN($F46,REFERENCE_DEPTH_CM)-MIN($E46,REFERENCE_DEPTH_CM)))</f>
        <v/>
      </c>
      <c r="P46" s="18">
        <f>IF(OR($J46="",$N46="",$G46=""),"",$J46*($N46/100)*$G46*10)</f>
        <v/>
      </c>
      <c r="Q46" s="18">
        <f>IF(OR($J46="",$N46="",$O46=""),"",$J46*($N46/100)*$O46*10)</f>
        <v/>
      </c>
      <c r="R46" s="18">
        <f>IF(OR(NOT(ISNUMBER($P46)),NOT(ISNUMBER($G46)),$G46=0),0,$P46/$G46)</f>
        <v/>
      </c>
      <c r="S46" s="18">
        <f>IF(OR($B46="",NOT(ISNUMBER($F46))),"",SUMIFS('3. Peat Data'!$P$5:$P$604,'3. Peat Data'!$B$5:$B$604,$B46,'3. Peat Data'!$F$5:$F$604,"&lt;="&amp;$F46))</f>
        <v/>
      </c>
      <c r="T46" s="18">
        <f>IF(AND($A46="",$B46="",$E46=""),"",IF(AND($B46&lt;&gt;"",COUNTIF('2. Core Log'!$A$5:$A$124,$B46)=0),"Core ID not in Core Log. ","")&amp;IF(AND($A46&lt;&gt;"",COUNTIF('1. Plot &amp; Site Log'!$A$5:$A$64,$A46)=0),"Plot ID not in Plot &amp; Site Log. ","")&amp;IF(AND(ISNUMBER($E46),ISNUMBER($F46),$F46&lt;=$E46),"Bottom depth is not below top depth. ","")&amp;IF($I46="","Say which bulk-density basis the lab reported. ","")&amp;IF(AND(ISNUMBER($J46),OR($J46&lt;QC_BD_MIN,$J46&gt;QC_BD_MAX)),"Bulk density outside "&amp;QC_BD_MIN&amp;"–"&amp;QC_BD_MAX&amp;" g/cm³ for peat. Above the top of that range usually means the mineral contact has been passed. ","")&amp;IF(AND(ISNUMBER($N46),$N46&gt;QC_CARBON_PCT_MAX),"Carbon above "&amp;QC_CARBON_PCT_MAX&amp;"% — check units; this may be organic matter rather than carbon. ","")&amp;IF(AND($L46&lt;&gt;"",$M46&lt;&gt;""),"Both LOI and measured carbon given — the measured value is used. ","")&amp;IF(AND($M46="",$L46&lt;&gt;"",OM_FACTOR_IS_LOCAL&lt;&gt;"Yes"),"Carbon derived from LOI using the default factor of "&amp;CARBON_FRACTION_OM&amp;", which has not been calibrated locally. See R1. Reference. ","")&amp;IF(AND(ISNUMBER($O46),$O46=0,ISNUMBER($E46)),"Section lies entirely below the reference depth — it counts to the full-profile stock only. ",""))</f>
        <v/>
      </c>
      <c r="U46" s="14" t="n"/>
    </row>
    <row r="47">
      <c r="A47" s="14" t="n"/>
      <c r="B47" s="14" t="n"/>
      <c r="C47" s="14" t="n"/>
      <c r="D47" s="14" t="n"/>
      <c r="E47" s="14" t="n"/>
      <c r="F47" s="14" t="n"/>
      <c r="G47" s="14">
        <f>IF(OR($E47="",$F47=""),"",$F47-$E47)</f>
        <v/>
      </c>
      <c r="H47" s="14" t="n"/>
      <c r="I47" s="14" t="n"/>
      <c r="J47" s="19" t="n"/>
      <c r="K47" s="19" t="n"/>
      <c r="L47" s="19" t="n"/>
      <c r="M47" s="19" t="n"/>
      <c r="N47" s="18">
        <f>IF($M47&lt;&gt;"",$M47,IF($L47&lt;&gt;"",$L47*CARBON_FRACTION_OM,""))</f>
        <v/>
      </c>
      <c r="O47" s="18">
        <f>IF(OR($E47="",$F47=""),"",MAX(0,MIN($F47,REFERENCE_DEPTH_CM)-MIN($E47,REFERENCE_DEPTH_CM)))</f>
        <v/>
      </c>
      <c r="P47" s="18">
        <f>IF(OR($J47="",$N47="",$G47=""),"",$J47*($N47/100)*$G47*10)</f>
        <v/>
      </c>
      <c r="Q47" s="18">
        <f>IF(OR($J47="",$N47="",$O47=""),"",$J47*($N47/100)*$O47*10)</f>
        <v/>
      </c>
      <c r="R47" s="18">
        <f>IF(OR(NOT(ISNUMBER($P47)),NOT(ISNUMBER($G47)),$G47=0),0,$P47/$G47)</f>
        <v/>
      </c>
      <c r="S47" s="18">
        <f>IF(OR($B47="",NOT(ISNUMBER($F47))),"",SUMIFS('3. Peat Data'!$P$5:$P$604,'3. Peat Data'!$B$5:$B$604,$B47,'3. Peat Data'!$F$5:$F$604,"&lt;="&amp;$F47))</f>
        <v/>
      </c>
      <c r="T47" s="18">
        <f>IF(AND($A47="",$B47="",$E47=""),"",IF(AND($B47&lt;&gt;"",COUNTIF('2. Core Log'!$A$5:$A$124,$B47)=0),"Core ID not in Core Log. ","")&amp;IF(AND($A47&lt;&gt;"",COUNTIF('1. Plot &amp; Site Log'!$A$5:$A$64,$A47)=0),"Plot ID not in Plot &amp; Site Log. ","")&amp;IF(AND(ISNUMBER($E47),ISNUMBER($F47),$F47&lt;=$E47),"Bottom depth is not below top depth. ","")&amp;IF($I47="","Say which bulk-density basis the lab reported. ","")&amp;IF(AND(ISNUMBER($J47),OR($J47&lt;QC_BD_MIN,$J47&gt;QC_BD_MAX)),"Bulk density outside "&amp;QC_BD_MIN&amp;"–"&amp;QC_BD_MAX&amp;" g/cm³ for peat. Above the top of that range usually means the mineral contact has been passed. ","")&amp;IF(AND(ISNUMBER($N47),$N47&gt;QC_CARBON_PCT_MAX),"Carbon above "&amp;QC_CARBON_PCT_MAX&amp;"% — check units; this may be organic matter rather than carbon. ","")&amp;IF(AND($L47&lt;&gt;"",$M47&lt;&gt;""),"Both LOI and measured carbon given — the measured value is used. ","")&amp;IF(AND($M47="",$L47&lt;&gt;"",OM_FACTOR_IS_LOCAL&lt;&gt;"Yes"),"Carbon derived from LOI using the default factor of "&amp;CARBON_FRACTION_OM&amp;", which has not been calibrated locally. See R1. Reference. ","")&amp;IF(AND(ISNUMBER($O47),$O47=0,ISNUMBER($E47)),"Section lies entirely below the reference depth — it counts to the full-profile stock only. ",""))</f>
        <v/>
      </c>
      <c r="U47" s="14" t="n"/>
    </row>
    <row r="48">
      <c r="A48" s="14" t="n"/>
      <c r="B48" s="14" t="n"/>
      <c r="C48" s="14" t="n"/>
      <c r="D48" s="14" t="n"/>
      <c r="E48" s="14" t="n"/>
      <c r="F48" s="14" t="n"/>
      <c r="G48" s="14">
        <f>IF(OR($E48="",$F48=""),"",$F48-$E48)</f>
        <v/>
      </c>
      <c r="H48" s="14" t="n"/>
      <c r="I48" s="14" t="n"/>
      <c r="J48" s="19" t="n"/>
      <c r="K48" s="19" t="n"/>
      <c r="L48" s="19" t="n"/>
      <c r="M48" s="19" t="n"/>
      <c r="N48" s="18">
        <f>IF($M48&lt;&gt;"",$M48,IF($L48&lt;&gt;"",$L48*CARBON_FRACTION_OM,""))</f>
        <v/>
      </c>
      <c r="O48" s="18">
        <f>IF(OR($E48="",$F48=""),"",MAX(0,MIN($F48,REFERENCE_DEPTH_CM)-MIN($E48,REFERENCE_DEPTH_CM)))</f>
        <v/>
      </c>
      <c r="P48" s="18">
        <f>IF(OR($J48="",$N48="",$G48=""),"",$J48*($N48/100)*$G48*10)</f>
        <v/>
      </c>
      <c r="Q48" s="18">
        <f>IF(OR($J48="",$N48="",$O48=""),"",$J48*($N48/100)*$O48*10)</f>
        <v/>
      </c>
      <c r="R48" s="18">
        <f>IF(OR(NOT(ISNUMBER($P48)),NOT(ISNUMBER($G48)),$G48=0),0,$P48/$G48)</f>
        <v/>
      </c>
      <c r="S48" s="18">
        <f>IF(OR($B48="",NOT(ISNUMBER($F48))),"",SUMIFS('3. Peat Data'!$P$5:$P$604,'3. Peat Data'!$B$5:$B$604,$B48,'3. Peat Data'!$F$5:$F$604,"&lt;="&amp;$F48))</f>
        <v/>
      </c>
      <c r="T48" s="18">
        <f>IF(AND($A48="",$B48="",$E48=""),"",IF(AND($B48&lt;&gt;"",COUNTIF('2. Core Log'!$A$5:$A$124,$B48)=0),"Core ID not in Core Log. ","")&amp;IF(AND($A48&lt;&gt;"",COUNTIF('1. Plot &amp; Site Log'!$A$5:$A$64,$A48)=0),"Plot ID not in Plot &amp; Site Log. ","")&amp;IF(AND(ISNUMBER($E48),ISNUMBER($F48),$F48&lt;=$E48),"Bottom depth is not below top depth. ","")&amp;IF($I48="","Say which bulk-density basis the lab reported. ","")&amp;IF(AND(ISNUMBER($J48),OR($J48&lt;QC_BD_MIN,$J48&gt;QC_BD_MAX)),"Bulk density outside "&amp;QC_BD_MIN&amp;"–"&amp;QC_BD_MAX&amp;" g/cm³ for peat. Above the top of that range usually means the mineral contact has been passed. ","")&amp;IF(AND(ISNUMBER($N48),$N48&gt;QC_CARBON_PCT_MAX),"Carbon above "&amp;QC_CARBON_PCT_MAX&amp;"% — check units; this may be organic matter rather than carbon. ","")&amp;IF(AND($L48&lt;&gt;"",$M48&lt;&gt;""),"Both LOI and measured carbon given — the measured value is used. ","")&amp;IF(AND($M48="",$L48&lt;&gt;"",OM_FACTOR_IS_LOCAL&lt;&gt;"Yes"),"Carbon derived from LOI using the default factor of "&amp;CARBON_FRACTION_OM&amp;", which has not been calibrated locally. See R1. Reference. ","")&amp;IF(AND(ISNUMBER($O48),$O48=0,ISNUMBER($E48)),"Section lies entirely below the reference depth — it counts to the full-profile stock only. ",""))</f>
        <v/>
      </c>
      <c r="U48" s="14" t="n"/>
    </row>
    <row r="49">
      <c r="A49" s="14" t="n"/>
      <c r="B49" s="14" t="n"/>
      <c r="C49" s="14" t="n"/>
      <c r="D49" s="14" t="n"/>
      <c r="E49" s="14" t="n"/>
      <c r="F49" s="14" t="n"/>
      <c r="G49" s="14">
        <f>IF(OR($E49="",$F49=""),"",$F49-$E49)</f>
        <v/>
      </c>
      <c r="H49" s="14" t="n"/>
      <c r="I49" s="14" t="n"/>
      <c r="J49" s="19" t="n"/>
      <c r="K49" s="19" t="n"/>
      <c r="L49" s="19" t="n"/>
      <c r="M49" s="19" t="n"/>
      <c r="N49" s="18">
        <f>IF($M49&lt;&gt;"",$M49,IF($L49&lt;&gt;"",$L49*CARBON_FRACTION_OM,""))</f>
        <v/>
      </c>
      <c r="O49" s="18">
        <f>IF(OR($E49="",$F49=""),"",MAX(0,MIN($F49,REFERENCE_DEPTH_CM)-MIN($E49,REFERENCE_DEPTH_CM)))</f>
        <v/>
      </c>
      <c r="P49" s="18">
        <f>IF(OR($J49="",$N49="",$G49=""),"",$J49*($N49/100)*$G49*10)</f>
        <v/>
      </c>
      <c r="Q49" s="18">
        <f>IF(OR($J49="",$N49="",$O49=""),"",$J49*($N49/100)*$O49*10)</f>
        <v/>
      </c>
      <c r="R49" s="18">
        <f>IF(OR(NOT(ISNUMBER($P49)),NOT(ISNUMBER($G49)),$G49=0),0,$P49/$G49)</f>
        <v/>
      </c>
      <c r="S49" s="18">
        <f>IF(OR($B49="",NOT(ISNUMBER($F49))),"",SUMIFS('3. Peat Data'!$P$5:$P$604,'3. Peat Data'!$B$5:$B$604,$B49,'3. Peat Data'!$F$5:$F$604,"&lt;="&amp;$F49))</f>
        <v/>
      </c>
      <c r="T49" s="18">
        <f>IF(AND($A49="",$B49="",$E49=""),"",IF(AND($B49&lt;&gt;"",COUNTIF('2. Core Log'!$A$5:$A$124,$B49)=0),"Core ID not in Core Log. ","")&amp;IF(AND($A49&lt;&gt;"",COUNTIF('1. Plot &amp; Site Log'!$A$5:$A$64,$A49)=0),"Plot ID not in Plot &amp; Site Log. ","")&amp;IF(AND(ISNUMBER($E49),ISNUMBER($F49),$F49&lt;=$E49),"Bottom depth is not below top depth. ","")&amp;IF($I49="","Say which bulk-density basis the lab reported. ","")&amp;IF(AND(ISNUMBER($J49),OR($J49&lt;QC_BD_MIN,$J49&gt;QC_BD_MAX)),"Bulk density outside "&amp;QC_BD_MIN&amp;"–"&amp;QC_BD_MAX&amp;" g/cm³ for peat. Above the top of that range usually means the mineral contact has been passed. ","")&amp;IF(AND(ISNUMBER($N49),$N49&gt;QC_CARBON_PCT_MAX),"Carbon above "&amp;QC_CARBON_PCT_MAX&amp;"% — check units; this may be organic matter rather than carbon. ","")&amp;IF(AND($L49&lt;&gt;"",$M49&lt;&gt;""),"Both LOI and measured carbon given — the measured value is used. ","")&amp;IF(AND($M49="",$L49&lt;&gt;"",OM_FACTOR_IS_LOCAL&lt;&gt;"Yes"),"Carbon derived from LOI using the default factor of "&amp;CARBON_FRACTION_OM&amp;", which has not been calibrated locally. See R1. Reference. ","")&amp;IF(AND(ISNUMBER($O49),$O49=0,ISNUMBER($E49)),"Section lies entirely below the reference depth — it counts to the full-profile stock only. ",""))</f>
        <v/>
      </c>
      <c r="U49" s="14" t="n"/>
    </row>
    <row r="50">
      <c r="A50" s="14" t="n"/>
      <c r="B50" s="14" t="n"/>
      <c r="C50" s="14" t="n"/>
      <c r="D50" s="14" t="n"/>
      <c r="E50" s="14" t="n"/>
      <c r="F50" s="14" t="n"/>
      <c r="G50" s="14">
        <f>IF(OR($E50="",$F50=""),"",$F50-$E50)</f>
        <v/>
      </c>
      <c r="H50" s="14" t="n"/>
      <c r="I50" s="14" t="n"/>
      <c r="J50" s="19" t="n"/>
      <c r="K50" s="19" t="n"/>
      <c r="L50" s="19" t="n"/>
      <c r="M50" s="19" t="n"/>
      <c r="N50" s="18">
        <f>IF($M50&lt;&gt;"",$M50,IF($L50&lt;&gt;"",$L50*CARBON_FRACTION_OM,""))</f>
        <v/>
      </c>
      <c r="O50" s="18">
        <f>IF(OR($E50="",$F50=""),"",MAX(0,MIN($F50,REFERENCE_DEPTH_CM)-MIN($E50,REFERENCE_DEPTH_CM)))</f>
        <v/>
      </c>
      <c r="P50" s="18">
        <f>IF(OR($J50="",$N50="",$G50=""),"",$J50*($N50/100)*$G50*10)</f>
        <v/>
      </c>
      <c r="Q50" s="18">
        <f>IF(OR($J50="",$N50="",$O50=""),"",$J50*($N50/100)*$O50*10)</f>
        <v/>
      </c>
      <c r="R50" s="18">
        <f>IF(OR(NOT(ISNUMBER($P50)),NOT(ISNUMBER($G50)),$G50=0),0,$P50/$G50)</f>
        <v/>
      </c>
      <c r="S50" s="18">
        <f>IF(OR($B50="",NOT(ISNUMBER($F50))),"",SUMIFS('3. Peat Data'!$P$5:$P$604,'3. Peat Data'!$B$5:$B$604,$B50,'3. Peat Data'!$F$5:$F$604,"&lt;="&amp;$F50))</f>
        <v/>
      </c>
      <c r="T50" s="18">
        <f>IF(AND($A50="",$B50="",$E50=""),"",IF(AND($B50&lt;&gt;"",COUNTIF('2. Core Log'!$A$5:$A$124,$B50)=0),"Core ID not in Core Log. ","")&amp;IF(AND($A50&lt;&gt;"",COUNTIF('1. Plot &amp; Site Log'!$A$5:$A$64,$A50)=0),"Plot ID not in Plot &amp; Site Log. ","")&amp;IF(AND(ISNUMBER($E50),ISNUMBER($F50),$F50&lt;=$E50),"Bottom depth is not below top depth. ","")&amp;IF($I50="","Say which bulk-density basis the lab reported. ","")&amp;IF(AND(ISNUMBER($J50),OR($J50&lt;QC_BD_MIN,$J50&gt;QC_BD_MAX)),"Bulk density outside "&amp;QC_BD_MIN&amp;"–"&amp;QC_BD_MAX&amp;" g/cm³ for peat. Above the top of that range usually means the mineral contact has been passed. ","")&amp;IF(AND(ISNUMBER($N50),$N50&gt;QC_CARBON_PCT_MAX),"Carbon above "&amp;QC_CARBON_PCT_MAX&amp;"% — check units; this may be organic matter rather than carbon. ","")&amp;IF(AND($L50&lt;&gt;"",$M50&lt;&gt;""),"Both LOI and measured carbon given — the measured value is used. ","")&amp;IF(AND($M50="",$L50&lt;&gt;"",OM_FACTOR_IS_LOCAL&lt;&gt;"Yes"),"Carbon derived from LOI using the default factor of "&amp;CARBON_FRACTION_OM&amp;", which has not been calibrated locally. See R1. Reference. ","")&amp;IF(AND(ISNUMBER($O50),$O50=0,ISNUMBER($E50)),"Section lies entirely below the reference depth — it counts to the full-profile stock only. ",""))</f>
        <v/>
      </c>
      <c r="U50" s="14" t="n"/>
    </row>
    <row r="51">
      <c r="A51" s="14" t="n"/>
      <c r="B51" s="14" t="n"/>
      <c r="C51" s="14" t="n"/>
      <c r="D51" s="14" t="n"/>
      <c r="E51" s="14" t="n"/>
      <c r="F51" s="14" t="n"/>
      <c r="G51" s="14">
        <f>IF(OR($E51="",$F51=""),"",$F51-$E51)</f>
        <v/>
      </c>
      <c r="H51" s="14" t="n"/>
      <c r="I51" s="14" t="n"/>
      <c r="J51" s="19" t="n"/>
      <c r="K51" s="19" t="n"/>
      <c r="L51" s="19" t="n"/>
      <c r="M51" s="19" t="n"/>
      <c r="N51" s="18">
        <f>IF($M51&lt;&gt;"",$M51,IF($L51&lt;&gt;"",$L51*CARBON_FRACTION_OM,""))</f>
        <v/>
      </c>
      <c r="O51" s="18">
        <f>IF(OR($E51="",$F51=""),"",MAX(0,MIN($F51,REFERENCE_DEPTH_CM)-MIN($E51,REFERENCE_DEPTH_CM)))</f>
        <v/>
      </c>
      <c r="P51" s="18">
        <f>IF(OR($J51="",$N51="",$G51=""),"",$J51*($N51/100)*$G51*10)</f>
        <v/>
      </c>
      <c r="Q51" s="18">
        <f>IF(OR($J51="",$N51="",$O51=""),"",$J51*($N51/100)*$O51*10)</f>
        <v/>
      </c>
      <c r="R51" s="18">
        <f>IF(OR(NOT(ISNUMBER($P51)),NOT(ISNUMBER($G51)),$G51=0),0,$P51/$G51)</f>
        <v/>
      </c>
      <c r="S51" s="18">
        <f>IF(OR($B51="",NOT(ISNUMBER($F51))),"",SUMIFS('3. Peat Data'!$P$5:$P$604,'3. Peat Data'!$B$5:$B$604,$B51,'3. Peat Data'!$F$5:$F$604,"&lt;="&amp;$F51))</f>
        <v/>
      </c>
      <c r="T51" s="18">
        <f>IF(AND($A51="",$B51="",$E51=""),"",IF(AND($B51&lt;&gt;"",COUNTIF('2. Core Log'!$A$5:$A$124,$B51)=0),"Core ID not in Core Log. ","")&amp;IF(AND($A51&lt;&gt;"",COUNTIF('1. Plot &amp; Site Log'!$A$5:$A$64,$A51)=0),"Plot ID not in Plot &amp; Site Log. ","")&amp;IF(AND(ISNUMBER($E51),ISNUMBER($F51),$F51&lt;=$E51),"Bottom depth is not below top depth. ","")&amp;IF($I51="","Say which bulk-density basis the lab reported. ","")&amp;IF(AND(ISNUMBER($J51),OR($J51&lt;QC_BD_MIN,$J51&gt;QC_BD_MAX)),"Bulk density outside "&amp;QC_BD_MIN&amp;"–"&amp;QC_BD_MAX&amp;" g/cm³ for peat. Above the top of that range usually means the mineral contact has been passed. ","")&amp;IF(AND(ISNUMBER($N51),$N51&gt;QC_CARBON_PCT_MAX),"Carbon above "&amp;QC_CARBON_PCT_MAX&amp;"% — check units; this may be organic matter rather than carbon. ","")&amp;IF(AND($L51&lt;&gt;"",$M51&lt;&gt;""),"Both LOI and measured carbon given — the measured value is used. ","")&amp;IF(AND($M51="",$L51&lt;&gt;"",OM_FACTOR_IS_LOCAL&lt;&gt;"Yes"),"Carbon derived from LOI using the default factor of "&amp;CARBON_FRACTION_OM&amp;", which has not been calibrated locally. See R1. Reference. ","")&amp;IF(AND(ISNUMBER($O51),$O51=0,ISNUMBER($E51)),"Section lies entirely below the reference depth — it counts to the full-profile stock only. ",""))</f>
        <v/>
      </c>
      <c r="U51" s="14" t="n"/>
    </row>
    <row r="52">
      <c r="A52" s="14" t="n"/>
      <c r="B52" s="14" t="n"/>
      <c r="C52" s="14" t="n"/>
      <c r="D52" s="14" t="n"/>
      <c r="E52" s="14" t="n"/>
      <c r="F52" s="14" t="n"/>
      <c r="G52" s="14">
        <f>IF(OR($E52="",$F52=""),"",$F52-$E52)</f>
        <v/>
      </c>
      <c r="H52" s="14" t="n"/>
      <c r="I52" s="14" t="n"/>
      <c r="J52" s="19" t="n"/>
      <c r="K52" s="19" t="n"/>
      <c r="L52" s="19" t="n"/>
      <c r="M52" s="19" t="n"/>
      <c r="N52" s="18">
        <f>IF($M52&lt;&gt;"",$M52,IF($L52&lt;&gt;"",$L52*CARBON_FRACTION_OM,""))</f>
        <v/>
      </c>
      <c r="O52" s="18">
        <f>IF(OR($E52="",$F52=""),"",MAX(0,MIN($F52,REFERENCE_DEPTH_CM)-MIN($E52,REFERENCE_DEPTH_CM)))</f>
        <v/>
      </c>
      <c r="P52" s="18">
        <f>IF(OR($J52="",$N52="",$G52=""),"",$J52*($N52/100)*$G52*10)</f>
        <v/>
      </c>
      <c r="Q52" s="18">
        <f>IF(OR($J52="",$N52="",$O52=""),"",$J52*($N52/100)*$O52*10)</f>
        <v/>
      </c>
      <c r="R52" s="18">
        <f>IF(OR(NOT(ISNUMBER($P52)),NOT(ISNUMBER($G52)),$G52=0),0,$P52/$G52)</f>
        <v/>
      </c>
      <c r="S52" s="18">
        <f>IF(OR($B52="",NOT(ISNUMBER($F52))),"",SUMIFS('3. Peat Data'!$P$5:$P$604,'3. Peat Data'!$B$5:$B$604,$B52,'3. Peat Data'!$F$5:$F$604,"&lt;="&amp;$F52))</f>
        <v/>
      </c>
      <c r="T52" s="18">
        <f>IF(AND($A52="",$B52="",$E52=""),"",IF(AND($B52&lt;&gt;"",COUNTIF('2. Core Log'!$A$5:$A$124,$B52)=0),"Core ID not in Core Log. ","")&amp;IF(AND($A52&lt;&gt;"",COUNTIF('1. Plot &amp; Site Log'!$A$5:$A$64,$A52)=0),"Plot ID not in Plot &amp; Site Log. ","")&amp;IF(AND(ISNUMBER($E52),ISNUMBER($F52),$F52&lt;=$E52),"Bottom depth is not below top depth. ","")&amp;IF($I52="","Say which bulk-density basis the lab reported. ","")&amp;IF(AND(ISNUMBER($J52),OR($J52&lt;QC_BD_MIN,$J52&gt;QC_BD_MAX)),"Bulk density outside "&amp;QC_BD_MIN&amp;"–"&amp;QC_BD_MAX&amp;" g/cm³ for peat. Above the top of that range usually means the mineral contact has been passed. ","")&amp;IF(AND(ISNUMBER($N52),$N52&gt;QC_CARBON_PCT_MAX),"Carbon above "&amp;QC_CARBON_PCT_MAX&amp;"% — check units; this may be organic matter rather than carbon. ","")&amp;IF(AND($L52&lt;&gt;"",$M52&lt;&gt;""),"Both LOI and measured carbon given — the measured value is used. ","")&amp;IF(AND($M52="",$L52&lt;&gt;"",OM_FACTOR_IS_LOCAL&lt;&gt;"Yes"),"Carbon derived from LOI using the default factor of "&amp;CARBON_FRACTION_OM&amp;", which has not been calibrated locally. See R1. Reference. ","")&amp;IF(AND(ISNUMBER($O52),$O52=0,ISNUMBER($E52)),"Section lies entirely below the reference depth — it counts to the full-profile stock only. ",""))</f>
        <v/>
      </c>
      <c r="U52" s="14" t="n"/>
    </row>
    <row r="53">
      <c r="A53" s="14" t="n"/>
      <c r="B53" s="14" t="n"/>
      <c r="C53" s="14" t="n"/>
      <c r="D53" s="14" t="n"/>
      <c r="E53" s="14" t="n"/>
      <c r="F53" s="14" t="n"/>
      <c r="G53" s="14">
        <f>IF(OR($E53="",$F53=""),"",$F53-$E53)</f>
        <v/>
      </c>
      <c r="H53" s="14" t="n"/>
      <c r="I53" s="14" t="n"/>
      <c r="J53" s="19" t="n"/>
      <c r="K53" s="19" t="n"/>
      <c r="L53" s="19" t="n"/>
      <c r="M53" s="19" t="n"/>
      <c r="N53" s="18">
        <f>IF($M53&lt;&gt;"",$M53,IF($L53&lt;&gt;"",$L53*CARBON_FRACTION_OM,""))</f>
        <v/>
      </c>
      <c r="O53" s="18">
        <f>IF(OR($E53="",$F53=""),"",MAX(0,MIN($F53,REFERENCE_DEPTH_CM)-MIN($E53,REFERENCE_DEPTH_CM)))</f>
        <v/>
      </c>
      <c r="P53" s="18">
        <f>IF(OR($J53="",$N53="",$G53=""),"",$J53*($N53/100)*$G53*10)</f>
        <v/>
      </c>
      <c r="Q53" s="18">
        <f>IF(OR($J53="",$N53="",$O53=""),"",$J53*($N53/100)*$O53*10)</f>
        <v/>
      </c>
      <c r="R53" s="18">
        <f>IF(OR(NOT(ISNUMBER($P53)),NOT(ISNUMBER($G53)),$G53=0),0,$P53/$G53)</f>
        <v/>
      </c>
      <c r="S53" s="18">
        <f>IF(OR($B53="",NOT(ISNUMBER($F53))),"",SUMIFS('3. Peat Data'!$P$5:$P$604,'3. Peat Data'!$B$5:$B$604,$B53,'3. Peat Data'!$F$5:$F$604,"&lt;="&amp;$F53))</f>
        <v/>
      </c>
      <c r="T53" s="18">
        <f>IF(AND($A53="",$B53="",$E53=""),"",IF(AND($B53&lt;&gt;"",COUNTIF('2. Core Log'!$A$5:$A$124,$B53)=0),"Core ID not in Core Log. ","")&amp;IF(AND($A53&lt;&gt;"",COUNTIF('1. Plot &amp; Site Log'!$A$5:$A$64,$A53)=0),"Plot ID not in Plot &amp; Site Log. ","")&amp;IF(AND(ISNUMBER($E53),ISNUMBER($F53),$F53&lt;=$E53),"Bottom depth is not below top depth. ","")&amp;IF($I53="","Say which bulk-density basis the lab reported. ","")&amp;IF(AND(ISNUMBER($J53),OR($J53&lt;QC_BD_MIN,$J53&gt;QC_BD_MAX)),"Bulk density outside "&amp;QC_BD_MIN&amp;"–"&amp;QC_BD_MAX&amp;" g/cm³ for peat. Above the top of that range usually means the mineral contact has been passed. ","")&amp;IF(AND(ISNUMBER($N53),$N53&gt;QC_CARBON_PCT_MAX),"Carbon above "&amp;QC_CARBON_PCT_MAX&amp;"% — check units; this may be organic matter rather than carbon. ","")&amp;IF(AND($L53&lt;&gt;"",$M53&lt;&gt;""),"Both LOI and measured carbon given — the measured value is used. ","")&amp;IF(AND($M53="",$L53&lt;&gt;"",OM_FACTOR_IS_LOCAL&lt;&gt;"Yes"),"Carbon derived from LOI using the default factor of "&amp;CARBON_FRACTION_OM&amp;", which has not been calibrated locally. See R1. Reference. ","")&amp;IF(AND(ISNUMBER($O53),$O53=0,ISNUMBER($E53)),"Section lies entirely below the reference depth — it counts to the full-profile stock only. ",""))</f>
        <v/>
      </c>
      <c r="U53" s="14" t="n"/>
    </row>
    <row r="54">
      <c r="A54" s="14" t="n"/>
      <c r="B54" s="14" t="n"/>
      <c r="C54" s="14" t="n"/>
      <c r="D54" s="14" t="n"/>
      <c r="E54" s="14" t="n"/>
      <c r="F54" s="14" t="n"/>
      <c r="G54" s="14">
        <f>IF(OR($E54="",$F54=""),"",$F54-$E54)</f>
        <v/>
      </c>
      <c r="H54" s="14" t="n"/>
      <c r="I54" s="14" t="n"/>
      <c r="J54" s="19" t="n"/>
      <c r="K54" s="19" t="n"/>
      <c r="L54" s="19" t="n"/>
      <c r="M54" s="19" t="n"/>
      <c r="N54" s="18">
        <f>IF($M54&lt;&gt;"",$M54,IF($L54&lt;&gt;"",$L54*CARBON_FRACTION_OM,""))</f>
        <v/>
      </c>
      <c r="O54" s="18">
        <f>IF(OR($E54="",$F54=""),"",MAX(0,MIN($F54,REFERENCE_DEPTH_CM)-MIN($E54,REFERENCE_DEPTH_CM)))</f>
        <v/>
      </c>
      <c r="P54" s="18">
        <f>IF(OR($J54="",$N54="",$G54=""),"",$J54*($N54/100)*$G54*10)</f>
        <v/>
      </c>
      <c r="Q54" s="18">
        <f>IF(OR($J54="",$N54="",$O54=""),"",$J54*($N54/100)*$O54*10)</f>
        <v/>
      </c>
      <c r="R54" s="18">
        <f>IF(OR(NOT(ISNUMBER($P54)),NOT(ISNUMBER($G54)),$G54=0),0,$P54/$G54)</f>
        <v/>
      </c>
      <c r="S54" s="18">
        <f>IF(OR($B54="",NOT(ISNUMBER($F54))),"",SUMIFS('3. Peat Data'!$P$5:$P$604,'3. Peat Data'!$B$5:$B$604,$B54,'3. Peat Data'!$F$5:$F$604,"&lt;="&amp;$F54))</f>
        <v/>
      </c>
      <c r="T54" s="18">
        <f>IF(AND($A54="",$B54="",$E54=""),"",IF(AND($B54&lt;&gt;"",COUNTIF('2. Core Log'!$A$5:$A$124,$B54)=0),"Core ID not in Core Log. ","")&amp;IF(AND($A54&lt;&gt;"",COUNTIF('1. Plot &amp; Site Log'!$A$5:$A$64,$A54)=0),"Plot ID not in Plot &amp; Site Log. ","")&amp;IF(AND(ISNUMBER($E54),ISNUMBER($F54),$F54&lt;=$E54),"Bottom depth is not below top depth. ","")&amp;IF($I54="","Say which bulk-density basis the lab reported. ","")&amp;IF(AND(ISNUMBER($J54),OR($J54&lt;QC_BD_MIN,$J54&gt;QC_BD_MAX)),"Bulk density outside "&amp;QC_BD_MIN&amp;"–"&amp;QC_BD_MAX&amp;" g/cm³ for peat. Above the top of that range usually means the mineral contact has been passed. ","")&amp;IF(AND(ISNUMBER($N54),$N54&gt;QC_CARBON_PCT_MAX),"Carbon above "&amp;QC_CARBON_PCT_MAX&amp;"% — check units; this may be organic matter rather than carbon. ","")&amp;IF(AND($L54&lt;&gt;"",$M54&lt;&gt;""),"Both LOI and measured carbon given — the measured value is used. ","")&amp;IF(AND($M54="",$L54&lt;&gt;"",OM_FACTOR_IS_LOCAL&lt;&gt;"Yes"),"Carbon derived from LOI using the default factor of "&amp;CARBON_FRACTION_OM&amp;", which has not been calibrated locally. See R1. Reference. ","")&amp;IF(AND(ISNUMBER($O54),$O54=0,ISNUMBER($E54)),"Section lies entirely below the reference depth — it counts to the full-profile stock only. ",""))</f>
        <v/>
      </c>
      <c r="U54" s="14" t="n"/>
    </row>
    <row r="55">
      <c r="A55" s="14" t="n"/>
      <c r="B55" s="14" t="n"/>
      <c r="C55" s="14" t="n"/>
      <c r="D55" s="14" t="n"/>
      <c r="E55" s="14" t="n"/>
      <c r="F55" s="14" t="n"/>
      <c r="G55" s="14">
        <f>IF(OR($E55="",$F55=""),"",$F55-$E55)</f>
        <v/>
      </c>
      <c r="H55" s="14" t="n"/>
      <c r="I55" s="14" t="n"/>
      <c r="J55" s="19" t="n"/>
      <c r="K55" s="19" t="n"/>
      <c r="L55" s="19" t="n"/>
      <c r="M55" s="19" t="n"/>
      <c r="N55" s="18">
        <f>IF($M55&lt;&gt;"",$M55,IF($L55&lt;&gt;"",$L55*CARBON_FRACTION_OM,""))</f>
        <v/>
      </c>
      <c r="O55" s="18">
        <f>IF(OR($E55="",$F55=""),"",MAX(0,MIN($F55,REFERENCE_DEPTH_CM)-MIN($E55,REFERENCE_DEPTH_CM)))</f>
        <v/>
      </c>
      <c r="P55" s="18">
        <f>IF(OR($J55="",$N55="",$G55=""),"",$J55*($N55/100)*$G55*10)</f>
        <v/>
      </c>
      <c r="Q55" s="18">
        <f>IF(OR($J55="",$N55="",$O55=""),"",$J55*($N55/100)*$O55*10)</f>
        <v/>
      </c>
      <c r="R55" s="18">
        <f>IF(OR(NOT(ISNUMBER($P55)),NOT(ISNUMBER($G55)),$G55=0),0,$P55/$G55)</f>
        <v/>
      </c>
      <c r="S55" s="18">
        <f>IF(OR($B55="",NOT(ISNUMBER($F55))),"",SUMIFS('3. Peat Data'!$P$5:$P$604,'3. Peat Data'!$B$5:$B$604,$B55,'3. Peat Data'!$F$5:$F$604,"&lt;="&amp;$F55))</f>
        <v/>
      </c>
      <c r="T55" s="18">
        <f>IF(AND($A55="",$B55="",$E55=""),"",IF(AND($B55&lt;&gt;"",COUNTIF('2. Core Log'!$A$5:$A$124,$B55)=0),"Core ID not in Core Log. ","")&amp;IF(AND($A55&lt;&gt;"",COUNTIF('1. Plot &amp; Site Log'!$A$5:$A$64,$A55)=0),"Plot ID not in Plot &amp; Site Log. ","")&amp;IF(AND(ISNUMBER($E55),ISNUMBER($F55),$F55&lt;=$E55),"Bottom depth is not below top depth. ","")&amp;IF($I55="","Say which bulk-density basis the lab reported. ","")&amp;IF(AND(ISNUMBER($J55),OR($J55&lt;QC_BD_MIN,$J55&gt;QC_BD_MAX)),"Bulk density outside "&amp;QC_BD_MIN&amp;"–"&amp;QC_BD_MAX&amp;" g/cm³ for peat. Above the top of that range usually means the mineral contact has been passed. ","")&amp;IF(AND(ISNUMBER($N55),$N55&gt;QC_CARBON_PCT_MAX),"Carbon above "&amp;QC_CARBON_PCT_MAX&amp;"% — check units; this may be organic matter rather than carbon. ","")&amp;IF(AND($L55&lt;&gt;"",$M55&lt;&gt;""),"Both LOI and measured carbon given — the measured value is used. ","")&amp;IF(AND($M55="",$L55&lt;&gt;"",OM_FACTOR_IS_LOCAL&lt;&gt;"Yes"),"Carbon derived from LOI using the default factor of "&amp;CARBON_FRACTION_OM&amp;", which has not been calibrated locally. See R1. Reference. ","")&amp;IF(AND(ISNUMBER($O55),$O55=0,ISNUMBER($E55)),"Section lies entirely below the reference depth — it counts to the full-profile stock only. ",""))</f>
        <v/>
      </c>
      <c r="U55" s="14" t="n"/>
    </row>
    <row r="56">
      <c r="A56" s="14" t="n"/>
      <c r="B56" s="14" t="n"/>
      <c r="C56" s="14" t="n"/>
      <c r="D56" s="14" t="n"/>
      <c r="E56" s="14" t="n"/>
      <c r="F56" s="14" t="n"/>
      <c r="G56" s="14">
        <f>IF(OR($E56="",$F56=""),"",$F56-$E56)</f>
        <v/>
      </c>
      <c r="H56" s="14" t="n"/>
      <c r="I56" s="14" t="n"/>
      <c r="J56" s="19" t="n"/>
      <c r="K56" s="19" t="n"/>
      <c r="L56" s="19" t="n"/>
      <c r="M56" s="19" t="n"/>
      <c r="N56" s="18">
        <f>IF($M56&lt;&gt;"",$M56,IF($L56&lt;&gt;"",$L56*CARBON_FRACTION_OM,""))</f>
        <v/>
      </c>
      <c r="O56" s="18">
        <f>IF(OR($E56="",$F56=""),"",MAX(0,MIN($F56,REFERENCE_DEPTH_CM)-MIN($E56,REFERENCE_DEPTH_CM)))</f>
        <v/>
      </c>
      <c r="P56" s="18">
        <f>IF(OR($J56="",$N56="",$G56=""),"",$J56*($N56/100)*$G56*10)</f>
        <v/>
      </c>
      <c r="Q56" s="18">
        <f>IF(OR($J56="",$N56="",$O56=""),"",$J56*($N56/100)*$O56*10)</f>
        <v/>
      </c>
      <c r="R56" s="18">
        <f>IF(OR(NOT(ISNUMBER($P56)),NOT(ISNUMBER($G56)),$G56=0),0,$P56/$G56)</f>
        <v/>
      </c>
      <c r="S56" s="18">
        <f>IF(OR($B56="",NOT(ISNUMBER($F56))),"",SUMIFS('3. Peat Data'!$P$5:$P$604,'3. Peat Data'!$B$5:$B$604,$B56,'3. Peat Data'!$F$5:$F$604,"&lt;="&amp;$F56))</f>
        <v/>
      </c>
      <c r="T56" s="18">
        <f>IF(AND($A56="",$B56="",$E56=""),"",IF(AND($B56&lt;&gt;"",COUNTIF('2. Core Log'!$A$5:$A$124,$B56)=0),"Core ID not in Core Log. ","")&amp;IF(AND($A56&lt;&gt;"",COUNTIF('1. Plot &amp; Site Log'!$A$5:$A$64,$A56)=0),"Plot ID not in Plot &amp; Site Log. ","")&amp;IF(AND(ISNUMBER($E56),ISNUMBER($F56),$F56&lt;=$E56),"Bottom depth is not below top depth. ","")&amp;IF($I56="","Say which bulk-density basis the lab reported. ","")&amp;IF(AND(ISNUMBER($J56),OR($J56&lt;QC_BD_MIN,$J56&gt;QC_BD_MAX)),"Bulk density outside "&amp;QC_BD_MIN&amp;"–"&amp;QC_BD_MAX&amp;" g/cm³ for peat. Above the top of that range usually means the mineral contact has been passed. ","")&amp;IF(AND(ISNUMBER($N56),$N56&gt;QC_CARBON_PCT_MAX),"Carbon above "&amp;QC_CARBON_PCT_MAX&amp;"% — check units; this may be organic matter rather than carbon. ","")&amp;IF(AND($L56&lt;&gt;"",$M56&lt;&gt;""),"Both LOI and measured carbon given — the measured value is used. ","")&amp;IF(AND($M56="",$L56&lt;&gt;"",OM_FACTOR_IS_LOCAL&lt;&gt;"Yes"),"Carbon derived from LOI using the default factor of "&amp;CARBON_FRACTION_OM&amp;", which has not been calibrated locally. See R1. Reference. ","")&amp;IF(AND(ISNUMBER($O56),$O56=0,ISNUMBER($E56)),"Section lies entirely below the reference depth — it counts to the full-profile stock only. ",""))</f>
        <v/>
      </c>
      <c r="U56" s="14" t="n"/>
    </row>
    <row r="57">
      <c r="A57" s="14" t="n"/>
      <c r="B57" s="14" t="n"/>
      <c r="C57" s="14" t="n"/>
      <c r="D57" s="14" t="n"/>
      <c r="E57" s="14" t="n"/>
      <c r="F57" s="14" t="n"/>
      <c r="G57" s="14">
        <f>IF(OR($E57="",$F57=""),"",$F57-$E57)</f>
        <v/>
      </c>
      <c r="H57" s="14" t="n"/>
      <c r="I57" s="14" t="n"/>
      <c r="J57" s="19" t="n"/>
      <c r="K57" s="19" t="n"/>
      <c r="L57" s="19" t="n"/>
      <c r="M57" s="19" t="n"/>
      <c r="N57" s="18">
        <f>IF($M57&lt;&gt;"",$M57,IF($L57&lt;&gt;"",$L57*CARBON_FRACTION_OM,""))</f>
        <v/>
      </c>
      <c r="O57" s="18">
        <f>IF(OR($E57="",$F57=""),"",MAX(0,MIN($F57,REFERENCE_DEPTH_CM)-MIN($E57,REFERENCE_DEPTH_CM)))</f>
        <v/>
      </c>
      <c r="P57" s="18">
        <f>IF(OR($J57="",$N57="",$G57=""),"",$J57*($N57/100)*$G57*10)</f>
        <v/>
      </c>
      <c r="Q57" s="18">
        <f>IF(OR($J57="",$N57="",$O57=""),"",$J57*($N57/100)*$O57*10)</f>
        <v/>
      </c>
      <c r="R57" s="18">
        <f>IF(OR(NOT(ISNUMBER($P57)),NOT(ISNUMBER($G57)),$G57=0),0,$P57/$G57)</f>
        <v/>
      </c>
      <c r="S57" s="18">
        <f>IF(OR($B57="",NOT(ISNUMBER($F57))),"",SUMIFS('3. Peat Data'!$P$5:$P$604,'3. Peat Data'!$B$5:$B$604,$B57,'3. Peat Data'!$F$5:$F$604,"&lt;="&amp;$F57))</f>
        <v/>
      </c>
      <c r="T57" s="18">
        <f>IF(AND($A57="",$B57="",$E57=""),"",IF(AND($B57&lt;&gt;"",COUNTIF('2. Core Log'!$A$5:$A$124,$B57)=0),"Core ID not in Core Log. ","")&amp;IF(AND($A57&lt;&gt;"",COUNTIF('1. Plot &amp; Site Log'!$A$5:$A$64,$A57)=0),"Plot ID not in Plot &amp; Site Log. ","")&amp;IF(AND(ISNUMBER($E57),ISNUMBER($F57),$F57&lt;=$E57),"Bottom depth is not below top depth. ","")&amp;IF($I57="","Say which bulk-density basis the lab reported. ","")&amp;IF(AND(ISNUMBER($J57),OR($J57&lt;QC_BD_MIN,$J57&gt;QC_BD_MAX)),"Bulk density outside "&amp;QC_BD_MIN&amp;"–"&amp;QC_BD_MAX&amp;" g/cm³ for peat. Above the top of that range usually means the mineral contact has been passed. ","")&amp;IF(AND(ISNUMBER($N57),$N57&gt;QC_CARBON_PCT_MAX),"Carbon above "&amp;QC_CARBON_PCT_MAX&amp;"% — check units; this may be organic matter rather than carbon. ","")&amp;IF(AND($L57&lt;&gt;"",$M57&lt;&gt;""),"Both LOI and measured carbon given — the measured value is used. ","")&amp;IF(AND($M57="",$L57&lt;&gt;"",OM_FACTOR_IS_LOCAL&lt;&gt;"Yes"),"Carbon derived from LOI using the default factor of "&amp;CARBON_FRACTION_OM&amp;", which has not been calibrated locally. See R1. Reference. ","")&amp;IF(AND(ISNUMBER($O57),$O57=0,ISNUMBER($E57)),"Section lies entirely below the reference depth — it counts to the full-profile stock only. ",""))</f>
        <v/>
      </c>
      <c r="U57" s="14" t="n"/>
    </row>
    <row r="58">
      <c r="A58" s="14" t="n"/>
      <c r="B58" s="14" t="n"/>
      <c r="C58" s="14" t="n"/>
      <c r="D58" s="14" t="n"/>
      <c r="E58" s="14" t="n"/>
      <c r="F58" s="14" t="n"/>
      <c r="G58" s="14">
        <f>IF(OR($E58="",$F58=""),"",$F58-$E58)</f>
        <v/>
      </c>
      <c r="H58" s="14" t="n"/>
      <c r="I58" s="14" t="n"/>
      <c r="J58" s="19" t="n"/>
      <c r="K58" s="19" t="n"/>
      <c r="L58" s="19" t="n"/>
      <c r="M58" s="19" t="n"/>
      <c r="N58" s="18">
        <f>IF($M58&lt;&gt;"",$M58,IF($L58&lt;&gt;"",$L58*CARBON_FRACTION_OM,""))</f>
        <v/>
      </c>
      <c r="O58" s="18">
        <f>IF(OR($E58="",$F58=""),"",MAX(0,MIN($F58,REFERENCE_DEPTH_CM)-MIN($E58,REFERENCE_DEPTH_CM)))</f>
        <v/>
      </c>
      <c r="P58" s="18">
        <f>IF(OR($J58="",$N58="",$G58=""),"",$J58*($N58/100)*$G58*10)</f>
        <v/>
      </c>
      <c r="Q58" s="18">
        <f>IF(OR($J58="",$N58="",$O58=""),"",$J58*($N58/100)*$O58*10)</f>
        <v/>
      </c>
      <c r="R58" s="18">
        <f>IF(OR(NOT(ISNUMBER($P58)),NOT(ISNUMBER($G58)),$G58=0),0,$P58/$G58)</f>
        <v/>
      </c>
      <c r="S58" s="18">
        <f>IF(OR($B58="",NOT(ISNUMBER($F58))),"",SUMIFS('3. Peat Data'!$P$5:$P$604,'3. Peat Data'!$B$5:$B$604,$B58,'3. Peat Data'!$F$5:$F$604,"&lt;="&amp;$F58))</f>
        <v/>
      </c>
      <c r="T58" s="18">
        <f>IF(AND($A58="",$B58="",$E58=""),"",IF(AND($B58&lt;&gt;"",COUNTIF('2. Core Log'!$A$5:$A$124,$B58)=0),"Core ID not in Core Log. ","")&amp;IF(AND($A58&lt;&gt;"",COUNTIF('1. Plot &amp; Site Log'!$A$5:$A$64,$A58)=0),"Plot ID not in Plot &amp; Site Log. ","")&amp;IF(AND(ISNUMBER($E58),ISNUMBER($F58),$F58&lt;=$E58),"Bottom depth is not below top depth. ","")&amp;IF($I58="","Say which bulk-density basis the lab reported. ","")&amp;IF(AND(ISNUMBER($J58),OR($J58&lt;QC_BD_MIN,$J58&gt;QC_BD_MAX)),"Bulk density outside "&amp;QC_BD_MIN&amp;"–"&amp;QC_BD_MAX&amp;" g/cm³ for peat. Above the top of that range usually means the mineral contact has been passed. ","")&amp;IF(AND(ISNUMBER($N58),$N58&gt;QC_CARBON_PCT_MAX),"Carbon above "&amp;QC_CARBON_PCT_MAX&amp;"% — check units; this may be organic matter rather than carbon. ","")&amp;IF(AND($L58&lt;&gt;"",$M58&lt;&gt;""),"Both LOI and measured carbon given — the measured value is used. ","")&amp;IF(AND($M58="",$L58&lt;&gt;"",OM_FACTOR_IS_LOCAL&lt;&gt;"Yes"),"Carbon derived from LOI using the default factor of "&amp;CARBON_FRACTION_OM&amp;", which has not been calibrated locally. See R1. Reference. ","")&amp;IF(AND(ISNUMBER($O58),$O58=0,ISNUMBER($E58)),"Section lies entirely below the reference depth — it counts to the full-profile stock only. ",""))</f>
        <v/>
      </c>
      <c r="U58" s="14" t="n"/>
    </row>
    <row r="59">
      <c r="A59" s="14" t="n"/>
      <c r="B59" s="14" t="n"/>
      <c r="C59" s="14" t="n"/>
      <c r="D59" s="14" t="n"/>
      <c r="E59" s="14" t="n"/>
      <c r="F59" s="14" t="n"/>
      <c r="G59" s="14">
        <f>IF(OR($E59="",$F59=""),"",$F59-$E59)</f>
        <v/>
      </c>
      <c r="H59" s="14" t="n"/>
      <c r="I59" s="14" t="n"/>
      <c r="J59" s="19" t="n"/>
      <c r="K59" s="19" t="n"/>
      <c r="L59" s="19" t="n"/>
      <c r="M59" s="19" t="n"/>
      <c r="N59" s="18">
        <f>IF($M59&lt;&gt;"",$M59,IF($L59&lt;&gt;"",$L59*CARBON_FRACTION_OM,""))</f>
        <v/>
      </c>
      <c r="O59" s="18">
        <f>IF(OR($E59="",$F59=""),"",MAX(0,MIN($F59,REFERENCE_DEPTH_CM)-MIN($E59,REFERENCE_DEPTH_CM)))</f>
        <v/>
      </c>
      <c r="P59" s="18">
        <f>IF(OR($J59="",$N59="",$G59=""),"",$J59*($N59/100)*$G59*10)</f>
        <v/>
      </c>
      <c r="Q59" s="18">
        <f>IF(OR($J59="",$N59="",$O59=""),"",$J59*($N59/100)*$O59*10)</f>
        <v/>
      </c>
      <c r="R59" s="18">
        <f>IF(OR(NOT(ISNUMBER($P59)),NOT(ISNUMBER($G59)),$G59=0),0,$P59/$G59)</f>
        <v/>
      </c>
      <c r="S59" s="18">
        <f>IF(OR($B59="",NOT(ISNUMBER($F59))),"",SUMIFS('3. Peat Data'!$P$5:$P$604,'3. Peat Data'!$B$5:$B$604,$B59,'3. Peat Data'!$F$5:$F$604,"&lt;="&amp;$F59))</f>
        <v/>
      </c>
      <c r="T59" s="18">
        <f>IF(AND($A59="",$B59="",$E59=""),"",IF(AND($B59&lt;&gt;"",COUNTIF('2. Core Log'!$A$5:$A$124,$B59)=0),"Core ID not in Core Log. ","")&amp;IF(AND($A59&lt;&gt;"",COUNTIF('1. Plot &amp; Site Log'!$A$5:$A$64,$A59)=0),"Plot ID not in Plot &amp; Site Log. ","")&amp;IF(AND(ISNUMBER($E59),ISNUMBER($F59),$F59&lt;=$E59),"Bottom depth is not below top depth. ","")&amp;IF($I59="","Say which bulk-density basis the lab reported. ","")&amp;IF(AND(ISNUMBER($J59),OR($J59&lt;QC_BD_MIN,$J59&gt;QC_BD_MAX)),"Bulk density outside "&amp;QC_BD_MIN&amp;"–"&amp;QC_BD_MAX&amp;" g/cm³ for peat. Above the top of that range usually means the mineral contact has been passed. ","")&amp;IF(AND(ISNUMBER($N59),$N59&gt;QC_CARBON_PCT_MAX),"Carbon above "&amp;QC_CARBON_PCT_MAX&amp;"% — check units; this may be organic matter rather than carbon. ","")&amp;IF(AND($L59&lt;&gt;"",$M59&lt;&gt;""),"Both LOI and measured carbon given — the measured value is used. ","")&amp;IF(AND($M59="",$L59&lt;&gt;"",OM_FACTOR_IS_LOCAL&lt;&gt;"Yes"),"Carbon derived from LOI using the default factor of "&amp;CARBON_FRACTION_OM&amp;", which has not been calibrated locally. See R1. Reference. ","")&amp;IF(AND(ISNUMBER($O59),$O59=0,ISNUMBER($E59)),"Section lies entirely below the reference depth — it counts to the full-profile stock only. ",""))</f>
        <v/>
      </c>
      <c r="U59" s="14" t="n"/>
    </row>
    <row r="60">
      <c r="A60" s="14" t="n"/>
      <c r="B60" s="14" t="n"/>
      <c r="C60" s="14" t="n"/>
      <c r="D60" s="14" t="n"/>
      <c r="E60" s="14" t="n"/>
      <c r="F60" s="14" t="n"/>
      <c r="G60" s="14">
        <f>IF(OR($E60="",$F60=""),"",$F60-$E60)</f>
        <v/>
      </c>
      <c r="H60" s="14" t="n"/>
      <c r="I60" s="14" t="n"/>
      <c r="J60" s="19" t="n"/>
      <c r="K60" s="19" t="n"/>
      <c r="L60" s="19" t="n"/>
      <c r="M60" s="19" t="n"/>
      <c r="N60" s="18">
        <f>IF($M60&lt;&gt;"",$M60,IF($L60&lt;&gt;"",$L60*CARBON_FRACTION_OM,""))</f>
        <v/>
      </c>
      <c r="O60" s="18">
        <f>IF(OR($E60="",$F60=""),"",MAX(0,MIN($F60,REFERENCE_DEPTH_CM)-MIN($E60,REFERENCE_DEPTH_CM)))</f>
        <v/>
      </c>
      <c r="P60" s="18">
        <f>IF(OR($J60="",$N60="",$G60=""),"",$J60*($N60/100)*$G60*10)</f>
        <v/>
      </c>
      <c r="Q60" s="18">
        <f>IF(OR($J60="",$N60="",$O60=""),"",$J60*($N60/100)*$O60*10)</f>
        <v/>
      </c>
      <c r="R60" s="18">
        <f>IF(OR(NOT(ISNUMBER($P60)),NOT(ISNUMBER($G60)),$G60=0),0,$P60/$G60)</f>
        <v/>
      </c>
      <c r="S60" s="18">
        <f>IF(OR($B60="",NOT(ISNUMBER($F60))),"",SUMIFS('3. Peat Data'!$P$5:$P$604,'3. Peat Data'!$B$5:$B$604,$B60,'3. Peat Data'!$F$5:$F$604,"&lt;="&amp;$F60))</f>
        <v/>
      </c>
      <c r="T60" s="18">
        <f>IF(AND($A60="",$B60="",$E60=""),"",IF(AND($B60&lt;&gt;"",COUNTIF('2. Core Log'!$A$5:$A$124,$B60)=0),"Core ID not in Core Log. ","")&amp;IF(AND($A60&lt;&gt;"",COUNTIF('1. Plot &amp; Site Log'!$A$5:$A$64,$A60)=0),"Plot ID not in Plot &amp; Site Log. ","")&amp;IF(AND(ISNUMBER($E60),ISNUMBER($F60),$F60&lt;=$E60),"Bottom depth is not below top depth. ","")&amp;IF($I60="","Say which bulk-density basis the lab reported. ","")&amp;IF(AND(ISNUMBER($J60),OR($J60&lt;QC_BD_MIN,$J60&gt;QC_BD_MAX)),"Bulk density outside "&amp;QC_BD_MIN&amp;"–"&amp;QC_BD_MAX&amp;" g/cm³ for peat. Above the top of that range usually means the mineral contact has been passed. ","")&amp;IF(AND(ISNUMBER($N60),$N60&gt;QC_CARBON_PCT_MAX),"Carbon above "&amp;QC_CARBON_PCT_MAX&amp;"% — check units; this may be organic matter rather than carbon. ","")&amp;IF(AND($L60&lt;&gt;"",$M60&lt;&gt;""),"Both LOI and measured carbon given — the measured value is used. ","")&amp;IF(AND($M60="",$L60&lt;&gt;"",OM_FACTOR_IS_LOCAL&lt;&gt;"Yes"),"Carbon derived from LOI using the default factor of "&amp;CARBON_FRACTION_OM&amp;", which has not been calibrated locally. See R1. Reference. ","")&amp;IF(AND(ISNUMBER($O60),$O60=0,ISNUMBER($E60)),"Section lies entirely below the reference depth — it counts to the full-profile stock only. ",""))</f>
        <v/>
      </c>
      <c r="U60" s="14" t="n"/>
    </row>
    <row r="61">
      <c r="A61" s="14" t="n"/>
      <c r="B61" s="14" t="n"/>
      <c r="C61" s="14" t="n"/>
      <c r="D61" s="14" t="n"/>
      <c r="E61" s="14" t="n"/>
      <c r="F61" s="14" t="n"/>
      <c r="G61" s="14">
        <f>IF(OR($E61="",$F61=""),"",$F61-$E61)</f>
        <v/>
      </c>
      <c r="H61" s="14" t="n"/>
      <c r="I61" s="14" t="n"/>
      <c r="J61" s="19" t="n"/>
      <c r="K61" s="19" t="n"/>
      <c r="L61" s="19" t="n"/>
      <c r="M61" s="19" t="n"/>
      <c r="N61" s="18">
        <f>IF($M61&lt;&gt;"",$M61,IF($L61&lt;&gt;"",$L61*CARBON_FRACTION_OM,""))</f>
        <v/>
      </c>
      <c r="O61" s="18">
        <f>IF(OR($E61="",$F61=""),"",MAX(0,MIN($F61,REFERENCE_DEPTH_CM)-MIN($E61,REFERENCE_DEPTH_CM)))</f>
        <v/>
      </c>
      <c r="P61" s="18">
        <f>IF(OR($J61="",$N61="",$G61=""),"",$J61*($N61/100)*$G61*10)</f>
        <v/>
      </c>
      <c r="Q61" s="18">
        <f>IF(OR($J61="",$N61="",$O61=""),"",$J61*($N61/100)*$O61*10)</f>
        <v/>
      </c>
      <c r="R61" s="18">
        <f>IF(OR(NOT(ISNUMBER($P61)),NOT(ISNUMBER($G61)),$G61=0),0,$P61/$G61)</f>
        <v/>
      </c>
      <c r="S61" s="18">
        <f>IF(OR($B61="",NOT(ISNUMBER($F61))),"",SUMIFS('3. Peat Data'!$P$5:$P$604,'3. Peat Data'!$B$5:$B$604,$B61,'3. Peat Data'!$F$5:$F$604,"&lt;="&amp;$F61))</f>
        <v/>
      </c>
      <c r="T61" s="18">
        <f>IF(AND($A61="",$B61="",$E61=""),"",IF(AND($B61&lt;&gt;"",COUNTIF('2. Core Log'!$A$5:$A$124,$B61)=0),"Core ID not in Core Log. ","")&amp;IF(AND($A61&lt;&gt;"",COUNTIF('1. Plot &amp; Site Log'!$A$5:$A$64,$A61)=0),"Plot ID not in Plot &amp; Site Log. ","")&amp;IF(AND(ISNUMBER($E61),ISNUMBER($F61),$F61&lt;=$E61),"Bottom depth is not below top depth. ","")&amp;IF($I61="","Say which bulk-density basis the lab reported. ","")&amp;IF(AND(ISNUMBER($J61),OR($J61&lt;QC_BD_MIN,$J61&gt;QC_BD_MAX)),"Bulk density outside "&amp;QC_BD_MIN&amp;"–"&amp;QC_BD_MAX&amp;" g/cm³ for peat. Above the top of that range usually means the mineral contact has been passed. ","")&amp;IF(AND(ISNUMBER($N61),$N61&gt;QC_CARBON_PCT_MAX),"Carbon above "&amp;QC_CARBON_PCT_MAX&amp;"% — check units; this may be organic matter rather than carbon. ","")&amp;IF(AND($L61&lt;&gt;"",$M61&lt;&gt;""),"Both LOI and measured carbon given — the measured value is used. ","")&amp;IF(AND($M61="",$L61&lt;&gt;"",OM_FACTOR_IS_LOCAL&lt;&gt;"Yes"),"Carbon derived from LOI using the default factor of "&amp;CARBON_FRACTION_OM&amp;", which has not been calibrated locally. See R1. Reference. ","")&amp;IF(AND(ISNUMBER($O61),$O61=0,ISNUMBER($E61)),"Section lies entirely below the reference depth — it counts to the full-profile stock only. ",""))</f>
        <v/>
      </c>
      <c r="U61" s="14" t="n"/>
    </row>
    <row r="62">
      <c r="A62" s="14" t="n"/>
      <c r="B62" s="14" t="n"/>
      <c r="C62" s="14" t="n"/>
      <c r="D62" s="14" t="n"/>
      <c r="E62" s="14" t="n"/>
      <c r="F62" s="14" t="n"/>
      <c r="G62" s="14">
        <f>IF(OR($E62="",$F62=""),"",$F62-$E62)</f>
        <v/>
      </c>
      <c r="H62" s="14" t="n"/>
      <c r="I62" s="14" t="n"/>
      <c r="J62" s="19" t="n"/>
      <c r="K62" s="19" t="n"/>
      <c r="L62" s="19" t="n"/>
      <c r="M62" s="19" t="n"/>
      <c r="N62" s="18">
        <f>IF($M62&lt;&gt;"",$M62,IF($L62&lt;&gt;"",$L62*CARBON_FRACTION_OM,""))</f>
        <v/>
      </c>
      <c r="O62" s="18">
        <f>IF(OR($E62="",$F62=""),"",MAX(0,MIN($F62,REFERENCE_DEPTH_CM)-MIN($E62,REFERENCE_DEPTH_CM)))</f>
        <v/>
      </c>
      <c r="P62" s="18">
        <f>IF(OR($J62="",$N62="",$G62=""),"",$J62*($N62/100)*$G62*10)</f>
        <v/>
      </c>
      <c r="Q62" s="18">
        <f>IF(OR($J62="",$N62="",$O62=""),"",$J62*($N62/100)*$O62*10)</f>
        <v/>
      </c>
      <c r="R62" s="18">
        <f>IF(OR(NOT(ISNUMBER($P62)),NOT(ISNUMBER($G62)),$G62=0),0,$P62/$G62)</f>
        <v/>
      </c>
      <c r="S62" s="18">
        <f>IF(OR($B62="",NOT(ISNUMBER($F62))),"",SUMIFS('3. Peat Data'!$P$5:$P$604,'3. Peat Data'!$B$5:$B$604,$B62,'3. Peat Data'!$F$5:$F$604,"&lt;="&amp;$F62))</f>
        <v/>
      </c>
      <c r="T62" s="18">
        <f>IF(AND($A62="",$B62="",$E62=""),"",IF(AND($B62&lt;&gt;"",COUNTIF('2. Core Log'!$A$5:$A$124,$B62)=0),"Core ID not in Core Log. ","")&amp;IF(AND($A62&lt;&gt;"",COUNTIF('1. Plot &amp; Site Log'!$A$5:$A$64,$A62)=0),"Plot ID not in Plot &amp; Site Log. ","")&amp;IF(AND(ISNUMBER($E62),ISNUMBER($F62),$F62&lt;=$E62),"Bottom depth is not below top depth. ","")&amp;IF($I62="","Say which bulk-density basis the lab reported. ","")&amp;IF(AND(ISNUMBER($J62),OR($J62&lt;QC_BD_MIN,$J62&gt;QC_BD_MAX)),"Bulk density outside "&amp;QC_BD_MIN&amp;"–"&amp;QC_BD_MAX&amp;" g/cm³ for peat. Above the top of that range usually means the mineral contact has been passed. ","")&amp;IF(AND(ISNUMBER($N62),$N62&gt;QC_CARBON_PCT_MAX),"Carbon above "&amp;QC_CARBON_PCT_MAX&amp;"% — check units; this may be organic matter rather than carbon. ","")&amp;IF(AND($L62&lt;&gt;"",$M62&lt;&gt;""),"Both LOI and measured carbon given — the measured value is used. ","")&amp;IF(AND($M62="",$L62&lt;&gt;"",OM_FACTOR_IS_LOCAL&lt;&gt;"Yes"),"Carbon derived from LOI using the default factor of "&amp;CARBON_FRACTION_OM&amp;", which has not been calibrated locally. See R1. Reference. ","")&amp;IF(AND(ISNUMBER($O62),$O62=0,ISNUMBER($E62)),"Section lies entirely below the reference depth — it counts to the full-profile stock only. ",""))</f>
        <v/>
      </c>
      <c r="U62" s="14" t="n"/>
    </row>
    <row r="63">
      <c r="A63" s="14" t="n"/>
      <c r="B63" s="14" t="n"/>
      <c r="C63" s="14" t="n"/>
      <c r="D63" s="14" t="n"/>
      <c r="E63" s="14" t="n"/>
      <c r="F63" s="14" t="n"/>
      <c r="G63" s="14">
        <f>IF(OR($E63="",$F63=""),"",$F63-$E63)</f>
        <v/>
      </c>
      <c r="H63" s="14" t="n"/>
      <c r="I63" s="14" t="n"/>
      <c r="J63" s="19" t="n"/>
      <c r="K63" s="19" t="n"/>
      <c r="L63" s="19" t="n"/>
      <c r="M63" s="19" t="n"/>
      <c r="N63" s="18">
        <f>IF($M63&lt;&gt;"",$M63,IF($L63&lt;&gt;"",$L63*CARBON_FRACTION_OM,""))</f>
        <v/>
      </c>
      <c r="O63" s="18">
        <f>IF(OR($E63="",$F63=""),"",MAX(0,MIN($F63,REFERENCE_DEPTH_CM)-MIN($E63,REFERENCE_DEPTH_CM)))</f>
        <v/>
      </c>
      <c r="P63" s="18">
        <f>IF(OR($J63="",$N63="",$G63=""),"",$J63*($N63/100)*$G63*10)</f>
        <v/>
      </c>
      <c r="Q63" s="18">
        <f>IF(OR($J63="",$N63="",$O63=""),"",$J63*($N63/100)*$O63*10)</f>
        <v/>
      </c>
      <c r="R63" s="18">
        <f>IF(OR(NOT(ISNUMBER($P63)),NOT(ISNUMBER($G63)),$G63=0),0,$P63/$G63)</f>
        <v/>
      </c>
      <c r="S63" s="18">
        <f>IF(OR($B63="",NOT(ISNUMBER($F63))),"",SUMIFS('3. Peat Data'!$P$5:$P$604,'3. Peat Data'!$B$5:$B$604,$B63,'3. Peat Data'!$F$5:$F$604,"&lt;="&amp;$F63))</f>
        <v/>
      </c>
      <c r="T63" s="18">
        <f>IF(AND($A63="",$B63="",$E63=""),"",IF(AND($B63&lt;&gt;"",COUNTIF('2. Core Log'!$A$5:$A$124,$B63)=0),"Core ID not in Core Log. ","")&amp;IF(AND($A63&lt;&gt;"",COUNTIF('1. Plot &amp; Site Log'!$A$5:$A$64,$A63)=0),"Plot ID not in Plot &amp; Site Log. ","")&amp;IF(AND(ISNUMBER($E63),ISNUMBER($F63),$F63&lt;=$E63),"Bottom depth is not below top depth. ","")&amp;IF($I63="","Say which bulk-density basis the lab reported. ","")&amp;IF(AND(ISNUMBER($J63),OR($J63&lt;QC_BD_MIN,$J63&gt;QC_BD_MAX)),"Bulk density outside "&amp;QC_BD_MIN&amp;"–"&amp;QC_BD_MAX&amp;" g/cm³ for peat. Above the top of that range usually means the mineral contact has been passed. ","")&amp;IF(AND(ISNUMBER($N63),$N63&gt;QC_CARBON_PCT_MAX),"Carbon above "&amp;QC_CARBON_PCT_MAX&amp;"% — check units; this may be organic matter rather than carbon. ","")&amp;IF(AND($L63&lt;&gt;"",$M63&lt;&gt;""),"Both LOI and measured carbon given — the measured value is used. ","")&amp;IF(AND($M63="",$L63&lt;&gt;"",OM_FACTOR_IS_LOCAL&lt;&gt;"Yes"),"Carbon derived from LOI using the default factor of "&amp;CARBON_FRACTION_OM&amp;", which has not been calibrated locally. See R1. Reference. ","")&amp;IF(AND(ISNUMBER($O63),$O63=0,ISNUMBER($E63)),"Section lies entirely below the reference depth — it counts to the full-profile stock only. ",""))</f>
        <v/>
      </c>
      <c r="U63" s="14" t="n"/>
    </row>
    <row r="64">
      <c r="A64" s="14" t="n"/>
      <c r="B64" s="14" t="n"/>
      <c r="C64" s="14" t="n"/>
      <c r="D64" s="14" t="n"/>
      <c r="E64" s="14" t="n"/>
      <c r="F64" s="14" t="n"/>
      <c r="G64" s="14">
        <f>IF(OR($E64="",$F64=""),"",$F64-$E64)</f>
        <v/>
      </c>
      <c r="H64" s="14" t="n"/>
      <c r="I64" s="14" t="n"/>
      <c r="J64" s="19" t="n"/>
      <c r="K64" s="19" t="n"/>
      <c r="L64" s="19" t="n"/>
      <c r="M64" s="19" t="n"/>
      <c r="N64" s="18">
        <f>IF($M64&lt;&gt;"",$M64,IF($L64&lt;&gt;"",$L64*CARBON_FRACTION_OM,""))</f>
        <v/>
      </c>
      <c r="O64" s="18">
        <f>IF(OR($E64="",$F64=""),"",MAX(0,MIN($F64,REFERENCE_DEPTH_CM)-MIN($E64,REFERENCE_DEPTH_CM)))</f>
        <v/>
      </c>
      <c r="P64" s="18">
        <f>IF(OR($J64="",$N64="",$G64=""),"",$J64*($N64/100)*$G64*10)</f>
        <v/>
      </c>
      <c r="Q64" s="18">
        <f>IF(OR($J64="",$N64="",$O64=""),"",$J64*($N64/100)*$O64*10)</f>
        <v/>
      </c>
      <c r="R64" s="18">
        <f>IF(OR(NOT(ISNUMBER($P64)),NOT(ISNUMBER($G64)),$G64=0),0,$P64/$G64)</f>
        <v/>
      </c>
      <c r="S64" s="18">
        <f>IF(OR($B64="",NOT(ISNUMBER($F64))),"",SUMIFS('3. Peat Data'!$P$5:$P$604,'3. Peat Data'!$B$5:$B$604,$B64,'3. Peat Data'!$F$5:$F$604,"&lt;="&amp;$F64))</f>
        <v/>
      </c>
      <c r="T64" s="18">
        <f>IF(AND($A64="",$B64="",$E64=""),"",IF(AND($B64&lt;&gt;"",COUNTIF('2. Core Log'!$A$5:$A$124,$B64)=0),"Core ID not in Core Log. ","")&amp;IF(AND($A64&lt;&gt;"",COUNTIF('1. Plot &amp; Site Log'!$A$5:$A$64,$A64)=0),"Plot ID not in Plot &amp; Site Log. ","")&amp;IF(AND(ISNUMBER($E64),ISNUMBER($F64),$F64&lt;=$E64),"Bottom depth is not below top depth. ","")&amp;IF($I64="","Say which bulk-density basis the lab reported. ","")&amp;IF(AND(ISNUMBER($J64),OR($J64&lt;QC_BD_MIN,$J64&gt;QC_BD_MAX)),"Bulk density outside "&amp;QC_BD_MIN&amp;"–"&amp;QC_BD_MAX&amp;" g/cm³ for peat. Above the top of that range usually means the mineral contact has been passed. ","")&amp;IF(AND(ISNUMBER($N64),$N64&gt;QC_CARBON_PCT_MAX),"Carbon above "&amp;QC_CARBON_PCT_MAX&amp;"% — check units; this may be organic matter rather than carbon. ","")&amp;IF(AND($L64&lt;&gt;"",$M64&lt;&gt;""),"Both LOI and measured carbon given — the measured value is used. ","")&amp;IF(AND($M64="",$L64&lt;&gt;"",OM_FACTOR_IS_LOCAL&lt;&gt;"Yes"),"Carbon derived from LOI using the default factor of "&amp;CARBON_FRACTION_OM&amp;", which has not been calibrated locally. See R1. Reference. ","")&amp;IF(AND(ISNUMBER($O64),$O64=0,ISNUMBER($E64)),"Section lies entirely below the reference depth — it counts to the full-profile stock only. ",""))</f>
        <v/>
      </c>
      <c r="U64" s="14" t="n"/>
    </row>
    <row r="65">
      <c r="A65" s="14" t="n"/>
      <c r="B65" s="14" t="n"/>
      <c r="C65" s="14" t="n"/>
      <c r="D65" s="14" t="n"/>
      <c r="E65" s="14" t="n"/>
      <c r="F65" s="14" t="n"/>
      <c r="G65" s="14">
        <f>IF(OR($E65="",$F65=""),"",$F65-$E65)</f>
        <v/>
      </c>
      <c r="H65" s="14" t="n"/>
      <c r="I65" s="14" t="n"/>
      <c r="J65" s="19" t="n"/>
      <c r="K65" s="19" t="n"/>
      <c r="L65" s="19" t="n"/>
      <c r="M65" s="19" t="n"/>
      <c r="N65" s="18">
        <f>IF($M65&lt;&gt;"",$M65,IF($L65&lt;&gt;"",$L65*CARBON_FRACTION_OM,""))</f>
        <v/>
      </c>
      <c r="O65" s="18">
        <f>IF(OR($E65="",$F65=""),"",MAX(0,MIN($F65,REFERENCE_DEPTH_CM)-MIN($E65,REFERENCE_DEPTH_CM)))</f>
        <v/>
      </c>
      <c r="P65" s="18">
        <f>IF(OR($J65="",$N65="",$G65=""),"",$J65*($N65/100)*$G65*10)</f>
        <v/>
      </c>
      <c r="Q65" s="18">
        <f>IF(OR($J65="",$N65="",$O65=""),"",$J65*($N65/100)*$O65*10)</f>
        <v/>
      </c>
      <c r="R65" s="18">
        <f>IF(OR(NOT(ISNUMBER($P65)),NOT(ISNUMBER($G65)),$G65=0),0,$P65/$G65)</f>
        <v/>
      </c>
      <c r="S65" s="18">
        <f>IF(OR($B65="",NOT(ISNUMBER($F65))),"",SUMIFS('3. Peat Data'!$P$5:$P$604,'3. Peat Data'!$B$5:$B$604,$B65,'3. Peat Data'!$F$5:$F$604,"&lt;="&amp;$F65))</f>
        <v/>
      </c>
      <c r="T65" s="18">
        <f>IF(AND($A65="",$B65="",$E65=""),"",IF(AND($B65&lt;&gt;"",COUNTIF('2. Core Log'!$A$5:$A$124,$B65)=0),"Core ID not in Core Log. ","")&amp;IF(AND($A65&lt;&gt;"",COUNTIF('1. Plot &amp; Site Log'!$A$5:$A$64,$A65)=0),"Plot ID not in Plot &amp; Site Log. ","")&amp;IF(AND(ISNUMBER($E65),ISNUMBER($F65),$F65&lt;=$E65),"Bottom depth is not below top depth. ","")&amp;IF($I65="","Say which bulk-density basis the lab reported. ","")&amp;IF(AND(ISNUMBER($J65),OR($J65&lt;QC_BD_MIN,$J65&gt;QC_BD_MAX)),"Bulk density outside "&amp;QC_BD_MIN&amp;"–"&amp;QC_BD_MAX&amp;" g/cm³ for peat. Above the top of that range usually means the mineral contact has been passed. ","")&amp;IF(AND(ISNUMBER($N65),$N65&gt;QC_CARBON_PCT_MAX),"Carbon above "&amp;QC_CARBON_PCT_MAX&amp;"% — check units; this may be organic matter rather than carbon. ","")&amp;IF(AND($L65&lt;&gt;"",$M65&lt;&gt;""),"Both LOI and measured carbon given — the measured value is used. ","")&amp;IF(AND($M65="",$L65&lt;&gt;"",OM_FACTOR_IS_LOCAL&lt;&gt;"Yes"),"Carbon derived from LOI using the default factor of "&amp;CARBON_FRACTION_OM&amp;", which has not been calibrated locally. See R1. Reference. ","")&amp;IF(AND(ISNUMBER($O65),$O65=0,ISNUMBER($E65)),"Section lies entirely below the reference depth — it counts to the full-profile stock only. ",""))</f>
        <v/>
      </c>
      <c r="U65" s="14" t="n"/>
    </row>
    <row r="66">
      <c r="A66" s="14" t="n"/>
      <c r="B66" s="14" t="n"/>
      <c r="C66" s="14" t="n"/>
      <c r="D66" s="14" t="n"/>
      <c r="E66" s="14" t="n"/>
      <c r="F66" s="14" t="n"/>
      <c r="G66" s="14">
        <f>IF(OR($E66="",$F66=""),"",$F66-$E66)</f>
        <v/>
      </c>
      <c r="H66" s="14" t="n"/>
      <c r="I66" s="14" t="n"/>
      <c r="J66" s="19" t="n"/>
      <c r="K66" s="19" t="n"/>
      <c r="L66" s="19" t="n"/>
      <c r="M66" s="19" t="n"/>
      <c r="N66" s="18">
        <f>IF($M66&lt;&gt;"",$M66,IF($L66&lt;&gt;"",$L66*CARBON_FRACTION_OM,""))</f>
        <v/>
      </c>
      <c r="O66" s="18">
        <f>IF(OR($E66="",$F66=""),"",MAX(0,MIN($F66,REFERENCE_DEPTH_CM)-MIN($E66,REFERENCE_DEPTH_CM)))</f>
        <v/>
      </c>
      <c r="P66" s="18">
        <f>IF(OR($J66="",$N66="",$G66=""),"",$J66*($N66/100)*$G66*10)</f>
        <v/>
      </c>
      <c r="Q66" s="18">
        <f>IF(OR($J66="",$N66="",$O66=""),"",$J66*($N66/100)*$O66*10)</f>
        <v/>
      </c>
      <c r="R66" s="18">
        <f>IF(OR(NOT(ISNUMBER($P66)),NOT(ISNUMBER($G66)),$G66=0),0,$P66/$G66)</f>
        <v/>
      </c>
      <c r="S66" s="18">
        <f>IF(OR($B66="",NOT(ISNUMBER($F66))),"",SUMIFS('3. Peat Data'!$P$5:$P$604,'3. Peat Data'!$B$5:$B$604,$B66,'3. Peat Data'!$F$5:$F$604,"&lt;="&amp;$F66))</f>
        <v/>
      </c>
      <c r="T66" s="18">
        <f>IF(AND($A66="",$B66="",$E66=""),"",IF(AND($B66&lt;&gt;"",COUNTIF('2. Core Log'!$A$5:$A$124,$B66)=0),"Core ID not in Core Log. ","")&amp;IF(AND($A66&lt;&gt;"",COUNTIF('1. Plot &amp; Site Log'!$A$5:$A$64,$A66)=0),"Plot ID not in Plot &amp; Site Log. ","")&amp;IF(AND(ISNUMBER($E66),ISNUMBER($F66),$F66&lt;=$E66),"Bottom depth is not below top depth. ","")&amp;IF($I66="","Say which bulk-density basis the lab reported. ","")&amp;IF(AND(ISNUMBER($J66),OR($J66&lt;QC_BD_MIN,$J66&gt;QC_BD_MAX)),"Bulk density outside "&amp;QC_BD_MIN&amp;"–"&amp;QC_BD_MAX&amp;" g/cm³ for peat. Above the top of that range usually means the mineral contact has been passed. ","")&amp;IF(AND(ISNUMBER($N66),$N66&gt;QC_CARBON_PCT_MAX),"Carbon above "&amp;QC_CARBON_PCT_MAX&amp;"% — check units; this may be organic matter rather than carbon. ","")&amp;IF(AND($L66&lt;&gt;"",$M66&lt;&gt;""),"Both LOI and measured carbon given — the measured value is used. ","")&amp;IF(AND($M66="",$L66&lt;&gt;"",OM_FACTOR_IS_LOCAL&lt;&gt;"Yes"),"Carbon derived from LOI using the default factor of "&amp;CARBON_FRACTION_OM&amp;", which has not been calibrated locally. See R1. Reference. ","")&amp;IF(AND(ISNUMBER($O66),$O66=0,ISNUMBER($E66)),"Section lies entirely below the reference depth — it counts to the full-profile stock only. ",""))</f>
        <v/>
      </c>
      <c r="U66" s="14" t="n"/>
    </row>
    <row r="67">
      <c r="A67" s="14" t="n"/>
      <c r="B67" s="14" t="n"/>
      <c r="C67" s="14" t="n"/>
      <c r="D67" s="14" t="n"/>
      <c r="E67" s="14" t="n"/>
      <c r="F67" s="14" t="n"/>
      <c r="G67" s="14">
        <f>IF(OR($E67="",$F67=""),"",$F67-$E67)</f>
        <v/>
      </c>
      <c r="H67" s="14" t="n"/>
      <c r="I67" s="14" t="n"/>
      <c r="J67" s="19" t="n"/>
      <c r="K67" s="19" t="n"/>
      <c r="L67" s="19" t="n"/>
      <c r="M67" s="19" t="n"/>
      <c r="N67" s="18">
        <f>IF($M67&lt;&gt;"",$M67,IF($L67&lt;&gt;"",$L67*CARBON_FRACTION_OM,""))</f>
        <v/>
      </c>
      <c r="O67" s="18">
        <f>IF(OR($E67="",$F67=""),"",MAX(0,MIN($F67,REFERENCE_DEPTH_CM)-MIN($E67,REFERENCE_DEPTH_CM)))</f>
        <v/>
      </c>
      <c r="P67" s="18">
        <f>IF(OR($J67="",$N67="",$G67=""),"",$J67*($N67/100)*$G67*10)</f>
        <v/>
      </c>
      <c r="Q67" s="18">
        <f>IF(OR($J67="",$N67="",$O67=""),"",$J67*($N67/100)*$O67*10)</f>
        <v/>
      </c>
      <c r="R67" s="18">
        <f>IF(OR(NOT(ISNUMBER($P67)),NOT(ISNUMBER($G67)),$G67=0),0,$P67/$G67)</f>
        <v/>
      </c>
      <c r="S67" s="18">
        <f>IF(OR($B67="",NOT(ISNUMBER($F67))),"",SUMIFS('3. Peat Data'!$P$5:$P$604,'3. Peat Data'!$B$5:$B$604,$B67,'3. Peat Data'!$F$5:$F$604,"&lt;="&amp;$F67))</f>
        <v/>
      </c>
      <c r="T67" s="18">
        <f>IF(AND($A67="",$B67="",$E67=""),"",IF(AND($B67&lt;&gt;"",COUNTIF('2. Core Log'!$A$5:$A$124,$B67)=0),"Core ID not in Core Log. ","")&amp;IF(AND($A67&lt;&gt;"",COUNTIF('1. Plot &amp; Site Log'!$A$5:$A$64,$A67)=0),"Plot ID not in Plot &amp; Site Log. ","")&amp;IF(AND(ISNUMBER($E67),ISNUMBER($F67),$F67&lt;=$E67),"Bottom depth is not below top depth. ","")&amp;IF($I67="","Say which bulk-density basis the lab reported. ","")&amp;IF(AND(ISNUMBER($J67),OR($J67&lt;QC_BD_MIN,$J67&gt;QC_BD_MAX)),"Bulk density outside "&amp;QC_BD_MIN&amp;"–"&amp;QC_BD_MAX&amp;" g/cm³ for peat. Above the top of that range usually means the mineral contact has been passed. ","")&amp;IF(AND(ISNUMBER($N67),$N67&gt;QC_CARBON_PCT_MAX),"Carbon above "&amp;QC_CARBON_PCT_MAX&amp;"% — check units; this may be organic matter rather than carbon. ","")&amp;IF(AND($L67&lt;&gt;"",$M67&lt;&gt;""),"Both LOI and measured carbon given — the measured value is used. ","")&amp;IF(AND($M67="",$L67&lt;&gt;"",OM_FACTOR_IS_LOCAL&lt;&gt;"Yes"),"Carbon derived from LOI using the default factor of "&amp;CARBON_FRACTION_OM&amp;", which has not been calibrated locally. See R1. Reference. ","")&amp;IF(AND(ISNUMBER($O67),$O67=0,ISNUMBER($E67)),"Section lies entirely below the reference depth — it counts to the full-profile stock only. ",""))</f>
        <v/>
      </c>
      <c r="U67" s="14" t="n"/>
    </row>
    <row r="68">
      <c r="A68" s="14" t="n"/>
      <c r="B68" s="14" t="n"/>
      <c r="C68" s="14" t="n"/>
      <c r="D68" s="14" t="n"/>
      <c r="E68" s="14" t="n"/>
      <c r="F68" s="14" t="n"/>
      <c r="G68" s="14">
        <f>IF(OR($E68="",$F68=""),"",$F68-$E68)</f>
        <v/>
      </c>
      <c r="H68" s="14" t="n"/>
      <c r="I68" s="14" t="n"/>
      <c r="J68" s="19" t="n"/>
      <c r="K68" s="19" t="n"/>
      <c r="L68" s="19" t="n"/>
      <c r="M68" s="19" t="n"/>
      <c r="N68" s="18">
        <f>IF($M68&lt;&gt;"",$M68,IF($L68&lt;&gt;"",$L68*CARBON_FRACTION_OM,""))</f>
        <v/>
      </c>
      <c r="O68" s="18">
        <f>IF(OR($E68="",$F68=""),"",MAX(0,MIN($F68,REFERENCE_DEPTH_CM)-MIN($E68,REFERENCE_DEPTH_CM)))</f>
        <v/>
      </c>
      <c r="P68" s="18">
        <f>IF(OR($J68="",$N68="",$G68=""),"",$J68*($N68/100)*$G68*10)</f>
        <v/>
      </c>
      <c r="Q68" s="18">
        <f>IF(OR($J68="",$N68="",$O68=""),"",$J68*($N68/100)*$O68*10)</f>
        <v/>
      </c>
      <c r="R68" s="18">
        <f>IF(OR(NOT(ISNUMBER($P68)),NOT(ISNUMBER($G68)),$G68=0),0,$P68/$G68)</f>
        <v/>
      </c>
      <c r="S68" s="18">
        <f>IF(OR($B68="",NOT(ISNUMBER($F68))),"",SUMIFS('3. Peat Data'!$P$5:$P$604,'3. Peat Data'!$B$5:$B$604,$B68,'3. Peat Data'!$F$5:$F$604,"&lt;="&amp;$F68))</f>
        <v/>
      </c>
      <c r="T68" s="18">
        <f>IF(AND($A68="",$B68="",$E68=""),"",IF(AND($B68&lt;&gt;"",COUNTIF('2. Core Log'!$A$5:$A$124,$B68)=0),"Core ID not in Core Log. ","")&amp;IF(AND($A68&lt;&gt;"",COUNTIF('1. Plot &amp; Site Log'!$A$5:$A$64,$A68)=0),"Plot ID not in Plot &amp; Site Log. ","")&amp;IF(AND(ISNUMBER($E68),ISNUMBER($F68),$F68&lt;=$E68),"Bottom depth is not below top depth. ","")&amp;IF($I68="","Say which bulk-density basis the lab reported. ","")&amp;IF(AND(ISNUMBER($J68),OR($J68&lt;QC_BD_MIN,$J68&gt;QC_BD_MAX)),"Bulk density outside "&amp;QC_BD_MIN&amp;"–"&amp;QC_BD_MAX&amp;" g/cm³ for peat. Above the top of that range usually means the mineral contact has been passed. ","")&amp;IF(AND(ISNUMBER($N68),$N68&gt;QC_CARBON_PCT_MAX),"Carbon above "&amp;QC_CARBON_PCT_MAX&amp;"% — check units; this may be organic matter rather than carbon. ","")&amp;IF(AND($L68&lt;&gt;"",$M68&lt;&gt;""),"Both LOI and measured carbon given — the measured value is used. ","")&amp;IF(AND($M68="",$L68&lt;&gt;"",OM_FACTOR_IS_LOCAL&lt;&gt;"Yes"),"Carbon derived from LOI using the default factor of "&amp;CARBON_FRACTION_OM&amp;", which has not been calibrated locally. See R1. Reference. ","")&amp;IF(AND(ISNUMBER($O68),$O68=0,ISNUMBER($E68)),"Section lies entirely below the reference depth — it counts to the full-profile stock only. ",""))</f>
        <v/>
      </c>
      <c r="U68" s="14" t="n"/>
    </row>
    <row r="69">
      <c r="A69" s="14" t="n"/>
      <c r="B69" s="14" t="n"/>
      <c r="C69" s="14" t="n"/>
      <c r="D69" s="14" t="n"/>
      <c r="E69" s="14" t="n"/>
      <c r="F69" s="14" t="n"/>
      <c r="G69" s="14">
        <f>IF(OR($E69="",$F69=""),"",$F69-$E69)</f>
        <v/>
      </c>
      <c r="H69" s="14" t="n"/>
      <c r="I69" s="14" t="n"/>
      <c r="J69" s="19" t="n"/>
      <c r="K69" s="19" t="n"/>
      <c r="L69" s="19" t="n"/>
      <c r="M69" s="19" t="n"/>
      <c r="N69" s="18">
        <f>IF($M69&lt;&gt;"",$M69,IF($L69&lt;&gt;"",$L69*CARBON_FRACTION_OM,""))</f>
        <v/>
      </c>
      <c r="O69" s="18">
        <f>IF(OR($E69="",$F69=""),"",MAX(0,MIN($F69,REFERENCE_DEPTH_CM)-MIN($E69,REFERENCE_DEPTH_CM)))</f>
        <v/>
      </c>
      <c r="P69" s="18">
        <f>IF(OR($J69="",$N69="",$G69=""),"",$J69*($N69/100)*$G69*10)</f>
        <v/>
      </c>
      <c r="Q69" s="18">
        <f>IF(OR($J69="",$N69="",$O69=""),"",$J69*($N69/100)*$O69*10)</f>
        <v/>
      </c>
      <c r="R69" s="18">
        <f>IF(OR(NOT(ISNUMBER($P69)),NOT(ISNUMBER($G69)),$G69=0),0,$P69/$G69)</f>
        <v/>
      </c>
      <c r="S69" s="18">
        <f>IF(OR($B69="",NOT(ISNUMBER($F69))),"",SUMIFS('3. Peat Data'!$P$5:$P$604,'3. Peat Data'!$B$5:$B$604,$B69,'3. Peat Data'!$F$5:$F$604,"&lt;="&amp;$F69))</f>
        <v/>
      </c>
      <c r="T69" s="18">
        <f>IF(AND($A69="",$B69="",$E69=""),"",IF(AND($B69&lt;&gt;"",COUNTIF('2. Core Log'!$A$5:$A$124,$B69)=0),"Core ID not in Core Log. ","")&amp;IF(AND($A69&lt;&gt;"",COUNTIF('1. Plot &amp; Site Log'!$A$5:$A$64,$A69)=0),"Plot ID not in Plot &amp; Site Log. ","")&amp;IF(AND(ISNUMBER($E69),ISNUMBER($F69),$F69&lt;=$E69),"Bottom depth is not below top depth. ","")&amp;IF($I69="","Say which bulk-density basis the lab reported. ","")&amp;IF(AND(ISNUMBER($J69),OR($J69&lt;QC_BD_MIN,$J69&gt;QC_BD_MAX)),"Bulk density outside "&amp;QC_BD_MIN&amp;"–"&amp;QC_BD_MAX&amp;" g/cm³ for peat. Above the top of that range usually means the mineral contact has been passed. ","")&amp;IF(AND(ISNUMBER($N69),$N69&gt;QC_CARBON_PCT_MAX),"Carbon above "&amp;QC_CARBON_PCT_MAX&amp;"% — check units; this may be organic matter rather than carbon. ","")&amp;IF(AND($L69&lt;&gt;"",$M69&lt;&gt;""),"Both LOI and measured carbon given — the measured value is used. ","")&amp;IF(AND($M69="",$L69&lt;&gt;"",OM_FACTOR_IS_LOCAL&lt;&gt;"Yes"),"Carbon derived from LOI using the default factor of "&amp;CARBON_FRACTION_OM&amp;", which has not been calibrated locally. See R1. Reference. ","")&amp;IF(AND(ISNUMBER($O69),$O69=0,ISNUMBER($E69)),"Section lies entirely below the reference depth — it counts to the full-profile stock only. ",""))</f>
        <v/>
      </c>
      <c r="U69" s="14" t="n"/>
    </row>
    <row r="70">
      <c r="A70" s="14" t="n"/>
      <c r="B70" s="14" t="n"/>
      <c r="C70" s="14" t="n"/>
      <c r="D70" s="14" t="n"/>
      <c r="E70" s="14" t="n"/>
      <c r="F70" s="14" t="n"/>
      <c r="G70" s="14">
        <f>IF(OR($E70="",$F70=""),"",$F70-$E70)</f>
        <v/>
      </c>
      <c r="H70" s="14" t="n"/>
      <c r="I70" s="14" t="n"/>
      <c r="J70" s="19" t="n"/>
      <c r="K70" s="19" t="n"/>
      <c r="L70" s="19" t="n"/>
      <c r="M70" s="19" t="n"/>
      <c r="N70" s="18">
        <f>IF($M70&lt;&gt;"",$M70,IF($L70&lt;&gt;"",$L70*CARBON_FRACTION_OM,""))</f>
        <v/>
      </c>
      <c r="O70" s="18">
        <f>IF(OR($E70="",$F70=""),"",MAX(0,MIN($F70,REFERENCE_DEPTH_CM)-MIN($E70,REFERENCE_DEPTH_CM)))</f>
        <v/>
      </c>
      <c r="P70" s="18">
        <f>IF(OR($J70="",$N70="",$G70=""),"",$J70*($N70/100)*$G70*10)</f>
        <v/>
      </c>
      <c r="Q70" s="18">
        <f>IF(OR($J70="",$N70="",$O70=""),"",$J70*($N70/100)*$O70*10)</f>
        <v/>
      </c>
      <c r="R70" s="18">
        <f>IF(OR(NOT(ISNUMBER($P70)),NOT(ISNUMBER($G70)),$G70=0),0,$P70/$G70)</f>
        <v/>
      </c>
      <c r="S70" s="18">
        <f>IF(OR($B70="",NOT(ISNUMBER($F70))),"",SUMIFS('3. Peat Data'!$P$5:$P$604,'3. Peat Data'!$B$5:$B$604,$B70,'3. Peat Data'!$F$5:$F$604,"&lt;="&amp;$F70))</f>
        <v/>
      </c>
      <c r="T70" s="18">
        <f>IF(AND($A70="",$B70="",$E70=""),"",IF(AND($B70&lt;&gt;"",COUNTIF('2. Core Log'!$A$5:$A$124,$B70)=0),"Core ID not in Core Log. ","")&amp;IF(AND($A70&lt;&gt;"",COUNTIF('1. Plot &amp; Site Log'!$A$5:$A$64,$A70)=0),"Plot ID not in Plot &amp; Site Log. ","")&amp;IF(AND(ISNUMBER($E70),ISNUMBER($F70),$F70&lt;=$E70),"Bottom depth is not below top depth. ","")&amp;IF($I70="","Say which bulk-density basis the lab reported. ","")&amp;IF(AND(ISNUMBER($J70),OR($J70&lt;QC_BD_MIN,$J70&gt;QC_BD_MAX)),"Bulk density outside "&amp;QC_BD_MIN&amp;"–"&amp;QC_BD_MAX&amp;" g/cm³ for peat. Above the top of that range usually means the mineral contact has been passed. ","")&amp;IF(AND(ISNUMBER($N70),$N70&gt;QC_CARBON_PCT_MAX),"Carbon above "&amp;QC_CARBON_PCT_MAX&amp;"% — check units; this may be organic matter rather than carbon. ","")&amp;IF(AND($L70&lt;&gt;"",$M70&lt;&gt;""),"Both LOI and measured carbon given — the measured value is used. ","")&amp;IF(AND($M70="",$L70&lt;&gt;"",OM_FACTOR_IS_LOCAL&lt;&gt;"Yes"),"Carbon derived from LOI using the default factor of "&amp;CARBON_FRACTION_OM&amp;", which has not been calibrated locally. See R1. Reference. ","")&amp;IF(AND(ISNUMBER($O70),$O70=0,ISNUMBER($E70)),"Section lies entirely below the reference depth — it counts to the full-profile stock only. ",""))</f>
        <v/>
      </c>
      <c r="U70" s="14" t="n"/>
    </row>
    <row r="71">
      <c r="A71" s="14" t="n"/>
      <c r="B71" s="14" t="n"/>
      <c r="C71" s="14" t="n"/>
      <c r="D71" s="14" t="n"/>
      <c r="E71" s="14" t="n"/>
      <c r="F71" s="14" t="n"/>
      <c r="G71" s="14">
        <f>IF(OR($E71="",$F71=""),"",$F71-$E71)</f>
        <v/>
      </c>
      <c r="H71" s="14" t="n"/>
      <c r="I71" s="14" t="n"/>
      <c r="J71" s="19" t="n"/>
      <c r="K71" s="19" t="n"/>
      <c r="L71" s="19" t="n"/>
      <c r="M71" s="19" t="n"/>
      <c r="N71" s="18">
        <f>IF($M71&lt;&gt;"",$M71,IF($L71&lt;&gt;"",$L71*CARBON_FRACTION_OM,""))</f>
        <v/>
      </c>
      <c r="O71" s="18">
        <f>IF(OR($E71="",$F71=""),"",MAX(0,MIN($F71,REFERENCE_DEPTH_CM)-MIN($E71,REFERENCE_DEPTH_CM)))</f>
        <v/>
      </c>
      <c r="P71" s="18">
        <f>IF(OR($J71="",$N71="",$G71=""),"",$J71*($N71/100)*$G71*10)</f>
        <v/>
      </c>
      <c r="Q71" s="18">
        <f>IF(OR($J71="",$N71="",$O71=""),"",$J71*($N71/100)*$O71*10)</f>
        <v/>
      </c>
      <c r="R71" s="18">
        <f>IF(OR(NOT(ISNUMBER($P71)),NOT(ISNUMBER($G71)),$G71=0),0,$P71/$G71)</f>
        <v/>
      </c>
      <c r="S71" s="18">
        <f>IF(OR($B71="",NOT(ISNUMBER($F71))),"",SUMIFS('3. Peat Data'!$P$5:$P$604,'3. Peat Data'!$B$5:$B$604,$B71,'3. Peat Data'!$F$5:$F$604,"&lt;="&amp;$F71))</f>
        <v/>
      </c>
      <c r="T71" s="18">
        <f>IF(AND($A71="",$B71="",$E71=""),"",IF(AND($B71&lt;&gt;"",COUNTIF('2. Core Log'!$A$5:$A$124,$B71)=0),"Core ID not in Core Log. ","")&amp;IF(AND($A71&lt;&gt;"",COUNTIF('1. Plot &amp; Site Log'!$A$5:$A$64,$A71)=0),"Plot ID not in Plot &amp; Site Log. ","")&amp;IF(AND(ISNUMBER($E71),ISNUMBER($F71),$F71&lt;=$E71),"Bottom depth is not below top depth. ","")&amp;IF($I71="","Say which bulk-density basis the lab reported. ","")&amp;IF(AND(ISNUMBER($J71),OR($J71&lt;QC_BD_MIN,$J71&gt;QC_BD_MAX)),"Bulk density outside "&amp;QC_BD_MIN&amp;"–"&amp;QC_BD_MAX&amp;" g/cm³ for peat. Above the top of that range usually means the mineral contact has been passed. ","")&amp;IF(AND(ISNUMBER($N71),$N71&gt;QC_CARBON_PCT_MAX),"Carbon above "&amp;QC_CARBON_PCT_MAX&amp;"% — check units; this may be organic matter rather than carbon. ","")&amp;IF(AND($L71&lt;&gt;"",$M71&lt;&gt;""),"Both LOI and measured carbon given — the measured value is used. ","")&amp;IF(AND($M71="",$L71&lt;&gt;"",OM_FACTOR_IS_LOCAL&lt;&gt;"Yes"),"Carbon derived from LOI using the default factor of "&amp;CARBON_FRACTION_OM&amp;", which has not been calibrated locally. See R1. Reference. ","")&amp;IF(AND(ISNUMBER($O71),$O71=0,ISNUMBER($E71)),"Section lies entirely below the reference depth — it counts to the full-profile stock only. ",""))</f>
        <v/>
      </c>
      <c r="U71" s="14" t="n"/>
    </row>
    <row r="72">
      <c r="A72" s="14" t="n"/>
      <c r="B72" s="14" t="n"/>
      <c r="C72" s="14" t="n"/>
      <c r="D72" s="14" t="n"/>
      <c r="E72" s="14" t="n"/>
      <c r="F72" s="14" t="n"/>
      <c r="G72" s="14">
        <f>IF(OR($E72="",$F72=""),"",$F72-$E72)</f>
        <v/>
      </c>
      <c r="H72" s="14" t="n"/>
      <c r="I72" s="14" t="n"/>
      <c r="J72" s="19" t="n"/>
      <c r="K72" s="19" t="n"/>
      <c r="L72" s="19" t="n"/>
      <c r="M72" s="19" t="n"/>
      <c r="N72" s="18">
        <f>IF($M72&lt;&gt;"",$M72,IF($L72&lt;&gt;"",$L72*CARBON_FRACTION_OM,""))</f>
        <v/>
      </c>
      <c r="O72" s="18">
        <f>IF(OR($E72="",$F72=""),"",MAX(0,MIN($F72,REFERENCE_DEPTH_CM)-MIN($E72,REFERENCE_DEPTH_CM)))</f>
        <v/>
      </c>
      <c r="P72" s="18">
        <f>IF(OR($J72="",$N72="",$G72=""),"",$J72*($N72/100)*$G72*10)</f>
        <v/>
      </c>
      <c r="Q72" s="18">
        <f>IF(OR($J72="",$N72="",$O72=""),"",$J72*($N72/100)*$O72*10)</f>
        <v/>
      </c>
      <c r="R72" s="18">
        <f>IF(OR(NOT(ISNUMBER($P72)),NOT(ISNUMBER($G72)),$G72=0),0,$P72/$G72)</f>
        <v/>
      </c>
      <c r="S72" s="18">
        <f>IF(OR($B72="",NOT(ISNUMBER($F72))),"",SUMIFS('3. Peat Data'!$P$5:$P$604,'3. Peat Data'!$B$5:$B$604,$B72,'3. Peat Data'!$F$5:$F$604,"&lt;="&amp;$F72))</f>
        <v/>
      </c>
      <c r="T72" s="18">
        <f>IF(AND($A72="",$B72="",$E72=""),"",IF(AND($B72&lt;&gt;"",COUNTIF('2. Core Log'!$A$5:$A$124,$B72)=0),"Core ID not in Core Log. ","")&amp;IF(AND($A72&lt;&gt;"",COUNTIF('1. Plot &amp; Site Log'!$A$5:$A$64,$A72)=0),"Plot ID not in Plot &amp; Site Log. ","")&amp;IF(AND(ISNUMBER($E72),ISNUMBER($F72),$F72&lt;=$E72),"Bottom depth is not below top depth. ","")&amp;IF($I72="","Say which bulk-density basis the lab reported. ","")&amp;IF(AND(ISNUMBER($J72),OR($J72&lt;QC_BD_MIN,$J72&gt;QC_BD_MAX)),"Bulk density outside "&amp;QC_BD_MIN&amp;"–"&amp;QC_BD_MAX&amp;" g/cm³ for peat. Above the top of that range usually means the mineral contact has been passed. ","")&amp;IF(AND(ISNUMBER($N72),$N72&gt;QC_CARBON_PCT_MAX),"Carbon above "&amp;QC_CARBON_PCT_MAX&amp;"% — check units; this may be organic matter rather than carbon. ","")&amp;IF(AND($L72&lt;&gt;"",$M72&lt;&gt;""),"Both LOI and measured carbon given — the measured value is used. ","")&amp;IF(AND($M72="",$L72&lt;&gt;"",OM_FACTOR_IS_LOCAL&lt;&gt;"Yes"),"Carbon derived from LOI using the default factor of "&amp;CARBON_FRACTION_OM&amp;", which has not been calibrated locally. See R1. Reference. ","")&amp;IF(AND(ISNUMBER($O72),$O72=0,ISNUMBER($E72)),"Section lies entirely below the reference depth — it counts to the full-profile stock only. ",""))</f>
        <v/>
      </c>
      <c r="U72" s="14" t="n"/>
    </row>
    <row r="73">
      <c r="A73" s="14" t="n"/>
      <c r="B73" s="14" t="n"/>
      <c r="C73" s="14" t="n"/>
      <c r="D73" s="14" t="n"/>
      <c r="E73" s="14" t="n"/>
      <c r="F73" s="14" t="n"/>
      <c r="G73" s="14">
        <f>IF(OR($E73="",$F73=""),"",$F73-$E73)</f>
        <v/>
      </c>
      <c r="H73" s="14" t="n"/>
      <c r="I73" s="14" t="n"/>
      <c r="J73" s="19" t="n"/>
      <c r="K73" s="19" t="n"/>
      <c r="L73" s="19" t="n"/>
      <c r="M73" s="19" t="n"/>
      <c r="N73" s="18">
        <f>IF($M73&lt;&gt;"",$M73,IF($L73&lt;&gt;"",$L73*CARBON_FRACTION_OM,""))</f>
        <v/>
      </c>
      <c r="O73" s="18">
        <f>IF(OR($E73="",$F73=""),"",MAX(0,MIN($F73,REFERENCE_DEPTH_CM)-MIN($E73,REFERENCE_DEPTH_CM)))</f>
        <v/>
      </c>
      <c r="P73" s="18">
        <f>IF(OR($J73="",$N73="",$G73=""),"",$J73*($N73/100)*$G73*10)</f>
        <v/>
      </c>
      <c r="Q73" s="18">
        <f>IF(OR($J73="",$N73="",$O73=""),"",$J73*($N73/100)*$O73*10)</f>
        <v/>
      </c>
      <c r="R73" s="18">
        <f>IF(OR(NOT(ISNUMBER($P73)),NOT(ISNUMBER($G73)),$G73=0),0,$P73/$G73)</f>
        <v/>
      </c>
      <c r="S73" s="18">
        <f>IF(OR($B73="",NOT(ISNUMBER($F73))),"",SUMIFS('3. Peat Data'!$P$5:$P$604,'3. Peat Data'!$B$5:$B$604,$B73,'3. Peat Data'!$F$5:$F$604,"&lt;="&amp;$F73))</f>
        <v/>
      </c>
      <c r="T73" s="18">
        <f>IF(AND($A73="",$B73="",$E73=""),"",IF(AND($B73&lt;&gt;"",COUNTIF('2. Core Log'!$A$5:$A$124,$B73)=0),"Core ID not in Core Log. ","")&amp;IF(AND($A73&lt;&gt;"",COUNTIF('1. Plot &amp; Site Log'!$A$5:$A$64,$A73)=0),"Plot ID not in Plot &amp; Site Log. ","")&amp;IF(AND(ISNUMBER($E73),ISNUMBER($F73),$F73&lt;=$E73),"Bottom depth is not below top depth. ","")&amp;IF($I73="","Say which bulk-density basis the lab reported. ","")&amp;IF(AND(ISNUMBER($J73),OR($J73&lt;QC_BD_MIN,$J73&gt;QC_BD_MAX)),"Bulk density outside "&amp;QC_BD_MIN&amp;"–"&amp;QC_BD_MAX&amp;" g/cm³ for peat. Above the top of that range usually means the mineral contact has been passed. ","")&amp;IF(AND(ISNUMBER($N73),$N73&gt;QC_CARBON_PCT_MAX),"Carbon above "&amp;QC_CARBON_PCT_MAX&amp;"% — check units; this may be organic matter rather than carbon. ","")&amp;IF(AND($L73&lt;&gt;"",$M73&lt;&gt;""),"Both LOI and measured carbon given — the measured value is used. ","")&amp;IF(AND($M73="",$L73&lt;&gt;"",OM_FACTOR_IS_LOCAL&lt;&gt;"Yes"),"Carbon derived from LOI using the default factor of "&amp;CARBON_FRACTION_OM&amp;", which has not been calibrated locally. See R1. Reference. ","")&amp;IF(AND(ISNUMBER($O73),$O73=0,ISNUMBER($E73)),"Section lies entirely below the reference depth — it counts to the full-profile stock only. ",""))</f>
        <v/>
      </c>
      <c r="U73" s="14" t="n"/>
    </row>
    <row r="74">
      <c r="A74" s="14" t="n"/>
      <c r="B74" s="14" t="n"/>
      <c r="C74" s="14" t="n"/>
      <c r="D74" s="14" t="n"/>
      <c r="E74" s="14" t="n"/>
      <c r="F74" s="14" t="n"/>
      <c r="G74" s="14">
        <f>IF(OR($E74="",$F74=""),"",$F74-$E74)</f>
        <v/>
      </c>
      <c r="H74" s="14" t="n"/>
      <c r="I74" s="14" t="n"/>
      <c r="J74" s="19" t="n"/>
      <c r="K74" s="19" t="n"/>
      <c r="L74" s="19" t="n"/>
      <c r="M74" s="19" t="n"/>
      <c r="N74" s="18">
        <f>IF($M74&lt;&gt;"",$M74,IF($L74&lt;&gt;"",$L74*CARBON_FRACTION_OM,""))</f>
        <v/>
      </c>
      <c r="O74" s="18">
        <f>IF(OR($E74="",$F74=""),"",MAX(0,MIN($F74,REFERENCE_DEPTH_CM)-MIN($E74,REFERENCE_DEPTH_CM)))</f>
        <v/>
      </c>
      <c r="P74" s="18">
        <f>IF(OR($J74="",$N74="",$G74=""),"",$J74*($N74/100)*$G74*10)</f>
        <v/>
      </c>
      <c r="Q74" s="18">
        <f>IF(OR($J74="",$N74="",$O74=""),"",$J74*($N74/100)*$O74*10)</f>
        <v/>
      </c>
      <c r="R74" s="18">
        <f>IF(OR(NOT(ISNUMBER($P74)),NOT(ISNUMBER($G74)),$G74=0),0,$P74/$G74)</f>
        <v/>
      </c>
      <c r="S74" s="18">
        <f>IF(OR($B74="",NOT(ISNUMBER($F74))),"",SUMIFS('3. Peat Data'!$P$5:$P$604,'3. Peat Data'!$B$5:$B$604,$B74,'3. Peat Data'!$F$5:$F$604,"&lt;="&amp;$F74))</f>
        <v/>
      </c>
      <c r="T74" s="18">
        <f>IF(AND($A74="",$B74="",$E74=""),"",IF(AND($B74&lt;&gt;"",COUNTIF('2. Core Log'!$A$5:$A$124,$B74)=0),"Core ID not in Core Log. ","")&amp;IF(AND($A74&lt;&gt;"",COUNTIF('1. Plot &amp; Site Log'!$A$5:$A$64,$A74)=0),"Plot ID not in Plot &amp; Site Log. ","")&amp;IF(AND(ISNUMBER($E74),ISNUMBER($F74),$F74&lt;=$E74),"Bottom depth is not below top depth. ","")&amp;IF($I74="","Say which bulk-density basis the lab reported. ","")&amp;IF(AND(ISNUMBER($J74),OR($J74&lt;QC_BD_MIN,$J74&gt;QC_BD_MAX)),"Bulk density outside "&amp;QC_BD_MIN&amp;"–"&amp;QC_BD_MAX&amp;" g/cm³ for peat. Above the top of that range usually means the mineral contact has been passed. ","")&amp;IF(AND(ISNUMBER($N74),$N74&gt;QC_CARBON_PCT_MAX),"Carbon above "&amp;QC_CARBON_PCT_MAX&amp;"% — check units; this may be organic matter rather than carbon. ","")&amp;IF(AND($L74&lt;&gt;"",$M74&lt;&gt;""),"Both LOI and measured carbon given — the measured value is used. ","")&amp;IF(AND($M74="",$L74&lt;&gt;"",OM_FACTOR_IS_LOCAL&lt;&gt;"Yes"),"Carbon derived from LOI using the default factor of "&amp;CARBON_FRACTION_OM&amp;", which has not been calibrated locally. See R1. Reference. ","")&amp;IF(AND(ISNUMBER($O74),$O74=0,ISNUMBER($E74)),"Section lies entirely below the reference depth — it counts to the full-profile stock only. ",""))</f>
        <v/>
      </c>
      <c r="U74" s="14" t="n"/>
    </row>
    <row r="75">
      <c r="A75" s="14" t="n"/>
      <c r="B75" s="14" t="n"/>
      <c r="C75" s="14" t="n"/>
      <c r="D75" s="14" t="n"/>
      <c r="E75" s="14" t="n"/>
      <c r="F75" s="14" t="n"/>
      <c r="G75" s="14">
        <f>IF(OR($E75="",$F75=""),"",$F75-$E75)</f>
        <v/>
      </c>
      <c r="H75" s="14" t="n"/>
      <c r="I75" s="14" t="n"/>
      <c r="J75" s="19" t="n"/>
      <c r="K75" s="19" t="n"/>
      <c r="L75" s="19" t="n"/>
      <c r="M75" s="19" t="n"/>
      <c r="N75" s="18">
        <f>IF($M75&lt;&gt;"",$M75,IF($L75&lt;&gt;"",$L75*CARBON_FRACTION_OM,""))</f>
        <v/>
      </c>
      <c r="O75" s="18">
        <f>IF(OR($E75="",$F75=""),"",MAX(0,MIN($F75,REFERENCE_DEPTH_CM)-MIN($E75,REFERENCE_DEPTH_CM)))</f>
        <v/>
      </c>
      <c r="P75" s="18">
        <f>IF(OR($J75="",$N75="",$G75=""),"",$J75*($N75/100)*$G75*10)</f>
        <v/>
      </c>
      <c r="Q75" s="18">
        <f>IF(OR($J75="",$N75="",$O75=""),"",$J75*($N75/100)*$O75*10)</f>
        <v/>
      </c>
      <c r="R75" s="18">
        <f>IF(OR(NOT(ISNUMBER($P75)),NOT(ISNUMBER($G75)),$G75=0),0,$P75/$G75)</f>
        <v/>
      </c>
      <c r="S75" s="18">
        <f>IF(OR($B75="",NOT(ISNUMBER($F75))),"",SUMIFS('3. Peat Data'!$P$5:$P$604,'3. Peat Data'!$B$5:$B$604,$B75,'3. Peat Data'!$F$5:$F$604,"&lt;="&amp;$F75))</f>
        <v/>
      </c>
      <c r="T75" s="18">
        <f>IF(AND($A75="",$B75="",$E75=""),"",IF(AND($B75&lt;&gt;"",COUNTIF('2. Core Log'!$A$5:$A$124,$B75)=0),"Core ID not in Core Log. ","")&amp;IF(AND($A75&lt;&gt;"",COUNTIF('1. Plot &amp; Site Log'!$A$5:$A$64,$A75)=0),"Plot ID not in Plot &amp; Site Log. ","")&amp;IF(AND(ISNUMBER($E75),ISNUMBER($F75),$F75&lt;=$E75),"Bottom depth is not below top depth. ","")&amp;IF($I75="","Say which bulk-density basis the lab reported. ","")&amp;IF(AND(ISNUMBER($J75),OR($J75&lt;QC_BD_MIN,$J75&gt;QC_BD_MAX)),"Bulk density outside "&amp;QC_BD_MIN&amp;"–"&amp;QC_BD_MAX&amp;" g/cm³ for peat. Above the top of that range usually means the mineral contact has been passed. ","")&amp;IF(AND(ISNUMBER($N75),$N75&gt;QC_CARBON_PCT_MAX),"Carbon above "&amp;QC_CARBON_PCT_MAX&amp;"% — check units; this may be organic matter rather than carbon. ","")&amp;IF(AND($L75&lt;&gt;"",$M75&lt;&gt;""),"Both LOI and measured carbon given — the measured value is used. ","")&amp;IF(AND($M75="",$L75&lt;&gt;"",OM_FACTOR_IS_LOCAL&lt;&gt;"Yes"),"Carbon derived from LOI using the default factor of "&amp;CARBON_FRACTION_OM&amp;", which has not been calibrated locally. See R1. Reference. ","")&amp;IF(AND(ISNUMBER($O75),$O75=0,ISNUMBER($E75)),"Section lies entirely below the reference depth — it counts to the full-profile stock only. ",""))</f>
        <v/>
      </c>
      <c r="U75" s="14" t="n"/>
    </row>
    <row r="76">
      <c r="A76" s="14" t="n"/>
      <c r="B76" s="14" t="n"/>
      <c r="C76" s="14" t="n"/>
      <c r="D76" s="14" t="n"/>
      <c r="E76" s="14" t="n"/>
      <c r="F76" s="14" t="n"/>
      <c r="G76" s="14">
        <f>IF(OR($E76="",$F76=""),"",$F76-$E76)</f>
        <v/>
      </c>
      <c r="H76" s="14" t="n"/>
      <c r="I76" s="14" t="n"/>
      <c r="J76" s="19" t="n"/>
      <c r="K76" s="19" t="n"/>
      <c r="L76" s="19" t="n"/>
      <c r="M76" s="19" t="n"/>
      <c r="N76" s="18">
        <f>IF($M76&lt;&gt;"",$M76,IF($L76&lt;&gt;"",$L76*CARBON_FRACTION_OM,""))</f>
        <v/>
      </c>
      <c r="O76" s="18">
        <f>IF(OR($E76="",$F76=""),"",MAX(0,MIN($F76,REFERENCE_DEPTH_CM)-MIN($E76,REFERENCE_DEPTH_CM)))</f>
        <v/>
      </c>
      <c r="P76" s="18">
        <f>IF(OR($J76="",$N76="",$G76=""),"",$J76*($N76/100)*$G76*10)</f>
        <v/>
      </c>
      <c r="Q76" s="18">
        <f>IF(OR($J76="",$N76="",$O76=""),"",$J76*($N76/100)*$O76*10)</f>
        <v/>
      </c>
      <c r="R76" s="18">
        <f>IF(OR(NOT(ISNUMBER($P76)),NOT(ISNUMBER($G76)),$G76=0),0,$P76/$G76)</f>
        <v/>
      </c>
      <c r="S76" s="18">
        <f>IF(OR($B76="",NOT(ISNUMBER($F76))),"",SUMIFS('3. Peat Data'!$P$5:$P$604,'3. Peat Data'!$B$5:$B$604,$B76,'3. Peat Data'!$F$5:$F$604,"&lt;="&amp;$F76))</f>
        <v/>
      </c>
      <c r="T76" s="18">
        <f>IF(AND($A76="",$B76="",$E76=""),"",IF(AND($B76&lt;&gt;"",COUNTIF('2. Core Log'!$A$5:$A$124,$B76)=0),"Core ID not in Core Log. ","")&amp;IF(AND($A76&lt;&gt;"",COUNTIF('1. Plot &amp; Site Log'!$A$5:$A$64,$A76)=0),"Plot ID not in Plot &amp; Site Log. ","")&amp;IF(AND(ISNUMBER($E76),ISNUMBER($F76),$F76&lt;=$E76),"Bottom depth is not below top depth. ","")&amp;IF($I76="","Say which bulk-density basis the lab reported. ","")&amp;IF(AND(ISNUMBER($J76),OR($J76&lt;QC_BD_MIN,$J76&gt;QC_BD_MAX)),"Bulk density outside "&amp;QC_BD_MIN&amp;"–"&amp;QC_BD_MAX&amp;" g/cm³ for peat. Above the top of that range usually means the mineral contact has been passed. ","")&amp;IF(AND(ISNUMBER($N76),$N76&gt;QC_CARBON_PCT_MAX),"Carbon above "&amp;QC_CARBON_PCT_MAX&amp;"% — check units; this may be organic matter rather than carbon. ","")&amp;IF(AND($L76&lt;&gt;"",$M76&lt;&gt;""),"Both LOI and measured carbon given — the measured value is used. ","")&amp;IF(AND($M76="",$L76&lt;&gt;"",OM_FACTOR_IS_LOCAL&lt;&gt;"Yes"),"Carbon derived from LOI using the default factor of "&amp;CARBON_FRACTION_OM&amp;", which has not been calibrated locally. See R1. Reference. ","")&amp;IF(AND(ISNUMBER($O76),$O76=0,ISNUMBER($E76)),"Section lies entirely below the reference depth — it counts to the full-profile stock only. ",""))</f>
        <v/>
      </c>
      <c r="U76" s="14" t="n"/>
    </row>
    <row r="77">
      <c r="A77" s="14" t="n"/>
      <c r="B77" s="14" t="n"/>
      <c r="C77" s="14" t="n"/>
      <c r="D77" s="14" t="n"/>
      <c r="E77" s="14" t="n"/>
      <c r="F77" s="14" t="n"/>
      <c r="G77" s="14">
        <f>IF(OR($E77="",$F77=""),"",$F77-$E77)</f>
        <v/>
      </c>
      <c r="H77" s="14" t="n"/>
      <c r="I77" s="14" t="n"/>
      <c r="J77" s="19" t="n"/>
      <c r="K77" s="19" t="n"/>
      <c r="L77" s="19" t="n"/>
      <c r="M77" s="19" t="n"/>
      <c r="N77" s="18">
        <f>IF($M77&lt;&gt;"",$M77,IF($L77&lt;&gt;"",$L77*CARBON_FRACTION_OM,""))</f>
        <v/>
      </c>
      <c r="O77" s="18">
        <f>IF(OR($E77="",$F77=""),"",MAX(0,MIN($F77,REFERENCE_DEPTH_CM)-MIN($E77,REFERENCE_DEPTH_CM)))</f>
        <v/>
      </c>
      <c r="P77" s="18">
        <f>IF(OR($J77="",$N77="",$G77=""),"",$J77*($N77/100)*$G77*10)</f>
        <v/>
      </c>
      <c r="Q77" s="18">
        <f>IF(OR($J77="",$N77="",$O77=""),"",$J77*($N77/100)*$O77*10)</f>
        <v/>
      </c>
      <c r="R77" s="18">
        <f>IF(OR(NOT(ISNUMBER($P77)),NOT(ISNUMBER($G77)),$G77=0),0,$P77/$G77)</f>
        <v/>
      </c>
      <c r="S77" s="18">
        <f>IF(OR($B77="",NOT(ISNUMBER($F77))),"",SUMIFS('3. Peat Data'!$P$5:$P$604,'3. Peat Data'!$B$5:$B$604,$B77,'3. Peat Data'!$F$5:$F$604,"&lt;="&amp;$F77))</f>
        <v/>
      </c>
      <c r="T77" s="18">
        <f>IF(AND($A77="",$B77="",$E77=""),"",IF(AND($B77&lt;&gt;"",COUNTIF('2. Core Log'!$A$5:$A$124,$B77)=0),"Core ID not in Core Log. ","")&amp;IF(AND($A77&lt;&gt;"",COUNTIF('1. Plot &amp; Site Log'!$A$5:$A$64,$A77)=0),"Plot ID not in Plot &amp; Site Log. ","")&amp;IF(AND(ISNUMBER($E77),ISNUMBER($F77),$F77&lt;=$E77),"Bottom depth is not below top depth. ","")&amp;IF($I77="","Say which bulk-density basis the lab reported. ","")&amp;IF(AND(ISNUMBER($J77),OR($J77&lt;QC_BD_MIN,$J77&gt;QC_BD_MAX)),"Bulk density outside "&amp;QC_BD_MIN&amp;"–"&amp;QC_BD_MAX&amp;" g/cm³ for peat. Above the top of that range usually means the mineral contact has been passed. ","")&amp;IF(AND(ISNUMBER($N77),$N77&gt;QC_CARBON_PCT_MAX),"Carbon above "&amp;QC_CARBON_PCT_MAX&amp;"% — check units; this may be organic matter rather than carbon. ","")&amp;IF(AND($L77&lt;&gt;"",$M77&lt;&gt;""),"Both LOI and measured carbon given — the measured value is used. ","")&amp;IF(AND($M77="",$L77&lt;&gt;"",OM_FACTOR_IS_LOCAL&lt;&gt;"Yes"),"Carbon derived from LOI using the default factor of "&amp;CARBON_FRACTION_OM&amp;", which has not been calibrated locally. See R1. Reference. ","")&amp;IF(AND(ISNUMBER($O77),$O77=0,ISNUMBER($E77)),"Section lies entirely below the reference depth — it counts to the full-profile stock only. ",""))</f>
        <v/>
      </c>
      <c r="U77" s="14" t="n"/>
    </row>
    <row r="78">
      <c r="A78" s="14" t="n"/>
      <c r="B78" s="14" t="n"/>
      <c r="C78" s="14" t="n"/>
      <c r="D78" s="14" t="n"/>
      <c r="E78" s="14" t="n"/>
      <c r="F78" s="14" t="n"/>
      <c r="G78" s="14">
        <f>IF(OR($E78="",$F78=""),"",$F78-$E78)</f>
        <v/>
      </c>
      <c r="H78" s="14" t="n"/>
      <c r="I78" s="14" t="n"/>
      <c r="J78" s="19" t="n"/>
      <c r="K78" s="19" t="n"/>
      <c r="L78" s="19" t="n"/>
      <c r="M78" s="19" t="n"/>
      <c r="N78" s="18">
        <f>IF($M78&lt;&gt;"",$M78,IF($L78&lt;&gt;"",$L78*CARBON_FRACTION_OM,""))</f>
        <v/>
      </c>
      <c r="O78" s="18">
        <f>IF(OR($E78="",$F78=""),"",MAX(0,MIN($F78,REFERENCE_DEPTH_CM)-MIN($E78,REFERENCE_DEPTH_CM)))</f>
        <v/>
      </c>
      <c r="P78" s="18">
        <f>IF(OR($J78="",$N78="",$G78=""),"",$J78*($N78/100)*$G78*10)</f>
        <v/>
      </c>
      <c r="Q78" s="18">
        <f>IF(OR($J78="",$N78="",$O78=""),"",$J78*($N78/100)*$O78*10)</f>
        <v/>
      </c>
      <c r="R78" s="18">
        <f>IF(OR(NOT(ISNUMBER($P78)),NOT(ISNUMBER($G78)),$G78=0),0,$P78/$G78)</f>
        <v/>
      </c>
      <c r="S78" s="18">
        <f>IF(OR($B78="",NOT(ISNUMBER($F78))),"",SUMIFS('3. Peat Data'!$P$5:$P$604,'3. Peat Data'!$B$5:$B$604,$B78,'3. Peat Data'!$F$5:$F$604,"&lt;="&amp;$F78))</f>
        <v/>
      </c>
      <c r="T78" s="18">
        <f>IF(AND($A78="",$B78="",$E78=""),"",IF(AND($B78&lt;&gt;"",COUNTIF('2. Core Log'!$A$5:$A$124,$B78)=0),"Core ID not in Core Log. ","")&amp;IF(AND($A78&lt;&gt;"",COUNTIF('1. Plot &amp; Site Log'!$A$5:$A$64,$A78)=0),"Plot ID not in Plot &amp; Site Log. ","")&amp;IF(AND(ISNUMBER($E78),ISNUMBER($F78),$F78&lt;=$E78),"Bottom depth is not below top depth. ","")&amp;IF($I78="","Say which bulk-density basis the lab reported. ","")&amp;IF(AND(ISNUMBER($J78),OR($J78&lt;QC_BD_MIN,$J78&gt;QC_BD_MAX)),"Bulk density outside "&amp;QC_BD_MIN&amp;"–"&amp;QC_BD_MAX&amp;" g/cm³ for peat. Above the top of that range usually means the mineral contact has been passed. ","")&amp;IF(AND(ISNUMBER($N78),$N78&gt;QC_CARBON_PCT_MAX),"Carbon above "&amp;QC_CARBON_PCT_MAX&amp;"% — check units; this may be organic matter rather than carbon. ","")&amp;IF(AND($L78&lt;&gt;"",$M78&lt;&gt;""),"Both LOI and measured carbon given — the measured value is used. ","")&amp;IF(AND($M78="",$L78&lt;&gt;"",OM_FACTOR_IS_LOCAL&lt;&gt;"Yes"),"Carbon derived from LOI using the default factor of "&amp;CARBON_FRACTION_OM&amp;", which has not been calibrated locally. See R1. Reference. ","")&amp;IF(AND(ISNUMBER($O78),$O78=0,ISNUMBER($E78)),"Section lies entirely below the reference depth — it counts to the full-profile stock only. ",""))</f>
        <v/>
      </c>
      <c r="U78" s="14" t="n"/>
    </row>
    <row r="79">
      <c r="A79" s="14" t="n"/>
      <c r="B79" s="14" t="n"/>
      <c r="C79" s="14" t="n"/>
      <c r="D79" s="14" t="n"/>
      <c r="E79" s="14" t="n"/>
      <c r="F79" s="14" t="n"/>
      <c r="G79" s="14">
        <f>IF(OR($E79="",$F79=""),"",$F79-$E79)</f>
        <v/>
      </c>
      <c r="H79" s="14" t="n"/>
      <c r="I79" s="14" t="n"/>
      <c r="J79" s="19" t="n"/>
      <c r="K79" s="19" t="n"/>
      <c r="L79" s="19" t="n"/>
      <c r="M79" s="19" t="n"/>
      <c r="N79" s="18">
        <f>IF($M79&lt;&gt;"",$M79,IF($L79&lt;&gt;"",$L79*CARBON_FRACTION_OM,""))</f>
        <v/>
      </c>
      <c r="O79" s="18">
        <f>IF(OR($E79="",$F79=""),"",MAX(0,MIN($F79,REFERENCE_DEPTH_CM)-MIN($E79,REFERENCE_DEPTH_CM)))</f>
        <v/>
      </c>
      <c r="P79" s="18">
        <f>IF(OR($J79="",$N79="",$G79=""),"",$J79*($N79/100)*$G79*10)</f>
        <v/>
      </c>
      <c r="Q79" s="18">
        <f>IF(OR($J79="",$N79="",$O79=""),"",$J79*($N79/100)*$O79*10)</f>
        <v/>
      </c>
      <c r="R79" s="18">
        <f>IF(OR(NOT(ISNUMBER($P79)),NOT(ISNUMBER($G79)),$G79=0),0,$P79/$G79)</f>
        <v/>
      </c>
      <c r="S79" s="18">
        <f>IF(OR($B79="",NOT(ISNUMBER($F79))),"",SUMIFS('3. Peat Data'!$P$5:$P$604,'3. Peat Data'!$B$5:$B$604,$B79,'3. Peat Data'!$F$5:$F$604,"&lt;="&amp;$F79))</f>
        <v/>
      </c>
      <c r="T79" s="18">
        <f>IF(AND($A79="",$B79="",$E79=""),"",IF(AND($B79&lt;&gt;"",COUNTIF('2. Core Log'!$A$5:$A$124,$B79)=0),"Core ID not in Core Log. ","")&amp;IF(AND($A79&lt;&gt;"",COUNTIF('1. Plot &amp; Site Log'!$A$5:$A$64,$A79)=0),"Plot ID not in Plot &amp; Site Log. ","")&amp;IF(AND(ISNUMBER($E79),ISNUMBER($F79),$F79&lt;=$E79),"Bottom depth is not below top depth. ","")&amp;IF($I79="","Say which bulk-density basis the lab reported. ","")&amp;IF(AND(ISNUMBER($J79),OR($J79&lt;QC_BD_MIN,$J79&gt;QC_BD_MAX)),"Bulk density outside "&amp;QC_BD_MIN&amp;"–"&amp;QC_BD_MAX&amp;" g/cm³ for peat. Above the top of that range usually means the mineral contact has been passed. ","")&amp;IF(AND(ISNUMBER($N79),$N79&gt;QC_CARBON_PCT_MAX),"Carbon above "&amp;QC_CARBON_PCT_MAX&amp;"% — check units; this may be organic matter rather than carbon. ","")&amp;IF(AND($L79&lt;&gt;"",$M79&lt;&gt;""),"Both LOI and measured carbon given — the measured value is used. ","")&amp;IF(AND($M79="",$L79&lt;&gt;"",OM_FACTOR_IS_LOCAL&lt;&gt;"Yes"),"Carbon derived from LOI using the default factor of "&amp;CARBON_FRACTION_OM&amp;", which has not been calibrated locally. See R1. Reference. ","")&amp;IF(AND(ISNUMBER($O79),$O79=0,ISNUMBER($E79)),"Section lies entirely below the reference depth — it counts to the full-profile stock only. ",""))</f>
        <v/>
      </c>
      <c r="U79" s="14" t="n"/>
    </row>
    <row r="80">
      <c r="A80" s="14" t="n"/>
      <c r="B80" s="14" t="n"/>
      <c r="C80" s="14" t="n"/>
      <c r="D80" s="14" t="n"/>
      <c r="E80" s="14" t="n"/>
      <c r="F80" s="14" t="n"/>
      <c r="G80" s="14">
        <f>IF(OR($E80="",$F80=""),"",$F80-$E80)</f>
        <v/>
      </c>
      <c r="H80" s="14" t="n"/>
      <c r="I80" s="14" t="n"/>
      <c r="J80" s="19" t="n"/>
      <c r="K80" s="19" t="n"/>
      <c r="L80" s="19" t="n"/>
      <c r="M80" s="19" t="n"/>
      <c r="N80" s="18">
        <f>IF($M80&lt;&gt;"",$M80,IF($L80&lt;&gt;"",$L80*CARBON_FRACTION_OM,""))</f>
        <v/>
      </c>
      <c r="O80" s="18">
        <f>IF(OR($E80="",$F80=""),"",MAX(0,MIN($F80,REFERENCE_DEPTH_CM)-MIN($E80,REFERENCE_DEPTH_CM)))</f>
        <v/>
      </c>
      <c r="P80" s="18">
        <f>IF(OR($J80="",$N80="",$G80=""),"",$J80*($N80/100)*$G80*10)</f>
        <v/>
      </c>
      <c r="Q80" s="18">
        <f>IF(OR($J80="",$N80="",$O80=""),"",$J80*($N80/100)*$O80*10)</f>
        <v/>
      </c>
      <c r="R80" s="18">
        <f>IF(OR(NOT(ISNUMBER($P80)),NOT(ISNUMBER($G80)),$G80=0),0,$P80/$G80)</f>
        <v/>
      </c>
      <c r="S80" s="18">
        <f>IF(OR($B80="",NOT(ISNUMBER($F80))),"",SUMIFS('3. Peat Data'!$P$5:$P$604,'3. Peat Data'!$B$5:$B$604,$B80,'3. Peat Data'!$F$5:$F$604,"&lt;="&amp;$F80))</f>
        <v/>
      </c>
      <c r="T80" s="18">
        <f>IF(AND($A80="",$B80="",$E80=""),"",IF(AND($B80&lt;&gt;"",COUNTIF('2. Core Log'!$A$5:$A$124,$B80)=0),"Core ID not in Core Log. ","")&amp;IF(AND($A80&lt;&gt;"",COUNTIF('1. Plot &amp; Site Log'!$A$5:$A$64,$A80)=0),"Plot ID not in Plot &amp; Site Log. ","")&amp;IF(AND(ISNUMBER($E80),ISNUMBER($F80),$F80&lt;=$E80),"Bottom depth is not below top depth. ","")&amp;IF($I80="","Say which bulk-density basis the lab reported. ","")&amp;IF(AND(ISNUMBER($J80),OR($J80&lt;QC_BD_MIN,$J80&gt;QC_BD_MAX)),"Bulk density outside "&amp;QC_BD_MIN&amp;"–"&amp;QC_BD_MAX&amp;" g/cm³ for peat. Above the top of that range usually means the mineral contact has been passed. ","")&amp;IF(AND(ISNUMBER($N80),$N80&gt;QC_CARBON_PCT_MAX),"Carbon above "&amp;QC_CARBON_PCT_MAX&amp;"% — check units; this may be organic matter rather than carbon. ","")&amp;IF(AND($L80&lt;&gt;"",$M80&lt;&gt;""),"Both LOI and measured carbon given — the measured value is used. ","")&amp;IF(AND($M80="",$L80&lt;&gt;"",OM_FACTOR_IS_LOCAL&lt;&gt;"Yes"),"Carbon derived from LOI using the default factor of "&amp;CARBON_FRACTION_OM&amp;", which has not been calibrated locally. See R1. Reference. ","")&amp;IF(AND(ISNUMBER($O80),$O80=0,ISNUMBER($E80)),"Section lies entirely below the reference depth — it counts to the full-profile stock only. ",""))</f>
        <v/>
      </c>
      <c r="U80" s="14" t="n"/>
    </row>
    <row r="81">
      <c r="A81" s="14" t="n"/>
      <c r="B81" s="14" t="n"/>
      <c r="C81" s="14" t="n"/>
      <c r="D81" s="14" t="n"/>
      <c r="E81" s="14" t="n"/>
      <c r="F81" s="14" t="n"/>
      <c r="G81" s="14">
        <f>IF(OR($E81="",$F81=""),"",$F81-$E81)</f>
        <v/>
      </c>
      <c r="H81" s="14" t="n"/>
      <c r="I81" s="14" t="n"/>
      <c r="J81" s="19" t="n"/>
      <c r="K81" s="19" t="n"/>
      <c r="L81" s="19" t="n"/>
      <c r="M81" s="19" t="n"/>
      <c r="N81" s="18">
        <f>IF($M81&lt;&gt;"",$M81,IF($L81&lt;&gt;"",$L81*CARBON_FRACTION_OM,""))</f>
        <v/>
      </c>
      <c r="O81" s="18">
        <f>IF(OR($E81="",$F81=""),"",MAX(0,MIN($F81,REFERENCE_DEPTH_CM)-MIN($E81,REFERENCE_DEPTH_CM)))</f>
        <v/>
      </c>
      <c r="P81" s="18">
        <f>IF(OR($J81="",$N81="",$G81=""),"",$J81*($N81/100)*$G81*10)</f>
        <v/>
      </c>
      <c r="Q81" s="18">
        <f>IF(OR($J81="",$N81="",$O81=""),"",$J81*($N81/100)*$O81*10)</f>
        <v/>
      </c>
      <c r="R81" s="18">
        <f>IF(OR(NOT(ISNUMBER($P81)),NOT(ISNUMBER($G81)),$G81=0),0,$P81/$G81)</f>
        <v/>
      </c>
      <c r="S81" s="18">
        <f>IF(OR($B81="",NOT(ISNUMBER($F81))),"",SUMIFS('3. Peat Data'!$P$5:$P$604,'3. Peat Data'!$B$5:$B$604,$B81,'3. Peat Data'!$F$5:$F$604,"&lt;="&amp;$F81))</f>
        <v/>
      </c>
      <c r="T81" s="18">
        <f>IF(AND($A81="",$B81="",$E81=""),"",IF(AND($B81&lt;&gt;"",COUNTIF('2. Core Log'!$A$5:$A$124,$B81)=0),"Core ID not in Core Log. ","")&amp;IF(AND($A81&lt;&gt;"",COUNTIF('1. Plot &amp; Site Log'!$A$5:$A$64,$A81)=0),"Plot ID not in Plot &amp; Site Log. ","")&amp;IF(AND(ISNUMBER($E81),ISNUMBER($F81),$F81&lt;=$E81),"Bottom depth is not below top depth. ","")&amp;IF($I81="","Say which bulk-density basis the lab reported. ","")&amp;IF(AND(ISNUMBER($J81),OR($J81&lt;QC_BD_MIN,$J81&gt;QC_BD_MAX)),"Bulk density outside "&amp;QC_BD_MIN&amp;"–"&amp;QC_BD_MAX&amp;" g/cm³ for peat. Above the top of that range usually means the mineral contact has been passed. ","")&amp;IF(AND(ISNUMBER($N81),$N81&gt;QC_CARBON_PCT_MAX),"Carbon above "&amp;QC_CARBON_PCT_MAX&amp;"% — check units; this may be organic matter rather than carbon. ","")&amp;IF(AND($L81&lt;&gt;"",$M81&lt;&gt;""),"Both LOI and measured carbon given — the measured value is used. ","")&amp;IF(AND($M81="",$L81&lt;&gt;"",OM_FACTOR_IS_LOCAL&lt;&gt;"Yes"),"Carbon derived from LOI using the default factor of "&amp;CARBON_FRACTION_OM&amp;", which has not been calibrated locally. See R1. Reference. ","")&amp;IF(AND(ISNUMBER($O81),$O81=0,ISNUMBER($E81)),"Section lies entirely below the reference depth — it counts to the full-profile stock only. ",""))</f>
        <v/>
      </c>
      <c r="U81" s="14" t="n"/>
    </row>
    <row r="82">
      <c r="A82" s="14" t="n"/>
      <c r="B82" s="14" t="n"/>
      <c r="C82" s="14" t="n"/>
      <c r="D82" s="14" t="n"/>
      <c r="E82" s="14" t="n"/>
      <c r="F82" s="14" t="n"/>
      <c r="G82" s="14">
        <f>IF(OR($E82="",$F82=""),"",$F82-$E82)</f>
        <v/>
      </c>
      <c r="H82" s="14" t="n"/>
      <c r="I82" s="14" t="n"/>
      <c r="J82" s="19" t="n"/>
      <c r="K82" s="19" t="n"/>
      <c r="L82" s="19" t="n"/>
      <c r="M82" s="19" t="n"/>
      <c r="N82" s="18">
        <f>IF($M82&lt;&gt;"",$M82,IF($L82&lt;&gt;"",$L82*CARBON_FRACTION_OM,""))</f>
        <v/>
      </c>
      <c r="O82" s="18">
        <f>IF(OR($E82="",$F82=""),"",MAX(0,MIN($F82,REFERENCE_DEPTH_CM)-MIN($E82,REFERENCE_DEPTH_CM)))</f>
        <v/>
      </c>
      <c r="P82" s="18">
        <f>IF(OR($J82="",$N82="",$G82=""),"",$J82*($N82/100)*$G82*10)</f>
        <v/>
      </c>
      <c r="Q82" s="18">
        <f>IF(OR($J82="",$N82="",$O82=""),"",$J82*($N82/100)*$O82*10)</f>
        <v/>
      </c>
      <c r="R82" s="18">
        <f>IF(OR(NOT(ISNUMBER($P82)),NOT(ISNUMBER($G82)),$G82=0),0,$P82/$G82)</f>
        <v/>
      </c>
      <c r="S82" s="18">
        <f>IF(OR($B82="",NOT(ISNUMBER($F82))),"",SUMIFS('3. Peat Data'!$P$5:$P$604,'3. Peat Data'!$B$5:$B$604,$B82,'3. Peat Data'!$F$5:$F$604,"&lt;="&amp;$F82))</f>
        <v/>
      </c>
      <c r="T82" s="18">
        <f>IF(AND($A82="",$B82="",$E82=""),"",IF(AND($B82&lt;&gt;"",COUNTIF('2. Core Log'!$A$5:$A$124,$B82)=0),"Core ID not in Core Log. ","")&amp;IF(AND($A82&lt;&gt;"",COUNTIF('1. Plot &amp; Site Log'!$A$5:$A$64,$A82)=0),"Plot ID not in Plot &amp; Site Log. ","")&amp;IF(AND(ISNUMBER($E82),ISNUMBER($F82),$F82&lt;=$E82),"Bottom depth is not below top depth. ","")&amp;IF($I82="","Say which bulk-density basis the lab reported. ","")&amp;IF(AND(ISNUMBER($J82),OR($J82&lt;QC_BD_MIN,$J82&gt;QC_BD_MAX)),"Bulk density outside "&amp;QC_BD_MIN&amp;"–"&amp;QC_BD_MAX&amp;" g/cm³ for peat. Above the top of that range usually means the mineral contact has been passed. ","")&amp;IF(AND(ISNUMBER($N82),$N82&gt;QC_CARBON_PCT_MAX),"Carbon above "&amp;QC_CARBON_PCT_MAX&amp;"% — check units; this may be organic matter rather than carbon. ","")&amp;IF(AND($L82&lt;&gt;"",$M82&lt;&gt;""),"Both LOI and measured carbon given — the measured value is used. ","")&amp;IF(AND($M82="",$L82&lt;&gt;"",OM_FACTOR_IS_LOCAL&lt;&gt;"Yes"),"Carbon derived from LOI using the default factor of "&amp;CARBON_FRACTION_OM&amp;", which has not been calibrated locally. See R1. Reference. ","")&amp;IF(AND(ISNUMBER($O82),$O82=0,ISNUMBER($E82)),"Section lies entirely below the reference depth — it counts to the full-profile stock only. ",""))</f>
        <v/>
      </c>
      <c r="U82" s="14" t="n"/>
    </row>
    <row r="83">
      <c r="A83" s="14" t="n"/>
      <c r="B83" s="14" t="n"/>
      <c r="C83" s="14" t="n"/>
      <c r="D83" s="14" t="n"/>
      <c r="E83" s="14" t="n"/>
      <c r="F83" s="14" t="n"/>
      <c r="G83" s="14">
        <f>IF(OR($E83="",$F83=""),"",$F83-$E83)</f>
        <v/>
      </c>
      <c r="H83" s="14" t="n"/>
      <c r="I83" s="14" t="n"/>
      <c r="J83" s="19" t="n"/>
      <c r="K83" s="19" t="n"/>
      <c r="L83" s="19" t="n"/>
      <c r="M83" s="19" t="n"/>
      <c r="N83" s="18">
        <f>IF($M83&lt;&gt;"",$M83,IF($L83&lt;&gt;"",$L83*CARBON_FRACTION_OM,""))</f>
        <v/>
      </c>
      <c r="O83" s="18">
        <f>IF(OR($E83="",$F83=""),"",MAX(0,MIN($F83,REFERENCE_DEPTH_CM)-MIN($E83,REFERENCE_DEPTH_CM)))</f>
        <v/>
      </c>
      <c r="P83" s="18">
        <f>IF(OR($J83="",$N83="",$G83=""),"",$J83*($N83/100)*$G83*10)</f>
        <v/>
      </c>
      <c r="Q83" s="18">
        <f>IF(OR($J83="",$N83="",$O83=""),"",$J83*($N83/100)*$O83*10)</f>
        <v/>
      </c>
      <c r="R83" s="18">
        <f>IF(OR(NOT(ISNUMBER($P83)),NOT(ISNUMBER($G83)),$G83=0),0,$P83/$G83)</f>
        <v/>
      </c>
      <c r="S83" s="18">
        <f>IF(OR($B83="",NOT(ISNUMBER($F83))),"",SUMIFS('3. Peat Data'!$P$5:$P$604,'3. Peat Data'!$B$5:$B$604,$B83,'3. Peat Data'!$F$5:$F$604,"&lt;="&amp;$F83))</f>
        <v/>
      </c>
      <c r="T83" s="18">
        <f>IF(AND($A83="",$B83="",$E83=""),"",IF(AND($B83&lt;&gt;"",COUNTIF('2. Core Log'!$A$5:$A$124,$B83)=0),"Core ID not in Core Log. ","")&amp;IF(AND($A83&lt;&gt;"",COUNTIF('1. Plot &amp; Site Log'!$A$5:$A$64,$A83)=0),"Plot ID not in Plot &amp; Site Log. ","")&amp;IF(AND(ISNUMBER($E83),ISNUMBER($F83),$F83&lt;=$E83),"Bottom depth is not below top depth. ","")&amp;IF($I83="","Say which bulk-density basis the lab reported. ","")&amp;IF(AND(ISNUMBER($J83),OR($J83&lt;QC_BD_MIN,$J83&gt;QC_BD_MAX)),"Bulk density outside "&amp;QC_BD_MIN&amp;"–"&amp;QC_BD_MAX&amp;" g/cm³ for peat. Above the top of that range usually means the mineral contact has been passed. ","")&amp;IF(AND(ISNUMBER($N83),$N83&gt;QC_CARBON_PCT_MAX),"Carbon above "&amp;QC_CARBON_PCT_MAX&amp;"% — check units; this may be organic matter rather than carbon. ","")&amp;IF(AND($L83&lt;&gt;"",$M83&lt;&gt;""),"Both LOI and measured carbon given — the measured value is used. ","")&amp;IF(AND($M83="",$L83&lt;&gt;"",OM_FACTOR_IS_LOCAL&lt;&gt;"Yes"),"Carbon derived from LOI using the default factor of "&amp;CARBON_FRACTION_OM&amp;", which has not been calibrated locally. See R1. Reference. ","")&amp;IF(AND(ISNUMBER($O83),$O83=0,ISNUMBER($E83)),"Section lies entirely below the reference depth — it counts to the full-profile stock only. ",""))</f>
        <v/>
      </c>
      <c r="U83" s="14" t="n"/>
    </row>
    <row r="84">
      <c r="A84" s="14" t="n"/>
      <c r="B84" s="14" t="n"/>
      <c r="C84" s="14" t="n"/>
      <c r="D84" s="14" t="n"/>
      <c r="E84" s="14" t="n"/>
      <c r="F84" s="14" t="n"/>
      <c r="G84" s="14">
        <f>IF(OR($E84="",$F84=""),"",$F84-$E84)</f>
        <v/>
      </c>
      <c r="H84" s="14" t="n"/>
      <c r="I84" s="14" t="n"/>
      <c r="J84" s="19" t="n"/>
      <c r="K84" s="19" t="n"/>
      <c r="L84" s="19" t="n"/>
      <c r="M84" s="19" t="n"/>
      <c r="N84" s="18">
        <f>IF($M84&lt;&gt;"",$M84,IF($L84&lt;&gt;"",$L84*CARBON_FRACTION_OM,""))</f>
        <v/>
      </c>
      <c r="O84" s="18">
        <f>IF(OR($E84="",$F84=""),"",MAX(0,MIN($F84,REFERENCE_DEPTH_CM)-MIN($E84,REFERENCE_DEPTH_CM)))</f>
        <v/>
      </c>
      <c r="P84" s="18">
        <f>IF(OR($J84="",$N84="",$G84=""),"",$J84*($N84/100)*$G84*10)</f>
        <v/>
      </c>
      <c r="Q84" s="18">
        <f>IF(OR($J84="",$N84="",$O84=""),"",$J84*($N84/100)*$O84*10)</f>
        <v/>
      </c>
      <c r="R84" s="18">
        <f>IF(OR(NOT(ISNUMBER($P84)),NOT(ISNUMBER($G84)),$G84=0),0,$P84/$G84)</f>
        <v/>
      </c>
      <c r="S84" s="18">
        <f>IF(OR($B84="",NOT(ISNUMBER($F84))),"",SUMIFS('3. Peat Data'!$P$5:$P$604,'3. Peat Data'!$B$5:$B$604,$B84,'3. Peat Data'!$F$5:$F$604,"&lt;="&amp;$F84))</f>
        <v/>
      </c>
      <c r="T84" s="18">
        <f>IF(AND($A84="",$B84="",$E84=""),"",IF(AND($B84&lt;&gt;"",COUNTIF('2. Core Log'!$A$5:$A$124,$B84)=0),"Core ID not in Core Log. ","")&amp;IF(AND($A84&lt;&gt;"",COUNTIF('1. Plot &amp; Site Log'!$A$5:$A$64,$A84)=0),"Plot ID not in Plot &amp; Site Log. ","")&amp;IF(AND(ISNUMBER($E84),ISNUMBER($F84),$F84&lt;=$E84),"Bottom depth is not below top depth. ","")&amp;IF($I84="","Say which bulk-density basis the lab reported. ","")&amp;IF(AND(ISNUMBER($J84),OR($J84&lt;QC_BD_MIN,$J84&gt;QC_BD_MAX)),"Bulk density outside "&amp;QC_BD_MIN&amp;"–"&amp;QC_BD_MAX&amp;" g/cm³ for peat. Above the top of that range usually means the mineral contact has been passed. ","")&amp;IF(AND(ISNUMBER($N84),$N84&gt;QC_CARBON_PCT_MAX),"Carbon above "&amp;QC_CARBON_PCT_MAX&amp;"% — check units; this may be organic matter rather than carbon. ","")&amp;IF(AND($L84&lt;&gt;"",$M84&lt;&gt;""),"Both LOI and measured carbon given — the measured value is used. ","")&amp;IF(AND($M84="",$L84&lt;&gt;"",OM_FACTOR_IS_LOCAL&lt;&gt;"Yes"),"Carbon derived from LOI using the default factor of "&amp;CARBON_FRACTION_OM&amp;", which has not been calibrated locally. See R1. Reference. ","")&amp;IF(AND(ISNUMBER($O84),$O84=0,ISNUMBER($E84)),"Section lies entirely below the reference depth — it counts to the full-profile stock only. ",""))</f>
        <v/>
      </c>
      <c r="U84" s="14" t="n"/>
    </row>
    <row r="85">
      <c r="A85" s="14" t="n"/>
      <c r="B85" s="14" t="n"/>
      <c r="C85" s="14" t="n"/>
      <c r="D85" s="14" t="n"/>
      <c r="E85" s="14" t="n"/>
      <c r="F85" s="14" t="n"/>
      <c r="G85" s="14">
        <f>IF(OR($E85="",$F85=""),"",$F85-$E85)</f>
        <v/>
      </c>
      <c r="H85" s="14" t="n"/>
      <c r="I85" s="14" t="n"/>
      <c r="J85" s="19" t="n"/>
      <c r="K85" s="19" t="n"/>
      <c r="L85" s="19" t="n"/>
      <c r="M85" s="19" t="n"/>
      <c r="N85" s="18">
        <f>IF($M85&lt;&gt;"",$M85,IF($L85&lt;&gt;"",$L85*CARBON_FRACTION_OM,""))</f>
        <v/>
      </c>
      <c r="O85" s="18">
        <f>IF(OR($E85="",$F85=""),"",MAX(0,MIN($F85,REFERENCE_DEPTH_CM)-MIN($E85,REFERENCE_DEPTH_CM)))</f>
        <v/>
      </c>
      <c r="P85" s="18">
        <f>IF(OR($J85="",$N85="",$G85=""),"",$J85*($N85/100)*$G85*10)</f>
        <v/>
      </c>
      <c r="Q85" s="18">
        <f>IF(OR($J85="",$N85="",$O85=""),"",$J85*($N85/100)*$O85*10)</f>
        <v/>
      </c>
      <c r="R85" s="18">
        <f>IF(OR(NOT(ISNUMBER($P85)),NOT(ISNUMBER($G85)),$G85=0),0,$P85/$G85)</f>
        <v/>
      </c>
      <c r="S85" s="18">
        <f>IF(OR($B85="",NOT(ISNUMBER($F85))),"",SUMIFS('3. Peat Data'!$P$5:$P$604,'3. Peat Data'!$B$5:$B$604,$B85,'3. Peat Data'!$F$5:$F$604,"&lt;="&amp;$F85))</f>
        <v/>
      </c>
      <c r="T85" s="18">
        <f>IF(AND($A85="",$B85="",$E85=""),"",IF(AND($B85&lt;&gt;"",COUNTIF('2. Core Log'!$A$5:$A$124,$B85)=0),"Core ID not in Core Log. ","")&amp;IF(AND($A85&lt;&gt;"",COUNTIF('1. Plot &amp; Site Log'!$A$5:$A$64,$A85)=0),"Plot ID not in Plot &amp; Site Log. ","")&amp;IF(AND(ISNUMBER($E85),ISNUMBER($F85),$F85&lt;=$E85),"Bottom depth is not below top depth. ","")&amp;IF($I85="","Say which bulk-density basis the lab reported. ","")&amp;IF(AND(ISNUMBER($J85),OR($J85&lt;QC_BD_MIN,$J85&gt;QC_BD_MAX)),"Bulk density outside "&amp;QC_BD_MIN&amp;"–"&amp;QC_BD_MAX&amp;" g/cm³ for peat. Above the top of that range usually means the mineral contact has been passed. ","")&amp;IF(AND(ISNUMBER($N85),$N85&gt;QC_CARBON_PCT_MAX),"Carbon above "&amp;QC_CARBON_PCT_MAX&amp;"% — check units; this may be organic matter rather than carbon. ","")&amp;IF(AND($L85&lt;&gt;"",$M85&lt;&gt;""),"Both LOI and measured carbon given — the measured value is used. ","")&amp;IF(AND($M85="",$L85&lt;&gt;"",OM_FACTOR_IS_LOCAL&lt;&gt;"Yes"),"Carbon derived from LOI using the default factor of "&amp;CARBON_FRACTION_OM&amp;", which has not been calibrated locally. See R1. Reference. ","")&amp;IF(AND(ISNUMBER($O85),$O85=0,ISNUMBER($E85)),"Section lies entirely below the reference depth — it counts to the full-profile stock only. ",""))</f>
        <v/>
      </c>
      <c r="U85" s="14" t="n"/>
    </row>
    <row r="86">
      <c r="A86" s="14" t="n"/>
      <c r="B86" s="14" t="n"/>
      <c r="C86" s="14" t="n"/>
      <c r="D86" s="14" t="n"/>
      <c r="E86" s="14" t="n"/>
      <c r="F86" s="14" t="n"/>
      <c r="G86" s="14">
        <f>IF(OR($E86="",$F86=""),"",$F86-$E86)</f>
        <v/>
      </c>
      <c r="H86" s="14" t="n"/>
      <c r="I86" s="14" t="n"/>
      <c r="J86" s="19" t="n"/>
      <c r="K86" s="19" t="n"/>
      <c r="L86" s="19" t="n"/>
      <c r="M86" s="19" t="n"/>
      <c r="N86" s="18">
        <f>IF($M86&lt;&gt;"",$M86,IF($L86&lt;&gt;"",$L86*CARBON_FRACTION_OM,""))</f>
        <v/>
      </c>
      <c r="O86" s="18">
        <f>IF(OR($E86="",$F86=""),"",MAX(0,MIN($F86,REFERENCE_DEPTH_CM)-MIN($E86,REFERENCE_DEPTH_CM)))</f>
        <v/>
      </c>
      <c r="P86" s="18">
        <f>IF(OR($J86="",$N86="",$G86=""),"",$J86*($N86/100)*$G86*10)</f>
        <v/>
      </c>
      <c r="Q86" s="18">
        <f>IF(OR($J86="",$N86="",$O86=""),"",$J86*($N86/100)*$O86*10)</f>
        <v/>
      </c>
      <c r="R86" s="18">
        <f>IF(OR(NOT(ISNUMBER($P86)),NOT(ISNUMBER($G86)),$G86=0),0,$P86/$G86)</f>
        <v/>
      </c>
      <c r="S86" s="18">
        <f>IF(OR($B86="",NOT(ISNUMBER($F86))),"",SUMIFS('3. Peat Data'!$P$5:$P$604,'3. Peat Data'!$B$5:$B$604,$B86,'3. Peat Data'!$F$5:$F$604,"&lt;="&amp;$F86))</f>
        <v/>
      </c>
      <c r="T86" s="18">
        <f>IF(AND($A86="",$B86="",$E86=""),"",IF(AND($B86&lt;&gt;"",COUNTIF('2. Core Log'!$A$5:$A$124,$B86)=0),"Core ID not in Core Log. ","")&amp;IF(AND($A86&lt;&gt;"",COUNTIF('1. Plot &amp; Site Log'!$A$5:$A$64,$A86)=0),"Plot ID not in Plot &amp; Site Log. ","")&amp;IF(AND(ISNUMBER($E86),ISNUMBER($F86),$F86&lt;=$E86),"Bottom depth is not below top depth. ","")&amp;IF($I86="","Say which bulk-density basis the lab reported. ","")&amp;IF(AND(ISNUMBER($J86),OR($J86&lt;QC_BD_MIN,$J86&gt;QC_BD_MAX)),"Bulk density outside "&amp;QC_BD_MIN&amp;"–"&amp;QC_BD_MAX&amp;" g/cm³ for peat. Above the top of that range usually means the mineral contact has been passed. ","")&amp;IF(AND(ISNUMBER($N86),$N86&gt;QC_CARBON_PCT_MAX),"Carbon above "&amp;QC_CARBON_PCT_MAX&amp;"% — check units; this may be organic matter rather than carbon. ","")&amp;IF(AND($L86&lt;&gt;"",$M86&lt;&gt;""),"Both LOI and measured carbon given — the measured value is used. ","")&amp;IF(AND($M86="",$L86&lt;&gt;"",OM_FACTOR_IS_LOCAL&lt;&gt;"Yes"),"Carbon derived from LOI using the default factor of "&amp;CARBON_FRACTION_OM&amp;", which has not been calibrated locally. See R1. Reference. ","")&amp;IF(AND(ISNUMBER($O86),$O86=0,ISNUMBER($E86)),"Section lies entirely below the reference depth — it counts to the full-profile stock only. ",""))</f>
        <v/>
      </c>
      <c r="U86" s="14" t="n"/>
    </row>
    <row r="87">
      <c r="A87" s="14" t="n"/>
      <c r="B87" s="14" t="n"/>
      <c r="C87" s="14" t="n"/>
      <c r="D87" s="14" t="n"/>
      <c r="E87" s="14" t="n"/>
      <c r="F87" s="14" t="n"/>
      <c r="G87" s="14">
        <f>IF(OR($E87="",$F87=""),"",$F87-$E87)</f>
        <v/>
      </c>
      <c r="H87" s="14" t="n"/>
      <c r="I87" s="14" t="n"/>
      <c r="J87" s="19" t="n"/>
      <c r="K87" s="19" t="n"/>
      <c r="L87" s="19" t="n"/>
      <c r="M87" s="19" t="n"/>
      <c r="N87" s="18">
        <f>IF($M87&lt;&gt;"",$M87,IF($L87&lt;&gt;"",$L87*CARBON_FRACTION_OM,""))</f>
        <v/>
      </c>
      <c r="O87" s="18">
        <f>IF(OR($E87="",$F87=""),"",MAX(0,MIN($F87,REFERENCE_DEPTH_CM)-MIN($E87,REFERENCE_DEPTH_CM)))</f>
        <v/>
      </c>
      <c r="P87" s="18">
        <f>IF(OR($J87="",$N87="",$G87=""),"",$J87*($N87/100)*$G87*10)</f>
        <v/>
      </c>
      <c r="Q87" s="18">
        <f>IF(OR($J87="",$N87="",$O87=""),"",$J87*($N87/100)*$O87*10)</f>
        <v/>
      </c>
      <c r="R87" s="18">
        <f>IF(OR(NOT(ISNUMBER($P87)),NOT(ISNUMBER($G87)),$G87=0),0,$P87/$G87)</f>
        <v/>
      </c>
      <c r="S87" s="18">
        <f>IF(OR($B87="",NOT(ISNUMBER($F87))),"",SUMIFS('3. Peat Data'!$P$5:$P$604,'3. Peat Data'!$B$5:$B$604,$B87,'3. Peat Data'!$F$5:$F$604,"&lt;="&amp;$F87))</f>
        <v/>
      </c>
      <c r="T87" s="18">
        <f>IF(AND($A87="",$B87="",$E87=""),"",IF(AND($B87&lt;&gt;"",COUNTIF('2. Core Log'!$A$5:$A$124,$B87)=0),"Core ID not in Core Log. ","")&amp;IF(AND($A87&lt;&gt;"",COUNTIF('1. Plot &amp; Site Log'!$A$5:$A$64,$A87)=0),"Plot ID not in Plot &amp; Site Log. ","")&amp;IF(AND(ISNUMBER($E87),ISNUMBER($F87),$F87&lt;=$E87),"Bottom depth is not below top depth. ","")&amp;IF($I87="","Say which bulk-density basis the lab reported. ","")&amp;IF(AND(ISNUMBER($J87),OR($J87&lt;QC_BD_MIN,$J87&gt;QC_BD_MAX)),"Bulk density outside "&amp;QC_BD_MIN&amp;"–"&amp;QC_BD_MAX&amp;" g/cm³ for peat. Above the top of that range usually means the mineral contact has been passed. ","")&amp;IF(AND(ISNUMBER($N87),$N87&gt;QC_CARBON_PCT_MAX),"Carbon above "&amp;QC_CARBON_PCT_MAX&amp;"% — check units; this may be organic matter rather than carbon. ","")&amp;IF(AND($L87&lt;&gt;"",$M87&lt;&gt;""),"Both LOI and measured carbon given — the measured value is used. ","")&amp;IF(AND($M87="",$L87&lt;&gt;"",OM_FACTOR_IS_LOCAL&lt;&gt;"Yes"),"Carbon derived from LOI using the default factor of "&amp;CARBON_FRACTION_OM&amp;", which has not been calibrated locally. See R1. Reference. ","")&amp;IF(AND(ISNUMBER($O87),$O87=0,ISNUMBER($E87)),"Section lies entirely below the reference depth — it counts to the full-profile stock only. ",""))</f>
        <v/>
      </c>
      <c r="U87" s="14" t="n"/>
    </row>
    <row r="88">
      <c r="A88" s="14" t="n"/>
      <c r="B88" s="14" t="n"/>
      <c r="C88" s="14" t="n"/>
      <c r="D88" s="14" t="n"/>
      <c r="E88" s="14" t="n"/>
      <c r="F88" s="14" t="n"/>
      <c r="G88" s="14">
        <f>IF(OR($E88="",$F88=""),"",$F88-$E88)</f>
        <v/>
      </c>
      <c r="H88" s="14" t="n"/>
      <c r="I88" s="14" t="n"/>
      <c r="J88" s="19" t="n"/>
      <c r="K88" s="19" t="n"/>
      <c r="L88" s="19" t="n"/>
      <c r="M88" s="19" t="n"/>
      <c r="N88" s="18">
        <f>IF($M88&lt;&gt;"",$M88,IF($L88&lt;&gt;"",$L88*CARBON_FRACTION_OM,""))</f>
        <v/>
      </c>
      <c r="O88" s="18">
        <f>IF(OR($E88="",$F88=""),"",MAX(0,MIN($F88,REFERENCE_DEPTH_CM)-MIN($E88,REFERENCE_DEPTH_CM)))</f>
        <v/>
      </c>
      <c r="P88" s="18">
        <f>IF(OR($J88="",$N88="",$G88=""),"",$J88*($N88/100)*$G88*10)</f>
        <v/>
      </c>
      <c r="Q88" s="18">
        <f>IF(OR($J88="",$N88="",$O88=""),"",$J88*($N88/100)*$O88*10)</f>
        <v/>
      </c>
      <c r="R88" s="18">
        <f>IF(OR(NOT(ISNUMBER($P88)),NOT(ISNUMBER($G88)),$G88=0),0,$P88/$G88)</f>
        <v/>
      </c>
      <c r="S88" s="18">
        <f>IF(OR($B88="",NOT(ISNUMBER($F88))),"",SUMIFS('3. Peat Data'!$P$5:$P$604,'3. Peat Data'!$B$5:$B$604,$B88,'3. Peat Data'!$F$5:$F$604,"&lt;="&amp;$F88))</f>
        <v/>
      </c>
      <c r="T88" s="18">
        <f>IF(AND($A88="",$B88="",$E88=""),"",IF(AND($B88&lt;&gt;"",COUNTIF('2. Core Log'!$A$5:$A$124,$B88)=0),"Core ID not in Core Log. ","")&amp;IF(AND($A88&lt;&gt;"",COUNTIF('1. Plot &amp; Site Log'!$A$5:$A$64,$A88)=0),"Plot ID not in Plot &amp; Site Log. ","")&amp;IF(AND(ISNUMBER($E88),ISNUMBER($F88),$F88&lt;=$E88),"Bottom depth is not below top depth. ","")&amp;IF($I88="","Say which bulk-density basis the lab reported. ","")&amp;IF(AND(ISNUMBER($J88),OR($J88&lt;QC_BD_MIN,$J88&gt;QC_BD_MAX)),"Bulk density outside "&amp;QC_BD_MIN&amp;"–"&amp;QC_BD_MAX&amp;" g/cm³ for peat. Above the top of that range usually means the mineral contact has been passed. ","")&amp;IF(AND(ISNUMBER($N88),$N88&gt;QC_CARBON_PCT_MAX),"Carbon above "&amp;QC_CARBON_PCT_MAX&amp;"% — check units; this may be organic matter rather than carbon. ","")&amp;IF(AND($L88&lt;&gt;"",$M88&lt;&gt;""),"Both LOI and measured carbon given — the measured value is used. ","")&amp;IF(AND($M88="",$L88&lt;&gt;"",OM_FACTOR_IS_LOCAL&lt;&gt;"Yes"),"Carbon derived from LOI using the default factor of "&amp;CARBON_FRACTION_OM&amp;", which has not been calibrated locally. See R1. Reference. ","")&amp;IF(AND(ISNUMBER($O88),$O88=0,ISNUMBER($E88)),"Section lies entirely below the reference depth — it counts to the full-profile stock only. ",""))</f>
        <v/>
      </c>
      <c r="U88" s="14" t="n"/>
    </row>
    <row r="89">
      <c r="A89" s="14" t="n"/>
      <c r="B89" s="14" t="n"/>
      <c r="C89" s="14" t="n"/>
      <c r="D89" s="14" t="n"/>
      <c r="E89" s="14" t="n"/>
      <c r="F89" s="14" t="n"/>
      <c r="G89" s="14">
        <f>IF(OR($E89="",$F89=""),"",$F89-$E89)</f>
        <v/>
      </c>
      <c r="H89" s="14" t="n"/>
      <c r="I89" s="14" t="n"/>
      <c r="J89" s="19" t="n"/>
      <c r="K89" s="19" t="n"/>
      <c r="L89" s="19" t="n"/>
      <c r="M89" s="19" t="n"/>
      <c r="N89" s="18">
        <f>IF($M89&lt;&gt;"",$M89,IF($L89&lt;&gt;"",$L89*CARBON_FRACTION_OM,""))</f>
        <v/>
      </c>
      <c r="O89" s="18">
        <f>IF(OR($E89="",$F89=""),"",MAX(0,MIN($F89,REFERENCE_DEPTH_CM)-MIN($E89,REFERENCE_DEPTH_CM)))</f>
        <v/>
      </c>
      <c r="P89" s="18">
        <f>IF(OR($J89="",$N89="",$G89=""),"",$J89*($N89/100)*$G89*10)</f>
        <v/>
      </c>
      <c r="Q89" s="18">
        <f>IF(OR($J89="",$N89="",$O89=""),"",$J89*($N89/100)*$O89*10)</f>
        <v/>
      </c>
      <c r="R89" s="18">
        <f>IF(OR(NOT(ISNUMBER($P89)),NOT(ISNUMBER($G89)),$G89=0),0,$P89/$G89)</f>
        <v/>
      </c>
      <c r="S89" s="18">
        <f>IF(OR($B89="",NOT(ISNUMBER($F89))),"",SUMIFS('3. Peat Data'!$P$5:$P$604,'3. Peat Data'!$B$5:$B$604,$B89,'3. Peat Data'!$F$5:$F$604,"&lt;="&amp;$F89))</f>
        <v/>
      </c>
      <c r="T89" s="18">
        <f>IF(AND($A89="",$B89="",$E89=""),"",IF(AND($B89&lt;&gt;"",COUNTIF('2. Core Log'!$A$5:$A$124,$B89)=0),"Core ID not in Core Log. ","")&amp;IF(AND($A89&lt;&gt;"",COUNTIF('1. Plot &amp; Site Log'!$A$5:$A$64,$A89)=0),"Plot ID not in Plot &amp; Site Log. ","")&amp;IF(AND(ISNUMBER($E89),ISNUMBER($F89),$F89&lt;=$E89),"Bottom depth is not below top depth. ","")&amp;IF($I89="","Say which bulk-density basis the lab reported. ","")&amp;IF(AND(ISNUMBER($J89),OR($J89&lt;QC_BD_MIN,$J89&gt;QC_BD_MAX)),"Bulk density outside "&amp;QC_BD_MIN&amp;"–"&amp;QC_BD_MAX&amp;" g/cm³ for peat. Above the top of that range usually means the mineral contact has been passed. ","")&amp;IF(AND(ISNUMBER($N89),$N89&gt;QC_CARBON_PCT_MAX),"Carbon above "&amp;QC_CARBON_PCT_MAX&amp;"% — check units; this may be organic matter rather than carbon. ","")&amp;IF(AND($L89&lt;&gt;"",$M89&lt;&gt;""),"Both LOI and measured carbon given — the measured value is used. ","")&amp;IF(AND($M89="",$L89&lt;&gt;"",OM_FACTOR_IS_LOCAL&lt;&gt;"Yes"),"Carbon derived from LOI using the default factor of "&amp;CARBON_FRACTION_OM&amp;", which has not been calibrated locally. See R1. Reference. ","")&amp;IF(AND(ISNUMBER($O89),$O89=0,ISNUMBER($E89)),"Section lies entirely below the reference depth — it counts to the full-profile stock only. ",""))</f>
        <v/>
      </c>
      <c r="U89" s="14" t="n"/>
    </row>
    <row r="90">
      <c r="A90" s="14" t="n"/>
      <c r="B90" s="14" t="n"/>
      <c r="C90" s="14" t="n"/>
      <c r="D90" s="14" t="n"/>
      <c r="E90" s="14" t="n"/>
      <c r="F90" s="14" t="n"/>
      <c r="G90" s="14">
        <f>IF(OR($E90="",$F90=""),"",$F90-$E90)</f>
        <v/>
      </c>
      <c r="H90" s="14" t="n"/>
      <c r="I90" s="14" t="n"/>
      <c r="J90" s="19" t="n"/>
      <c r="K90" s="19" t="n"/>
      <c r="L90" s="19" t="n"/>
      <c r="M90" s="19" t="n"/>
      <c r="N90" s="18">
        <f>IF($M90&lt;&gt;"",$M90,IF($L90&lt;&gt;"",$L90*CARBON_FRACTION_OM,""))</f>
        <v/>
      </c>
      <c r="O90" s="18">
        <f>IF(OR($E90="",$F90=""),"",MAX(0,MIN($F90,REFERENCE_DEPTH_CM)-MIN($E90,REFERENCE_DEPTH_CM)))</f>
        <v/>
      </c>
      <c r="P90" s="18">
        <f>IF(OR($J90="",$N90="",$G90=""),"",$J90*($N90/100)*$G90*10)</f>
        <v/>
      </c>
      <c r="Q90" s="18">
        <f>IF(OR($J90="",$N90="",$O90=""),"",$J90*($N90/100)*$O90*10)</f>
        <v/>
      </c>
      <c r="R90" s="18">
        <f>IF(OR(NOT(ISNUMBER($P90)),NOT(ISNUMBER($G90)),$G90=0),0,$P90/$G90)</f>
        <v/>
      </c>
      <c r="S90" s="18">
        <f>IF(OR($B90="",NOT(ISNUMBER($F90))),"",SUMIFS('3. Peat Data'!$P$5:$P$604,'3. Peat Data'!$B$5:$B$604,$B90,'3. Peat Data'!$F$5:$F$604,"&lt;="&amp;$F90))</f>
        <v/>
      </c>
      <c r="T90" s="18">
        <f>IF(AND($A90="",$B90="",$E90=""),"",IF(AND($B90&lt;&gt;"",COUNTIF('2. Core Log'!$A$5:$A$124,$B90)=0),"Core ID not in Core Log. ","")&amp;IF(AND($A90&lt;&gt;"",COUNTIF('1. Plot &amp; Site Log'!$A$5:$A$64,$A90)=0),"Plot ID not in Plot &amp; Site Log. ","")&amp;IF(AND(ISNUMBER($E90),ISNUMBER($F90),$F90&lt;=$E90),"Bottom depth is not below top depth. ","")&amp;IF($I90="","Say which bulk-density basis the lab reported. ","")&amp;IF(AND(ISNUMBER($J90),OR($J90&lt;QC_BD_MIN,$J90&gt;QC_BD_MAX)),"Bulk density outside "&amp;QC_BD_MIN&amp;"–"&amp;QC_BD_MAX&amp;" g/cm³ for peat. Above the top of that range usually means the mineral contact has been passed. ","")&amp;IF(AND(ISNUMBER($N90),$N90&gt;QC_CARBON_PCT_MAX),"Carbon above "&amp;QC_CARBON_PCT_MAX&amp;"% — check units; this may be organic matter rather than carbon. ","")&amp;IF(AND($L90&lt;&gt;"",$M90&lt;&gt;""),"Both LOI and measured carbon given — the measured value is used. ","")&amp;IF(AND($M90="",$L90&lt;&gt;"",OM_FACTOR_IS_LOCAL&lt;&gt;"Yes"),"Carbon derived from LOI using the default factor of "&amp;CARBON_FRACTION_OM&amp;", which has not been calibrated locally. See R1. Reference. ","")&amp;IF(AND(ISNUMBER($O90),$O90=0,ISNUMBER($E90)),"Section lies entirely below the reference depth — it counts to the full-profile stock only. ",""))</f>
        <v/>
      </c>
      <c r="U90" s="14" t="n"/>
    </row>
    <row r="91">
      <c r="A91" s="14" t="n"/>
      <c r="B91" s="14" t="n"/>
      <c r="C91" s="14" t="n"/>
      <c r="D91" s="14" t="n"/>
      <c r="E91" s="14" t="n"/>
      <c r="F91" s="14" t="n"/>
      <c r="G91" s="14">
        <f>IF(OR($E91="",$F91=""),"",$F91-$E91)</f>
        <v/>
      </c>
      <c r="H91" s="14" t="n"/>
      <c r="I91" s="14" t="n"/>
      <c r="J91" s="19" t="n"/>
      <c r="K91" s="19" t="n"/>
      <c r="L91" s="19" t="n"/>
      <c r="M91" s="19" t="n"/>
      <c r="N91" s="18">
        <f>IF($M91&lt;&gt;"",$M91,IF($L91&lt;&gt;"",$L91*CARBON_FRACTION_OM,""))</f>
        <v/>
      </c>
      <c r="O91" s="18">
        <f>IF(OR($E91="",$F91=""),"",MAX(0,MIN($F91,REFERENCE_DEPTH_CM)-MIN($E91,REFERENCE_DEPTH_CM)))</f>
        <v/>
      </c>
      <c r="P91" s="18">
        <f>IF(OR($J91="",$N91="",$G91=""),"",$J91*($N91/100)*$G91*10)</f>
        <v/>
      </c>
      <c r="Q91" s="18">
        <f>IF(OR($J91="",$N91="",$O91=""),"",$J91*($N91/100)*$O91*10)</f>
        <v/>
      </c>
      <c r="R91" s="18">
        <f>IF(OR(NOT(ISNUMBER($P91)),NOT(ISNUMBER($G91)),$G91=0),0,$P91/$G91)</f>
        <v/>
      </c>
      <c r="S91" s="18">
        <f>IF(OR($B91="",NOT(ISNUMBER($F91))),"",SUMIFS('3. Peat Data'!$P$5:$P$604,'3. Peat Data'!$B$5:$B$604,$B91,'3. Peat Data'!$F$5:$F$604,"&lt;="&amp;$F91))</f>
        <v/>
      </c>
      <c r="T91" s="18">
        <f>IF(AND($A91="",$B91="",$E91=""),"",IF(AND($B91&lt;&gt;"",COUNTIF('2. Core Log'!$A$5:$A$124,$B91)=0),"Core ID not in Core Log. ","")&amp;IF(AND($A91&lt;&gt;"",COUNTIF('1. Plot &amp; Site Log'!$A$5:$A$64,$A91)=0),"Plot ID not in Plot &amp; Site Log. ","")&amp;IF(AND(ISNUMBER($E91),ISNUMBER($F91),$F91&lt;=$E91),"Bottom depth is not below top depth. ","")&amp;IF($I91="","Say which bulk-density basis the lab reported. ","")&amp;IF(AND(ISNUMBER($J91),OR($J91&lt;QC_BD_MIN,$J91&gt;QC_BD_MAX)),"Bulk density outside "&amp;QC_BD_MIN&amp;"–"&amp;QC_BD_MAX&amp;" g/cm³ for peat. Above the top of that range usually means the mineral contact has been passed. ","")&amp;IF(AND(ISNUMBER($N91),$N91&gt;QC_CARBON_PCT_MAX),"Carbon above "&amp;QC_CARBON_PCT_MAX&amp;"% — check units; this may be organic matter rather than carbon. ","")&amp;IF(AND($L91&lt;&gt;"",$M91&lt;&gt;""),"Both LOI and measured carbon given — the measured value is used. ","")&amp;IF(AND($M91="",$L91&lt;&gt;"",OM_FACTOR_IS_LOCAL&lt;&gt;"Yes"),"Carbon derived from LOI using the default factor of "&amp;CARBON_FRACTION_OM&amp;", which has not been calibrated locally. See R1. Reference. ","")&amp;IF(AND(ISNUMBER($O91),$O91=0,ISNUMBER($E91)),"Section lies entirely below the reference depth — it counts to the full-profile stock only. ",""))</f>
        <v/>
      </c>
      <c r="U91" s="14" t="n"/>
    </row>
    <row r="92">
      <c r="A92" s="14" t="n"/>
      <c r="B92" s="14" t="n"/>
      <c r="C92" s="14" t="n"/>
      <c r="D92" s="14" t="n"/>
      <c r="E92" s="14" t="n"/>
      <c r="F92" s="14" t="n"/>
      <c r="G92" s="14">
        <f>IF(OR($E92="",$F92=""),"",$F92-$E92)</f>
        <v/>
      </c>
      <c r="H92" s="14" t="n"/>
      <c r="I92" s="14" t="n"/>
      <c r="J92" s="19" t="n"/>
      <c r="K92" s="19" t="n"/>
      <c r="L92" s="19" t="n"/>
      <c r="M92" s="19" t="n"/>
      <c r="N92" s="18">
        <f>IF($M92&lt;&gt;"",$M92,IF($L92&lt;&gt;"",$L92*CARBON_FRACTION_OM,""))</f>
        <v/>
      </c>
      <c r="O92" s="18">
        <f>IF(OR($E92="",$F92=""),"",MAX(0,MIN($F92,REFERENCE_DEPTH_CM)-MIN($E92,REFERENCE_DEPTH_CM)))</f>
        <v/>
      </c>
      <c r="P92" s="18">
        <f>IF(OR($J92="",$N92="",$G92=""),"",$J92*($N92/100)*$G92*10)</f>
        <v/>
      </c>
      <c r="Q92" s="18">
        <f>IF(OR($J92="",$N92="",$O92=""),"",$J92*($N92/100)*$O92*10)</f>
        <v/>
      </c>
      <c r="R92" s="18">
        <f>IF(OR(NOT(ISNUMBER($P92)),NOT(ISNUMBER($G92)),$G92=0),0,$P92/$G92)</f>
        <v/>
      </c>
      <c r="S92" s="18">
        <f>IF(OR($B92="",NOT(ISNUMBER($F92))),"",SUMIFS('3. Peat Data'!$P$5:$P$604,'3. Peat Data'!$B$5:$B$604,$B92,'3. Peat Data'!$F$5:$F$604,"&lt;="&amp;$F92))</f>
        <v/>
      </c>
      <c r="T92" s="18">
        <f>IF(AND($A92="",$B92="",$E92=""),"",IF(AND($B92&lt;&gt;"",COUNTIF('2. Core Log'!$A$5:$A$124,$B92)=0),"Core ID not in Core Log. ","")&amp;IF(AND($A92&lt;&gt;"",COUNTIF('1. Plot &amp; Site Log'!$A$5:$A$64,$A92)=0),"Plot ID not in Plot &amp; Site Log. ","")&amp;IF(AND(ISNUMBER($E92),ISNUMBER($F92),$F92&lt;=$E92),"Bottom depth is not below top depth. ","")&amp;IF($I92="","Say which bulk-density basis the lab reported. ","")&amp;IF(AND(ISNUMBER($J92),OR($J92&lt;QC_BD_MIN,$J92&gt;QC_BD_MAX)),"Bulk density outside "&amp;QC_BD_MIN&amp;"–"&amp;QC_BD_MAX&amp;" g/cm³ for peat. Above the top of that range usually means the mineral contact has been passed. ","")&amp;IF(AND(ISNUMBER($N92),$N92&gt;QC_CARBON_PCT_MAX),"Carbon above "&amp;QC_CARBON_PCT_MAX&amp;"% — check units; this may be organic matter rather than carbon. ","")&amp;IF(AND($L92&lt;&gt;"",$M92&lt;&gt;""),"Both LOI and measured carbon given — the measured value is used. ","")&amp;IF(AND($M92="",$L92&lt;&gt;"",OM_FACTOR_IS_LOCAL&lt;&gt;"Yes"),"Carbon derived from LOI using the default factor of "&amp;CARBON_FRACTION_OM&amp;", which has not been calibrated locally. See R1. Reference. ","")&amp;IF(AND(ISNUMBER($O92),$O92=0,ISNUMBER($E92)),"Section lies entirely below the reference depth — it counts to the full-profile stock only. ",""))</f>
        <v/>
      </c>
      <c r="U92" s="14" t="n"/>
    </row>
    <row r="93">
      <c r="A93" s="14" t="n"/>
      <c r="B93" s="14" t="n"/>
      <c r="C93" s="14" t="n"/>
      <c r="D93" s="14" t="n"/>
      <c r="E93" s="14" t="n"/>
      <c r="F93" s="14" t="n"/>
      <c r="G93" s="14">
        <f>IF(OR($E93="",$F93=""),"",$F93-$E93)</f>
        <v/>
      </c>
      <c r="H93" s="14" t="n"/>
      <c r="I93" s="14" t="n"/>
      <c r="J93" s="19" t="n"/>
      <c r="K93" s="19" t="n"/>
      <c r="L93" s="19" t="n"/>
      <c r="M93" s="19" t="n"/>
      <c r="N93" s="18">
        <f>IF($M93&lt;&gt;"",$M93,IF($L93&lt;&gt;"",$L93*CARBON_FRACTION_OM,""))</f>
        <v/>
      </c>
      <c r="O93" s="18">
        <f>IF(OR($E93="",$F93=""),"",MAX(0,MIN($F93,REFERENCE_DEPTH_CM)-MIN($E93,REFERENCE_DEPTH_CM)))</f>
        <v/>
      </c>
      <c r="P93" s="18">
        <f>IF(OR($J93="",$N93="",$G93=""),"",$J93*($N93/100)*$G93*10)</f>
        <v/>
      </c>
      <c r="Q93" s="18">
        <f>IF(OR($J93="",$N93="",$O93=""),"",$J93*($N93/100)*$O93*10)</f>
        <v/>
      </c>
      <c r="R93" s="18">
        <f>IF(OR(NOT(ISNUMBER($P93)),NOT(ISNUMBER($G93)),$G93=0),0,$P93/$G93)</f>
        <v/>
      </c>
      <c r="S93" s="18">
        <f>IF(OR($B93="",NOT(ISNUMBER($F93))),"",SUMIFS('3. Peat Data'!$P$5:$P$604,'3. Peat Data'!$B$5:$B$604,$B93,'3. Peat Data'!$F$5:$F$604,"&lt;="&amp;$F93))</f>
        <v/>
      </c>
      <c r="T93" s="18">
        <f>IF(AND($A93="",$B93="",$E93=""),"",IF(AND($B93&lt;&gt;"",COUNTIF('2. Core Log'!$A$5:$A$124,$B93)=0),"Core ID not in Core Log. ","")&amp;IF(AND($A93&lt;&gt;"",COUNTIF('1. Plot &amp; Site Log'!$A$5:$A$64,$A93)=0),"Plot ID not in Plot &amp; Site Log. ","")&amp;IF(AND(ISNUMBER($E93),ISNUMBER($F93),$F93&lt;=$E93),"Bottom depth is not below top depth. ","")&amp;IF($I93="","Say which bulk-density basis the lab reported. ","")&amp;IF(AND(ISNUMBER($J93),OR($J93&lt;QC_BD_MIN,$J93&gt;QC_BD_MAX)),"Bulk density outside "&amp;QC_BD_MIN&amp;"–"&amp;QC_BD_MAX&amp;" g/cm³ for peat. Above the top of that range usually means the mineral contact has been passed. ","")&amp;IF(AND(ISNUMBER($N93),$N93&gt;QC_CARBON_PCT_MAX),"Carbon above "&amp;QC_CARBON_PCT_MAX&amp;"% — check units; this may be organic matter rather than carbon. ","")&amp;IF(AND($L93&lt;&gt;"",$M93&lt;&gt;""),"Both LOI and measured carbon given — the measured value is used. ","")&amp;IF(AND($M93="",$L93&lt;&gt;"",OM_FACTOR_IS_LOCAL&lt;&gt;"Yes"),"Carbon derived from LOI using the default factor of "&amp;CARBON_FRACTION_OM&amp;", which has not been calibrated locally. See R1. Reference. ","")&amp;IF(AND(ISNUMBER($O93),$O93=0,ISNUMBER($E93)),"Section lies entirely below the reference depth — it counts to the full-profile stock only. ",""))</f>
        <v/>
      </c>
      <c r="U93" s="14" t="n"/>
    </row>
    <row r="94">
      <c r="A94" s="14" t="n"/>
      <c r="B94" s="14" t="n"/>
      <c r="C94" s="14" t="n"/>
      <c r="D94" s="14" t="n"/>
      <c r="E94" s="14" t="n"/>
      <c r="F94" s="14" t="n"/>
      <c r="G94" s="14">
        <f>IF(OR($E94="",$F94=""),"",$F94-$E94)</f>
        <v/>
      </c>
      <c r="H94" s="14" t="n"/>
      <c r="I94" s="14" t="n"/>
      <c r="J94" s="19" t="n"/>
      <c r="K94" s="19" t="n"/>
      <c r="L94" s="19" t="n"/>
      <c r="M94" s="19" t="n"/>
      <c r="N94" s="18">
        <f>IF($M94&lt;&gt;"",$M94,IF($L94&lt;&gt;"",$L94*CARBON_FRACTION_OM,""))</f>
        <v/>
      </c>
      <c r="O94" s="18">
        <f>IF(OR($E94="",$F94=""),"",MAX(0,MIN($F94,REFERENCE_DEPTH_CM)-MIN($E94,REFERENCE_DEPTH_CM)))</f>
        <v/>
      </c>
      <c r="P94" s="18">
        <f>IF(OR($J94="",$N94="",$G94=""),"",$J94*($N94/100)*$G94*10)</f>
        <v/>
      </c>
      <c r="Q94" s="18">
        <f>IF(OR($J94="",$N94="",$O94=""),"",$J94*($N94/100)*$O94*10)</f>
        <v/>
      </c>
      <c r="R94" s="18">
        <f>IF(OR(NOT(ISNUMBER($P94)),NOT(ISNUMBER($G94)),$G94=0),0,$P94/$G94)</f>
        <v/>
      </c>
      <c r="S94" s="18">
        <f>IF(OR($B94="",NOT(ISNUMBER($F94))),"",SUMIFS('3. Peat Data'!$P$5:$P$604,'3. Peat Data'!$B$5:$B$604,$B94,'3. Peat Data'!$F$5:$F$604,"&lt;="&amp;$F94))</f>
        <v/>
      </c>
      <c r="T94" s="18">
        <f>IF(AND($A94="",$B94="",$E94=""),"",IF(AND($B94&lt;&gt;"",COUNTIF('2. Core Log'!$A$5:$A$124,$B94)=0),"Core ID not in Core Log. ","")&amp;IF(AND($A94&lt;&gt;"",COUNTIF('1. Plot &amp; Site Log'!$A$5:$A$64,$A94)=0),"Plot ID not in Plot &amp; Site Log. ","")&amp;IF(AND(ISNUMBER($E94),ISNUMBER($F94),$F94&lt;=$E94),"Bottom depth is not below top depth. ","")&amp;IF($I94="","Say which bulk-density basis the lab reported. ","")&amp;IF(AND(ISNUMBER($J94),OR($J94&lt;QC_BD_MIN,$J94&gt;QC_BD_MAX)),"Bulk density outside "&amp;QC_BD_MIN&amp;"–"&amp;QC_BD_MAX&amp;" g/cm³ for peat. Above the top of that range usually means the mineral contact has been passed. ","")&amp;IF(AND(ISNUMBER($N94),$N94&gt;QC_CARBON_PCT_MAX),"Carbon above "&amp;QC_CARBON_PCT_MAX&amp;"% — check units; this may be organic matter rather than carbon. ","")&amp;IF(AND($L94&lt;&gt;"",$M94&lt;&gt;""),"Both LOI and measured carbon given — the measured value is used. ","")&amp;IF(AND($M94="",$L94&lt;&gt;"",OM_FACTOR_IS_LOCAL&lt;&gt;"Yes"),"Carbon derived from LOI using the default factor of "&amp;CARBON_FRACTION_OM&amp;", which has not been calibrated locally. See R1. Reference. ","")&amp;IF(AND(ISNUMBER($O94),$O94=0,ISNUMBER($E94)),"Section lies entirely below the reference depth — it counts to the full-profile stock only. ",""))</f>
        <v/>
      </c>
      <c r="U94" s="14" t="n"/>
    </row>
    <row r="95">
      <c r="A95" s="14" t="n"/>
      <c r="B95" s="14" t="n"/>
      <c r="C95" s="14" t="n"/>
      <c r="D95" s="14" t="n"/>
      <c r="E95" s="14" t="n"/>
      <c r="F95" s="14" t="n"/>
      <c r="G95" s="14">
        <f>IF(OR($E95="",$F95=""),"",$F95-$E95)</f>
        <v/>
      </c>
      <c r="H95" s="14" t="n"/>
      <c r="I95" s="14" t="n"/>
      <c r="J95" s="19" t="n"/>
      <c r="K95" s="19" t="n"/>
      <c r="L95" s="19" t="n"/>
      <c r="M95" s="19" t="n"/>
      <c r="N95" s="18">
        <f>IF($M95&lt;&gt;"",$M95,IF($L95&lt;&gt;"",$L95*CARBON_FRACTION_OM,""))</f>
        <v/>
      </c>
      <c r="O95" s="18">
        <f>IF(OR($E95="",$F95=""),"",MAX(0,MIN($F95,REFERENCE_DEPTH_CM)-MIN($E95,REFERENCE_DEPTH_CM)))</f>
        <v/>
      </c>
      <c r="P95" s="18">
        <f>IF(OR($J95="",$N95="",$G95=""),"",$J95*($N95/100)*$G95*10)</f>
        <v/>
      </c>
      <c r="Q95" s="18">
        <f>IF(OR($J95="",$N95="",$O95=""),"",$J95*($N95/100)*$O95*10)</f>
        <v/>
      </c>
      <c r="R95" s="18">
        <f>IF(OR(NOT(ISNUMBER($P95)),NOT(ISNUMBER($G95)),$G95=0),0,$P95/$G95)</f>
        <v/>
      </c>
      <c r="S95" s="18">
        <f>IF(OR($B95="",NOT(ISNUMBER($F95))),"",SUMIFS('3. Peat Data'!$P$5:$P$604,'3. Peat Data'!$B$5:$B$604,$B95,'3. Peat Data'!$F$5:$F$604,"&lt;="&amp;$F95))</f>
        <v/>
      </c>
      <c r="T95" s="18">
        <f>IF(AND($A95="",$B95="",$E95=""),"",IF(AND($B95&lt;&gt;"",COUNTIF('2. Core Log'!$A$5:$A$124,$B95)=0),"Core ID not in Core Log. ","")&amp;IF(AND($A95&lt;&gt;"",COUNTIF('1. Plot &amp; Site Log'!$A$5:$A$64,$A95)=0),"Plot ID not in Plot &amp; Site Log. ","")&amp;IF(AND(ISNUMBER($E95),ISNUMBER($F95),$F95&lt;=$E95),"Bottom depth is not below top depth. ","")&amp;IF($I95="","Say which bulk-density basis the lab reported. ","")&amp;IF(AND(ISNUMBER($J95),OR($J95&lt;QC_BD_MIN,$J95&gt;QC_BD_MAX)),"Bulk density outside "&amp;QC_BD_MIN&amp;"–"&amp;QC_BD_MAX&amp;" g/cm³ for peat. Above the top of that range usually means the mineral contact has been passed. ","")&amp;IF(AND(ISNUMBER($N95),$N95&gt;QC_CARBON_PCT_MAX),"Carbon above "&amp;QC_CARBON_PCT_MAX&amp;"% — check units; this may be organic matter rather than carbon. ","")&amp;IF(AND($L95&lt;&gt;"",$M95&lt;&gt;""),"Both LOI and measured carbon given — the measured value is used. ","")&amp;IF(AND($M95="",$L95&lt;&gt;"",OM_FACTOR_IS_LOCAL&lt;&gt;"Yes"),"Carbon derived from LOI using the default factor of "&amp;CARBON_FRACTION_OM&amp;", which has not been calibrated locally. See R1. Reference. ","")&amp;IF(AND(ISNUMBER($O95),$O95=0,ISNUMBER($E95)),"Section lies entirely below the reference depth — it counts to the full-profile stock only. ",""))</f>
        <v/>
      </c>
      <c r="U95" s="14" t="n"/>
    </row>
    <row r="96">
      <c r="A96" s="14" t="n"/>
      <c r="B96" s="14" t="n"/>
      <c r="C96" s="14" t="n"/>
      <c r="D96" s="14" t="n"/>
      <c r="E96" s="14" t="n"/>
      <c r="F96" s="14" t="n"/>
      <c r="G96" s="14">
        <f>IF(OR($E96="",$F96=""),"",$F96-$E96)</f>
        <v/>
      </c>
      <c r="H96" s="14" t="n"/>
      <c r="I96" s="14" t="n"/>
      <c r="J96" s="19" t="n"/>
      <c r="K96" s="19" t="n"/>
      <c r="L96" s="19" t="n"/>
      <c r="M96" s="19" t="n"/>
      <c r="N96" s="18">
        <f>IF($M96&lt;&gt;"",$M96,IF($L96&lt;&gt;"",$L96*CARBON_FRACTION_OM,""))</f>
        <v/>
      </c>
      <c r="O96" s="18">
        <f>IF(OR($E96="",$F96=""),"",MAX(0,MIN($F96,REFERENCE_DEPTH_CM)-MIN($E96,REFERENCE_DEPTH_CM)))</f>
        <v/>
      </c>
      <c r="P96" s="18">
        <f>IF(OR($J96="",$N96="",$G96=""),"",$J96*($N96/100)*$G96*10)</f>
        <v/>
      </c>
      <c r="Q96" s="18">
        <f>IF(OR($J96="",$N96="",$O96=""),"",$J96*($N96/100)*$O96*10)</f>
        <v/>
      </c>
      <c r="R96" s="18">
        <f>IF(OR(NOT(ISNUMBER($P96)),NOT(ISNUMBER($G96)),$G96=0),0,$P96/$G96)</f>
        <v/>
      </c>
      <c r="S96" s="18">
        <f>IF(OR($B96="",NOT(ISNUMBER($F96))),"",SUMIFS('3. Peat Data'!$P$5:$P$604,'3. Peat Data'!$B$5:$B$604,$B96,'3. Peat Data'!$F$5:$F$604,"&lt;="&amp;$F96))</f>
        <v/>
      </c>
      <c r="T96" s="18">
        <f>IF(AND($A96="",$B96="",$E96=""),"",IF(AND($B96&lt;&gt;"",COUNTIF('2. Core Log'!$A$5:$A$124,$B96)=0),"Core ID not in Core Log. ","")&amp;IF(AND($A96&lt;&gt;"",COUNTIF('1. Plot &amp; Site Log'!$A$5:$A$64,$A96)=0),"Plot ID not in Plot &amp; Site Log. ","")&amp;IF(AND(ISNUMBER($E96),ISNUMBER($F96),$F96&lt;=$E96),"Bottom depth is not below top depth. ","")&amp;IF($I96="","Say which bulk-density basis the lab reported. ","")&amp;IF(AND(ISNUMBER($J96),OR($J96&lt;QC_BD_MIN,$J96&gt;QC_BD_MAX)),"Bulk density outside "&amp;QC_BD_MIN&amp;"–"&amp;QC_BD_MAX&amp;" g/cm³ for peat. Above the top of that range usually means the mineral contact has been passed. ","")&amp;IF(AND(ISNUMBER($N96),$N96&gt;QC_CARBON_PCT_MAX),"Carbon above "&amp;QC_CARBON_PCT_MAX&amp;"% — check units; this may be organic matter rather than carbon. ","")&amp;IF(AND($L96&lt;&gt;"",$M96&lt;&gt;""),"Both LOI and measured carbon given — the measured value is used. ","")&amp;IF(AND($M96="",$L96&lt;&gt;"",OM_FACTOR_IS_LOCAL&lt;&gt;"Yes"),"Carbon derived from LOI using the default factor of "&amp;CARBON_FRACTION_OM&amp;", which has not been calibrated locally. See R1. Reference. ","")&amp;IF(AND(ISNUMBER($O96),$O96=0,ISNUMBER($E96)),"Section lies entirely below the reference depth — it counts to the full-profile stock only. ",""))</f>
        <v/>
      </c>
      <c r="U96" s="14" t="n"/>
    </row>
    <row r="97">
      <c r="A97" s="14" t="n"/>
      <c r="B97" s="14" t="n"/>
      <c r="C97" s="14" t="n"/>
      <c r="D97" s="14" t="n"/>
      <c r="E97" s="14" t="n"/>
      <c r="F97" s="14" t="n"/>
      <c r="G97" s="14">
        <f>IF(OR($E97="",$F97=""),"",$F97-$E97)</f>
        <v/>
      </c>
      <c r="H97" s="14" t="n"/>
      <c r="I97" s="14" t="n"/>
      <c r="J97" s="19" t="n"/>
      <c r="K97" s="19" t="n"/>
      <c r="L97" s="19" t="n"/>
      <c r="M97" s="19" t="n"/>
      <c r="N97" s="18">
        <f>IF($M97&lt;&gt;"",$M97,IF($L97&lt;&gt;"",$L97*CARBON_FRACTION_OM,""))</f>
        <v/>
      </c>
      <c r="O97" s="18">
        <f>IF(OR($E97="",$F97=""),"",MAX(0,MIN($F97,REFERENCE_DEPTH_CM)-MIN($E97,REFERENCE_DEPTH_CM)))</f>
        <v/>
      </c>
      <c r="P97" s="18">
        <f>IF(OR($J97="",$N97="",$G97=""),"",$J97*($N97/100)*$G97*10)</f>
        <v/>
      </c>
      <c r="Q97" s="18">
        <f>IF(OR($J97="",$N97="",$O97=""),"",$J97*($N97/100)*$O97*10)</f>
        <v/>
      </c>
      <c r="R97" s="18">
        <f>IF(OR(NOT(ISNUMBER($P97)),NOT(ISNUMBER($G97)),$G97=0),0,$P97/$G97)</f>
        <v/>
      </c>
      <c r="S97" s="18">
        <f>IF(OR($B97="",NOT(ISNUMBER($F97))),"",SUMIFS('3. Peat Data'!$P$5:$P$604,'3. Peat Data'!$B$5:$B$604,$B97,'3. Peat Data'!$F$5:$F$604,"&lt;="&amp;$F97))</f>
        <v/>
      </c>
      <c r="T97" s="18">
        <f>IF(AND($A97="",$B97="",$E97=""),"",IF(AND($B97&lt;&gt;"",COUNTIF('2. Core Log'!$A$5:$A$124,$B97)=0),"Core ID not in Core Log. ","")&amp;IF(AND($A97&lt;&gt;"",COUNTIF('1. Plot &amp; Site Log'!$A$5:$A$64,$A97)=0),"Plot ID not in Plot &amp; Site Log. ","")&amp;IF(AND(ISNUMBER($E97),ISNUMBER($F97),$F97&lt;=$E97),"Bottom depth is not below top depth. ","")&amp;IF($I97="","Say which bulk-density basis the lab reported. ","")&amp;IF(AND(ISNUMBER($J97),OR($J97&lt;QC_BD_MIN,$J97&gt;QC_BD_MAX)),"Bulk density outside "&amp;QC_BD_MIN&amp;"–"&amp;QC_BD_MAX&amp;" g/cm³ for peat. Above the top of that range usually means the mineral contact has been passed. ","")&amp;IF(AND(ISNUMBER($N97),$N97&gt;QC_CARBON_PCT_MAX),"Carbon above "&amp;QC_CARBON_PCT_MAX&amp;"% — check units; this may be organic matter rather than carbon. ","")&amp;IF(AND($L97&lt;&gt;"",$M97&lt;&gt;""),"Both LOI and measured carbon given — the measured value is used. ","")&amp;IF(AND($M97="",$L97&lt;&gt;"",OM_FACTOR_IS_LOCAL&lt;&gt;"Yes"),"Carbon derived from LOI using the default factor of "&amp;CARBON_FRACTION_OM&amp;", which has not been calibrated locally. See R1. Reference. ","")&amp;IF(AND(ISNUMBER($O97),$O97=0,ISNUMBER($E97)),"Section lies entirely below the reference depth — it counts to the full-profile stock only. ",""))</f>
        <v/>
      </c>
      <c r="U97" s="14" t="n"/>
    </row>
    <row r="98">
      <c r="A98" s="14" t="n"/>
      <c r="B98" s="14" t="n"/>
      <c r="C98" s="14" t="n"/>
      <c r="D98" s="14" t="n"/>
      <c r="E98" s="14" t="n"/>
      <c r="F98" s="14" t="n"/>
      <c r="G98" s="14">
        <f>IF(OR($E98="",$F98=""),"",$F98-$E98)</f>
        <v/>
      </c>
      <c r="H98" s="14" t="n"/>
      <c r="I98" s="14" t="n"/>
      <c r="J98" s="19" t="n"/>
      <c r="K98" s="19" t="n"/>
      <c r="L98" s="19" t="n"/>
      <c r="M98" s="19" t="n"/>
      <c r="N98" s="18">
        <f>IF($M98&lt;&gt;"",$M98,IF($L98&lt;&gt;"",$L98*CARBON_FRACTION_OM,""))</f>
        <v/>
      </c>
      <c r="O98" s="18">
        <f>IF(OR($E98="",$F98=""),"",MAX(0,MIN($F98,REFERENCE_DEPTH_CM)-MIN($E98,REFERENCE_DEPTH_CM)))</f>
        <v/>
      </c>
      <c r="P98" s="18">
        <f>IF(OR($J98="",$N98="",$G98=""),"",$J98*($N98/100)*$G98*10)</f>
        <v/>
      </c>
      <c r="Q98" s="18">
        <f>IF(OR($J98="",$N98="",$O98=""),"",$J98*($N98/100)*$O98*10)</f>
        <v/>
      </c>
      <c r="R98" s="18">
        <f>IF(OR(NOT(ISNUMBER($P98)),NOT(ISNUMBER($G98)),$G98=0),0,$P98/$G98)</f>
        <v/>
      </c>
      <c r="S98" s="18">
        <f>IF(OR($B98="",NOT(ISNUMBER($F98))),"",SUMIFS('3. Peat Data'!$P$5:$P$604,'3. Peat Data'!$B$5:$B$604,$B98,'3. Peat Data'!$F$5:$F$604,"&lt;="&amp;$F98))</f>
        <v/>
      </c>
      <c r="T98" s="18">
        <f>IF(AND($A98="",$B98="",$E98=""),"",IF(AND($B98&lt;&gt;"",COUNTIF('2. Core Log'!$A$5:$A$124,$B98)=0),"Core ID not in Core Log. ","")&amp;IF(AND($A98&lt;&gt;"",COUNTIF('1. Plot &amp; Site Log'!$A$5:$A$64,$A98)=0),"Plot ID not in Plot &amp; Site Log. ","")&amp;IF(AND(ISNUMBER($E98),ISNUMBER($F98),$F98&lt;=$E98),"Bottom depth is not below top depth. ","")&amp;IF($I98="","Say which bulk-density basis the lab reported. ","")&amp;IF(AND(ISNUMBER($J98),OR($J98&lt;QC_BD_MIN,$J98&gt;QC_BD_MAX)),"Bulk density outside "&amp;QC_BD_MIN&amp;"–"&amp;QC_BD_MAX&amp;" g/cm³ for peat. Above the top of that range usually means the mineral contact has been passed. ","")&amp;IF(AND(ISNUMBER($N98),$N98&gt;QC_CARBON_PCT_MAX),"Carbon above "&amp;QC_CARBON_PCT_MAX&amp;"% — check units; this may be organic matter rather than carbon. ","")&amp;IF(AND($L98&lt;&gt;"",$M98&lt;&gt;""),"Both LOI and measured carbon given — the measured value is used. ","")&amp;IF(AND($M98="",$L98&lt;&gt;"",OM_FACTOR_IS_LOCAL&lt;&gt;"Yes"),"Carbon derived from LOI using the default factor of "&amp;CARBON_FRACTION_OM&amp;", which has not been calibrated locally. See R1. Reference. ","")&amp;IF(AND(ISNUMBER($O98),$O98=0,ISNUMBER($E98)),"Section lies entirely below the reference depth — it counts to the full-profile stock only. ",""))</f>
        <v/>
      </c>
      <c r="U98" s="14" t="n"/>
    </row>
    <row r="99">
      <c r="A99" s="14" t="n"/>
      <c r="B99" s="14" t="n"/>
      <c r="C99" s="14" t="n"/>
      <c r="D99" s="14" t="n"/>
      <c r="E99" s="14" t="n"/>
      <c r="F99" s="14" t="n"/>
      <c r="G99" s="14">
        <f>IF(OR($E99="",$F99=""),"",$F99-$E99)</f>
        <v/>
      </c>
      <c r="H99" s="14" t="n"/>
      <c r="I99" s="14" t="n"/>
      <c r="J99" s="19" t="n"/>
      <c r="K99" s="19" t="n"/>
      <c r="L99" s="19" t="n"/>
      <c r="M99" s="19" t="n"/>
      <c r="N99" s="18">
        <f>IF($M99&lt;&gt;"",$M99,IF($L99&lt;&gt;"",$L99*CARBON_FRACTION_OM,""))</f>
        <v/>
      </c>
      <c r="O99" s="18">
        <f>IF(OR($E99="",$F99=""),"",MAX(0,MIN($F99,REFERENCE_DEPTH_CM)-MIN($E99,REFERENCE_DEPTH_CM)))</f>
        <v/>
      </c>
      <c r="P99" s="18">
        <f>IF(OR($J99="",$N99="",$G99=""),"",$J99*($N99/100)*$G99*10)</f>
        <v/>
      </c>
      <c r="Q99" s="18">
        <f>IF(OR($J99="",$N99="",$O99=""),"",$J99*($N99/100)*$O99*10)</f>
        <v/>
      </c>
      <c r="R99" s="18">
        <f>IF(OR(NOT(ISNUMBER($P99)),NOT(ISNUMBER($G99)),$G99=0),0,$P99/$G99)</f>
        <v/>
      </c>
      <c r="S99" s="18">
        <f>IF(OR($B99="",NOT(ISNUMBER($F99))),"",SUMIFS('3. Peat Data'!$P$5:$P$604,'3. Peat Data'!$B$5:$B$604,$B99,'3. Peat Data'!$F$5:$F$604,"&lt;="&amp;$F99))</f>
        <v/>
      </c>
      <c r="T99" s="18">
        <f>IF(AND($A99="",$B99="",$E99=""),"",IF(AND($B99&lt;&gt;"",COUNTIF('2. Core Log'!$A$5:$A$124,$B99)=0),"Core ID not in Core Log. ","")&amp;IF(AND($A99&lt;&gt;"",COUNTIF('1. Plot &amp; Site Log'!$A$5:$A$64,$A99)=0),"Plot ID not in Plot &amp; Site Log. ","")&amp;IF(AND(ISNUMBER($E99),ISNUMBER($F99),$F99&lt;=$E99),"Bottom depth is not below top depth. ","")&amp;IF($I99="","Say which bulk-density basis the lab reported. ","")&amp;IF(AND(ISNUMBER($J99),OR($J99&lt;QC_BD_MIN,$J99&gt;QC_BD_MAX)),"Bulk density outside "&amp;QC_BD_MIN&amp;"–"&amp;QC_BD_MAX&amp;" g/cm³ for peat. Above the top of that range usually means the mineral contact has been passed. ","")&amp;IF(AND(ISNUMBER($N99),$N99&gt;QC_CARBON_PCT_MAX),"Carbon above "&amp;QC_CARBON_PCT_MAX&amp;"% — check units; this may be organic matter rather than carbon. ","")&amp;IF(AND($L99&lt;&gt;"",$M99&lt;&gt;""),"Both LOI and measured carbon given — the measured value is used. ","")&amp;IF(AND($M99="",$L99&lt;&gt;"",OM_FACTOR_IS_LOCAL&lt;&gt;"Yes"),"Carbon derived from LOI using the default factor of "&amp;CARBON_FRACTION_OM&amp;", which has not been calibrated locally. See R1. Reference. ","")&amp;IF(AND(ISNUMBER($O99),$O99=0,ISNUMBER($E99)),"Section lies entirely below the reference depth — it counts to the full-profile stock only. ",""))</f>
        <v/>
      </c>
      <c r="U99" s="14" t="n"/>
    </row>
    <row r="100">
      <c r="A100" s="14" t="n"/>
      <c r="B100" s="14" t="n"/>
      <c r="C100" s="14" t="n"/>
      <c r="D100" s="14" t="n"/>
      <c r="E100" s="14" t="n"/>
      <c r="F100" s="14" t="n"/>
      <c r="G100" s="14">
        <f>IF(OR($E100="",$F100=""),"",$F100-$E100)</f>
        <v/>
      </c>
      <c r="H100" s="14" t="n"/>
      <c r="I100" s="14" t="n"/>
      <c r="J100" s="19" t="n"/>
      <c r="K100" s="19" t="n"/>
      <c r="L100" s="19" t="n"/>
      <c r="M100" s="19" t="n"/>
      <c r="N100" s="18">
        <f>IF($M100&lt;&gt;"",$M100,IF($L100&lt;&gt;"",$L100*CARBON_FRACTION_OM,""))</f>
        <v/>
      </c>
      <c r="O100" s="18">
        <f>IF(OR($E100="",$F100=""),"",MAX(0,MIN($F100,REFERENCE_DEPTH_CM)-MIN($E100,REFERENCE_DEPTH_CM)))</f>
        <v/>
      </c>
      <c r="P100" s="18">
        <f>IF(OR($J100="",$N100="",$G100=""),"",$J100*($N100/100)*$G100*10)</f>
        <v/>
      </c>
      <c r="Q100" s="18">
        <f>IF(OR($J100="",$N100="",$O100=""),"",$J100*($N100/100)*$O100*10)</f>
        <v/>
      </c>
      <c r="R100" s="18">
        <f>IF(OR(NOT(ISNUMBER($P100)),NOT(ISNUMBER($G100)),$G100=0),0,$P100/$G100)</f>
        <v/>
      </c>
      <c r="S100" s="18">
        <f>IF(OR($B100="",NOT(ISNUMBER($F100))),"",SUMIFS('3. Peat Data'!$P$5:$P$604,'3. Peat Data'!$B$5:$B$604,$B100,'3. Peat Data'!$F$5:$F$604,"&lt;="&amp;$F100))</f>
        <v/>
      </c>
      <c r="T100" s="18">
        <f>IF(AND($A100="",$B100="",$E100=""),"",IF(AND($B100&lt;&gt;"",COUNTIF('2. Core Log'!$A$5:$A$124,$B100)=0),"Core ID not in Core Log. ","")&amp;IF(AND($A100&lt;&gt;"",COUNTIF('1. Plot &amp; Site Log'!$A$5:$A$64,$A100)=0),"Plot ID not in Plot &amp; Site Log. ","")&amp;IF(AND(ISNUMBER($E100),ISNUMBER($F100),$F100&lt;=$E100),"Bottom depth is not below top depth. ","")&amp;IF($I100="","Say which bulk-density basis the lab reported. ","")&amp;IF(AND(ISNUMBER($J100),OR($J100&lt;QC_BD_MIN,$J100&gt;QC_BD_MAX)),"Bulk density outside "&amp;QC_BD_MIN&amp;"–"&amp;QC_BD_MAX&amp;" g/cm³ for peat. Above the top of that range usually means the mineral contact has been passed. ","")&amp;IF(AND(ISNUMBER($N100),$N100&gt;QC_CARBON_PCT_MAX),"Carbon above "&amp;QC_CARBON_PCT_MAX&amp;"% — check units; this may be organic matter rather than carbon. ","")&amp;IF(AND($L100&lt;&gt;"",$M100&lt;&gt;""),"Both LOI and measured carbon given — the measured value is used. ","")&amp;IF(AND($M100="",$L100&lt;&gt;"",OM_FACTOR_IS_LOCAL&lt;&gt;"Yes"),"Carbon derived from LOI using the default factor of "&amp;CARBON_FRACTION_OM&amp;", which has not been calibrated locally. See R1. Reference. ","")&amp;IF(AND(ISNUMBER($O100),$O100=0,ISNUMBER($E100)),"Section lies entirely below the reference depth — it counts to the full-profile stock only. ",""))</f>
        <v/>
      </c>
      <c r="U100" s="14" t="n"/>
    </row>
    <row r="101">
      <c r="A101" s="14" t="n"/>
      <c r="B101" s="14" t="n"/>
      <c r="C101" s="14" t="n"/>
      <c r="D101" s="14" t="n"/>
      <c r="E101" s="14" t="n"/>
      <c r="F101" s="14" t="n"/>
      <c r="G101" s="14">
        <f>IF(OR($E101="",$F101=""),"",$F101-$E101)</f>
        <v/>
      </c>
      <c r="H101" s="14" t="n"/>
      <c r="I101" s="14" t="n"/>
      <c r="J101" s="19" t="n"/>
      <c r="K101" s="19" t="n"/>
      <c r="L101" s="19" t="n"/>
      <c r="M101" s="19" t="n"/>
      <c r="N101" s="18">
        <f>IF($M101&lt;&gt;"",$M101,IF($L101&lt;&gt;"",$L101*CARBON_FRACTION_OM,""))</f>
        <v/>
      </c>
      <c r="O101" s="18">
        <f>IF(OR($E101="",$F101=""),"",MAX(0,MIN($F101,REFERENCE_DEPTH_CM)-MIN($E101,REFERENCE_DEPTH_CM)))</f>
        <v/>
      </c>
      <c r="P101" s="18">
        <f>IF(OR($J101="",$N101="",$G101=""),"",$J101*($N101/100)*$G101*10)</f>
        <v/>
      </c>
      <c r="Q101" s="18">
        <f>IF(OR($J101="",$N101="",$O101=""),"",$J101*($N101/100)*$O101*10)</f>
        <v/>
      </c>
      <c r="R101" s="18">
        <f>IF(OR(NOT(ISNUMBER($P101)),NOT(ISNUMBER($G101)),$G101=0),0,$P101/$G101)</f>
        <v/>
      </c>
      <c r="S101" s="18">
        <f>IF(OR($B101="",NOT(ISNUMBER($F101))),"",SUMIFS('3. Peat Data'!$P$5:$P$604,'3. Peat Data'!$B$5:$B$604,$B101,'3. Peat Data'!$F$5:$F$604,"&lt;="&amp;$F101))</f>
        <v/>
      </c>
      <c r="T101" s="18">
        <f>IF(AND($A101="",$B101="",$E101=""),"",IF(AND($B101&lt;&gt;"",COUNTIF('2. Core Log'!$A$5:$A$124,$B101)=0),"Core ID not in Core Log. ","")&amp;IF(AND($A101&lt;&gt;"",COUNTIF('1. Plot &amp; Site Log'!$A$5:$A$64,$A101)=0),"Plot ID not in Plot &amp; Site Log. ","")&amp;IF(AND(ISNUMBER($E101),ISNUMBER($F101),$F101&lt;=$E101),"Bottom depth is not below top depth. ","")&amp;IF($I101="","Say which bulk-density basis the lab reported. ","")&amp;IF(AND(ISNUMBER($J101),OR($J101&lt;QC_BD_MIN,$J101&gt;QC_BD_MAX)),"Bulk density outside "&amp;QC_BD_MIN&amp;"–"&amp;QC_BD_MAX&amp;" g/cm³ for peat. Above the top of that range usually means the mineral contact has been passed. ","")&amp;IF(AND(ISNUMBER($N101),$N101&gt;QC_CARBON_PCT_MAX),"Carbon above "&amp;QC_CARBON_PCT_MAX&amp;"% — check units; this may be organic matter rather than carbon. ","")&amp;IF(AND($L101&lt;&gt;"",$M101&lt;&gt;""),"Both LOI and measured carbon given — the measured value is used. ","")&amp;IF(AND($M101="",$L101&lt;&gt;"",OM_FACTOR_IS_LOCAL&lt;&gt;"Yes"),"Carbon derived from LOI using the default factor of "&amp;CARBON_FRACTION_OM&amp;", which has not been calibrated locally. See R1. Reference. ","")&amp;IF(AND(ISNUMBER($O101),$O101=0,ISNUMBER($E101)),"Section lies entirely below the reference depth — it counts to the full-profile stock only. ",""))</f>
        <v/>
      </c>
      <c r="U101" s="14" t="n"/>
    </row>
    <row r="102">
      <c r="A102" s="14" t="n"/>
      <c r="B102" s="14" t="n"/>
      <c r="C102" s="14" t="n"/>
      <c r="D102" s="14" t="n"/>
      <c r="E102" s="14" t="n"/>
      <c r="F102" s="14" t="n"/>
      <c r="G102" s="14">
        <f>IF(OR($E102="",$F102=""),"",$F102-$E102)</f>
        <v/>
      </c>
      <c r="H102" s="14" t="n"/>
      <c r="I102" s="14" t="n"/>
      <c r="J102" s="19" t="n"/>
      <c r="K102" s="19" t="n"/>
      <c r="L102" s="19" t="n"/>
      <c r="M102" s="19" t="n"/>
      <c r="N102" s="18">
        <f>IF($M102&lt;&gt;"",$M102,IF($L102&lt;&gt;"",$L102*CARBON_FRACTION_OM,""))</f>
        <v/>
      </c>
      <c r="O102" s="18">
        <f>IF(OR($E102="",$F102=""),"",MAX(0,MIN($F102,REFERENCE_DEPTH_CM)-MIN($E102,REFERENCE_DEPTH_CM)))</f>
        <v/>
      </c>
      <c r="P102" s="18">
        <f>IF(OR($J102="",$N102="",$G102=""),"",$J102*($N102/100)*$G102*10)</f>
        <v/>
      </c>
      <c r="Q102" s="18">
        <f>IF(OR($J102="",$N102="",$O102=""),"",$J102*($N102/100)*$O102*10)</f>
        <v/>
      </c>
      <c r="R102" s="18">
        <f>IF(OR(NOT(ISNUMBER($P102)),NOT(ISNUMBER($G102)),$G102=0),0,$P102/$G102)</f>
        <v/>
      </c>
      <c r="S102" s="18">
        <f>IF(OR($B102="",NOT(ISNUMBER($F102))),"",SUMIFS('3. Peat Data'!$P$5:$P$604,'3. Peat Data'!$B$5:$B$604,$B102,'3. Peat Data'!$F$5:$F$604,"&lt;="&amp;$F102))</f>
        <v/>
      </c>
      <c r="T102" s="18">
        <f>IF(AND($A102="",$B102="",$E102=""),"",IF(AND($B102&lt;&gt;"",COUNTIF('2. Core Log'!$A$5:$A$124,$B102)=0),"Core ID not in Core Log. ","")&amp;IF(AND($A102&lt;&gt;"",COUNTIF('1. Plot &amp; Site Log'!$A$5:$A$64,$A102)=0),"Plot ID not in Plot &amp; Site Log. ","")&amp;IF(AND(ISNUMBER($E102),ISNUMBER($F102),$F102&lt;=$E102),"Bottom depth is not below top depth. ","")&amp;IF($I102="","Say which bulk-density basis the lab reported. ","")&amp;IF(AND(ISNUMBER($J102),OR($J102&lt;QC_BD_MIN,$J102&gt;QC_BD_MAX)),"Bulk density outside "&amp;QC_BD_MIN&amp;"–"&amp;QC_BD_MAX&amp;" g/cm³ for peat. Above the top of that range usually means the mineral contact has been passed. ","")&amp;IF(AND(ISNUMBER($N102),$N102&gt;QC_CARBON_PCT_MAX),"Carbon above "&amp;QC_CARBON_PCT_MAX&amp;"% — check units; this may be organic matter rather than carbon. ","")&amp;IF(AND($L102&lt;&gt;"",$M102&lt;&gt;""),"Both LOI and measured carbon given — the measured value is used. ","")&amp;IF(AND($M102="",$L102&lt;&gt;"",OM_FACTOR_IS_LOCAL&lt;&gt;"Yes"),"Carbon derived from LOI using the default factor of "&amp;CARBON_FRACTION_OM&amp;", which has not been calibrated locally. See R1. Reference. ","")&amp;IF(AND(ISNUMBER($O102),$O102=0,ISNUMBER($E102)),"Section lies entirely below the reference depth — it counts to the full-profile stock only. ",""))</f>
        <v/>
      </c>
      <c r="U102" s="14" t="n"/>
    </row>
    <row r="103">
      <c r="A103" s="14" t="n"/>
      <c r="B103" s="14" t="n"/>
      <c r="C103" s="14" t="n"/>
      <c r="D103" s="14" t="n"/>
      <c r="E103" s="14" t="n"/>
      <c r="F103" s="14" t="n"/>
      <c r="G103" s="14">
        <f>IF(OR($E103="",$F103=""),"",$F103-$E103)</f>
        <v/>
      </c>
      <c r="H103" s="14" t="n"/>
      <c r="I103" s="14" t="n"/>
      <c r="J103" s="19" t="n"/>
      <c r="K103" s="19" t="n"/>
      <c r="L103" s="19" t="n"/>
      <c r="M103" s="19" t="n"/>
      <c r="N103" s="18">
        <f>IF($M103&lt;&gt;"",$M103,IF($L103&lt;&gt;"",$L103*CARBON_FRACTION_OM,""))</f>
        <v/>
      </c>
      <c r="O103" s="18">
        <f>IF(OR($E103="",$F103=""),"",MAX(0,MIN($F103,REFERENCE_DEPTH_CM)-MIN($E103,REFERENCE_DEPTH_CM)))</f>
        <v/>
      </c>
      <c r="P103" s="18">
        <f>IF(OR($J103="",$N103="",$G103=""),"",$J103*($N103/100)*$G103*10)</f>
        <v/>
      </c>
      <c r="Q103" s="18">
        <f>IF(OR($J103="",$N103="",$O103=""),"",$J103*($N103/100)*$O103*10)</f>
        <v/>
      </c>
      <c r="R103" s="18">
        <f>IF(OR(NOT(ISNUMBER($P103)),NOT(ISNUMBER($G103)),$G103=0),0,$P103/$G103)</f>
        <v/>
      </c>
      <c r="S103" s="18">
        <f>IF(OR($B103="",NOT(ISNUMBER($F103))),"",SUMIFS('3. Peat Data'!$P$5:$P$604,'3. Peat Data'!$B$5:$B$604,$B103,'3. Peat Data'!$F$5:$F$604,"&lt;="&amp;$F103))</f>
        <v/>
      </c>
      <c r="T103" s="18">
        <f>IF(AND($A103="",$B103="",$E103=""),"",IF(AND($B103&lt;&gt;"",COUNTIF('2. Core Log'!$A$5:$A$124,$B103)=0),"Core ID not in Core Log. ","")&amp;IF(AND($A103&lt;&gt;"",COUNTIF('1. Plot &amp; Site Log'!$A$5:$A$64,$A103)=0),"Plot ID not in Plot &amp; Site Log. ","")&amp;IF(AND(ISNUMBER($E103),ISNUMBER($F103),$F103&lt;=$E103),"Bottom depth is not below top depth. ","")&amp;IF($I103="","Say which bulk-density basis the lab reported. ","")&amp;IF(AND(ISNUMBER($J103),OR($J103&lt;QC_BD_MIN,$J103&gt;QC_BD_MAX)),"Bulk density outside "&amp;QC_BD_MIN&amp;"–"&amp;QC_BD_MAX&amp;" g/cm³ for peat. Above the top of that range usually means the mineral contact has been passed. ","")&amp;IF(AND(ISNUMBER($N103),$N103&gt;QC_CARBON_PCT_MAX),"Carbon above "&amp;QC_CARBON_PCT_MAX&amp;"% — check units; this may be organic matter rather than carbon. ","")&amp;IF(AND($L103&lt;&gt;"",$M103&lt;&gt;""),"Both LOI and measured carbon given — the measured value is used. ","")&amp;IF(AND($M103="",$L103&lt;&gt;"",OM_FACTOR_IS_LOCAL&lt;&gt;"Yes"),"Carbon derived from LOI using the default factor of "&amp;CARBON_FRACTION_OM&amp;", which has not been calibrated locally. See R1. Reference. ","")&amp;IF(AND(ISNUMBER($O103),$O103=0,ISNUMBER($E103)),"Section lies entirely below the reference depth — it counts to the full-profile stock only. ",""))</f>
        <v/>
      </c>
      <c r="U103" s="14" t="n"/>
    </row>
    <row r="104">
      <c r="A104" s="14" t="n"/>
      <c r="B104" s="14" t="n"/>
      <c r="C104" s="14" t="n"/>
      <c r="D104" s="14" t="n"/>
      <c r="E104" s="14" t="n"/>
      <c r="F104" s="14" t="n"/>
      <c r="G104" s="14">
        <f>IF(OR($E104="",$F104=""),"",$F104-$E104)</f>
        <v/>
      </c>
      <c r="H104" s="14" t="n"/>
      <c r="I104" s="14" t="n"/>
      <c r="J104" s="19" t="n"/>
      <c r="K104" s="19" t="n"/>
      <c r="L104" s="19" t="n"/>
      <c r="M104" s="19" t="n"/>
      <c r="N104" s="18">
        <f>IF($M104&lt;&gt;"",$M104,IF($L104&lt;&gt;"",$L104*CARBON_FRACTION_OM,""))</f>
        <v/>
      </c>
      <c r="O104" s="18">
        <f>IF(OR($E104="",$F104=""),"",MAX(0,MIN($F104,REFERENCE_DEPTH_CM)-MIN($E104,REFERENCE_DEPTH_CM)))</f>
        <v/>
      </c>
      <c r="P104" s="18">
        <f>IF(OR($J104="",$N104="",$G104=""),"",$J104*($N104/100)*$G104*10)</f>
        <v/>
      </c>
      <c r="Q104" s="18">
        <f>IF(OR($J104="",$N104="",$O104=""),"",$J104*($N104/100)*$O104*10)</f>
        <v/>
      </c>
      <c r="R104" s="18">
        <f>IF(OR(NOT(ISNUMBER($P104)),NOT(ISNUMBER($G104)),$G104=0),0,$P104/$G104)</f>
        <v/>
      </c>
      <c r="S104" s="18">
        <f>IF(OR($B104="",NOT(ISNUMBER($F104))),"",SUMIFS('3. Peat Data'!$P$5:$P$604,'3. Peat Data'!$B$5:$B$604,$B104,'3. Peat Data'!$F$5:$F$604,"&lt;="&amp;$F104))</f>
        <v/>
      </c>
      <c r="T104" s="18">
        <f>IF(AND($A104="",$B104="",$E104=""),"",IF(AND($B104&lt;&gt;"",COUNTIF('2. Core Log'!$A$5:$A$124,$B104)=0),"Core ID not in Core Log. ","")&amp;IF(AND($A104&lt;&gt;"",COUNTIF('1. Plot &amp; Site Log'!$A$5:$A$64,$A104)=0),"Plot ID not in Plot &amp; Site Log. ","")&amp;IF(AND(ISNUMBER($E104),ISNUMBER($F104),$F104&lt;=$E104),"Bottom depth is not below top depth. ","")&amp;IF($I104="","Say which bulk-density basis the lab reported. ","")&amp;IF(AND(ISNUMBER($J104),OR($J104&lt;QC_BD_MIN,$J104&gt;QC_BD_MAX)),"Bulk density outside "&amp;QC_BD_MIN&amp;"–"&amp;QC_BD_MAX&amp;" g/cm³ for peat. Above the top of that range usually means the mineral contact has been passed. ","")&amp;IF(AND(ISNUMBER($N104),$N104&gt;QC_CARBON_PCT_MAX),"Carbon above "&amp;QC_CARBON_PCT_MAX&amp;"% — check units; this may be organic matter rather than carbon. ","")&amp;IF(AND($L104&lt;&gt;"",$M104&lt;&gt;""),"Both LOI and measured carbon given — the measured value is used. ","")&amp;IF(AND($M104="",$L104&lt;&gt;"",OM_FACTOR_IS_LOCAL&lt;&gt;"Yes"),"Carbon derived from LOI using the default factor of "&amp;CARBON_FRACTION_OM&amp;", which has not been calibrated locally. See R1. Reference. ","")&amp;IF(AND(ISNUMBER($O104),$O104=0,ISNUMBER($E104)),"Section lies entirely below the reference depth — it counts to the full-profile stock only. ",""))</f>
        <v/>
      </c>
      <c r="U104" s="14" t="n"/>
    </row>
    <row r="105">
      <c r="A105" s="14" t="n"/>
      <c r="B105" s="14" t="n"/>
      <c r="C105" s="14" t="n"/>
      <c r="D105" s="14" t="n"/>
      <c r="E105" s="14" t="n"/>
      <c r="F105" s="14" t="n"/>
      <c r="G105" s="14">
        <f>IF(OR($E105="",$F105=""),"",$F105-$E105)</f>
        <v/>
      </c>
      <c r="H105" s="14" t="n"/>
      <c r="I105" s="14" t="n"/>
      <c r="J105" s="19" t="n"/>
      <c r="K105" s="19" t="n"/>
      <c r="L105" s="19" t="n"/>
      <c r="M105" s="19" t="n"/>
      <c r="N105" s="18">
        <f>IF($M105&lt;&gt;"",$M105,IF($L105&lt;&gt;"",$L105*CARBON_FRACTION_OM,""))</f>
        <v/>
      </c>
      <c r="O105" s="18">
        <f>IF(OR($E105="",$F105=""),"",MAX(0,MIN($F105,REFERENCE_DEPTH_CM)-MIN($E105,REFERENCE_DEPTH_CM)))</f>
        <v/>
      </c>
      <c r="P105" s="18">
        <f>IF(OR($J105="",$N105="",$G105=""),"",$J105*($N105/100)*$G105*10)</f>
        <v/>
      </c>
      <c r="Q105" s="18">
        <f>IF(OR($J105="",$N105="",$O105=""),"",$J105*($N105/100)*$O105*10)</f>
        <v/>
      </c>
      <c r="R105" s="18">
        <f>IF(OR(NOT(ISNUMBER($P105)),NOT(ISNUMBER($G105)),$G105=0),0,$P105/$G105)</f>
        <v/>
      </c>
      <c r="S105" s="18">
        <f>IF(OR($B105="",NOT(ISNUMBER($F105))),"",SUMIFS('3. Peat Data'!$P$5:$P$604,'3. Peat Data'!$B$5:$B$604,$B105,'3. Peat Data'!$F$5:$F$604,"&lt;="&amp;$F105))</f>
        <v/>
      </c>
      <c r="T105" s="18">
        <f>IF(AND($A105="",$B105="",$E105=""),"",IF(AND($B105&lt;&gt;"",COUNTIF('2. Core Log'!$A$5:$A$124,$B105)=0),"Core ID not in Core Log. ","")&amp;IF(AND($A105&lt;&gt;"",COUNTIF('1. Plot &amp; Site Log'!$A$5:$A$64,$A105)=0),"Plot ID not in Plot &amp; Site Log. ","")&amp;IF(AND(ISNUMBER($E105),ISNUMBER($F105),$F105&lt;=$E105),"Bottom depth is not below top depth. ","")&amp;IF($I105="","Say which bulk-density basis the lab reported. ","")&amp;IF(AND(ISNUMBER($J105),OR($J105&lt;QC_BD_MIN,$J105&gt;QC_BD_MAX)),"Bulk density outside "&amp;QC_BD_MIN&amp;"–"&amp;QC_BD_MAX&amp;" g/cm³ for peat. Above the top of that range usually means the mineral contact has been passed. ","")&amp;IF(AND(ISNUMBER($N105),$N105&gt;QC_CARBON_PCT_MAX),"Carbon above "&amp;QC_CARBON_PCT_MAX&amp;"% — check units; this may be organic matter rather than carbon. ","")&amp;IF(AND($L105&lt;&gt;"",$M105&lt;&gt;""),"Both LOI and measured carbon given — the measured value is used. ","")&amp;IF(AND($M105="",$L105&lt;&gt;"",OM_FACTOR_IS_LOCAL&lt;&gt;"Yes"),"Carbon derived from LOI using the default factor of "&amp;CARBON_FRACTION_OM&amp;", which has not been calibrated locally. See R1. Reference. ","")&amp;IF(AND(ISNUMBER($O105),$O105=0,ISNUMBER($E105)),"Section lies entirely below the reference depth — it counts to the full-profile stock only. ",""))</f>
        <v/>
      </c>
      <c r="U105" s="14" t="n"/>
    </row>
    <row r="106">
      <c r="A106" s="14" t="n"/>
      <c r="B106" s="14" t="n"/>
      <c r="C106" s="14" t="n"/>
      <c r="D106" s="14" t="n"/>
      <c r="E106" s="14" t="n"/>
      <c r="F106" s="14" t="n"/>
      <c r="G106" s="14">
        <f>IF(OR($E106="",$F106=""),"",$F106-$E106)</f>
        <v/>
      </c>
      <c r="H106" s="14" t="n"/>
      <c r="I106" s="14" t="n"/>
      <c r="J106" s="19" t="n"/>
      <c r="K106" s="19" t="n"/>
      <c r="L106" s="19" t="n"/>
      <c r="M106" s="19" t="n"/>
      <c r="N106" s="18">
        <f>IF($M106&lt;&gt;"",$M106,IF($L106&lt;&gt;"",$L106*CARBON_FRACTION_OM,""))</f>
        <v/>
      </c>
      <c r="O106" s="18">
        <f>IF(OR($E106="",$F106=""),"",MAX(0,MIN($F106,REFERENCE_DEPTH_CM)-MIN($E106,REFERENCE_DEPTH_CM)))</f>
        <v/>
      </c>
      <c r="P106" s="18">
        <f>IF(OR($J106="",$N106="",$G106=""),"",$J106*($N106/100)*$G106*10)</f>
        <v/>
      </c>
      <c r="Q106" s="18">
        <f>IF(OR($J106="",$N106="",$O106=""),"",$J106*($N106/100)*$O106*10)</f>
        <v/>
      </c>
      <c r="R106" s="18">
        <f>IF(OR(NOT(ISNUMBER($P106)),NOT(ISNUMBER($G106)),$G106=0),0,$P106/$G106)</f>
        <v/>
      </c>
      <c r="S106" s="18">
        <f>IF(OR($B106="",NOT(ISNUMBER($F106))),"",SUMIFS('3. Peat Data'!$P$5:$P$604,'3. Peat Data'!$B$5:$B$604,$B106,'3. Peat Data'!$F$5:$F$604,"&lt;="&amp;$F106))</f>
        <v/>
      </c>
      <c r="T106" s="18">
        <f>IF(AND($A106="",$B106="",$E106=""),"",IF(AND($B106&lt;&gt;"",COUNTIF('2. Core Log'!$A$5:$A$124,$B106)=0),"Core ID not in Core Log. ","")&amp;IF(AND($A106&lt;&gt;"",COUNTIF('1. Plot &amp; Site Log'!$A$5:$A$64,$A106)=0),"Plot ID not in Plot &amp; Site Log. ","")&amp;IF(AND(ISNUMBER($E106),ISNUMBER($F106),$F106&lt;=$E106),"Bottom depth is not below top depth. ","")&amp;IF($I106="","Say which bulk-density basis the lab reported. ","")&amp;IF(AND(ISNUMBER($J106),OR($J106&lt;QC_BD_MIN,$J106&gt;QC_BD_MAX)),"Bulk density outside "&amp;QC_BD_MIN&amp;"–"&amp;QC_BD_MAX&amp;" g/cm³ for peat. Above the top of that range usually means the mineral contact has been passed. ","")&amp;IF(AND(ISNUMBER($N106),$N106&gt;QC_CARBON_PCT_MAX),"Carbon above "&amp;QC_CARBON_PCT_MAX&amp;"% — check units; this may be organic matter rather than carbon. ","")&amp;IF(AND($L106&lt;&gt;"",$M106&lt;&gt;""),"Both LOI and measured carbon given — the measured value is used. ","")&amp;IF(AND($M106="",$L106&lt;&gt;"",OM_FACTOR_IS_LOCAL&lt;&gt;"Yes"),"Carbon derived from LOI using the default factor of "&amp;CARBON_FRACTION_OM&amp;", which has not been calibrated locally. See R1. Reference. ","")&amp;IF(AND(ISNUMBER($O106),$O106=0,ISNUMBER($E106)),"Section lies entirely below the reference depth — it counts to the full-profile stock only. ",""))</f>
        <v/>
      </c>
      <c r="U106" s="14" t="n"/>
    </row>
    <row r="107">
      <c r="A107" s="14" t="n"/>
      <c r="B107" s="14" t="n"/>
      <c r="C107" s="14" t="n"/>
      <c r="D107" s="14" t="n"/>
      <c r="E107" s="14" t="n"/>
      <c r="F107" s="14" t="n"/>
      <c r="G107" s="14">
        <f>IF(OR($E107="",$F107=""),"",$F107-$E107)</f>
        <v/>
      </c>
      <c r="H107" s="14" t="n"/>
      <c r="I107" s="14" t="n"/>
      <c r="J107" s="19" t="n"/>
      <c r="K107" s="19" t="n"/>
      <c r="L107" s="19" t="n"/>
      <c r="M107" s="19" t="n"/>
      <c r="N107" s="18">
        <f>IF($M107&lt;&gt;"",$M107,IF($L107&lt;&gt;"",$L107*CARBON_FRACTION_OM,""))</f>
        <v/>
      </c>
      <c r="O107" s="18">
        <f>IF(OR($E107="",$F107=""),"",MAX(0,MIN($F107,REFERENCE_DEPTH_CM)-MIN($E107,REFERENCE_DEPTH_CM)))</f>
        <v/>
      </c>
      <c r="P107" s="18">
        <f>IF(OR($J107="",$N107="",$G107=""),"",$J107*($N107/100)*$G107*10)</f>
        <v/>
      </c>
      <c r="Q107" s="18">
        <f>IF(OR($J107="",$N107="",$O107=""),"",$J107*($N107/100)*$O107*10)</f>
        <v/>
      </c>
      <c r="R107" s="18">
        <f>IF(OR(NOT(ISNUMBER($P107)),NOT(ISNUMBER($G107)),$G107=0),0,$P107/$G107)</f>
        <v/>
      </c>
      <c r="S107" s="18">
        <f>IF(OR($B107="",NOT(ISNUMBER($F107))),"",SUMIFS('3. Peat Data'!$P$5:$P$604,'3. Peat Data'!$B$5:$B$604,$B107,'3. Peat Data'!$F$5:$F$604,"&lt;="&amp;$F107))</f>
        <v/>
      </c>
      <c r="T107" s="18">
        <f>IF(AND($A107="",$B107="",$E107=""),"",IF(AND($B107&lt;&gt;"",COUNTIF('2. Core Log'!$A$5:$A$124,$B107)=0),"Core ID not in Core Log. ","")&amp;IF(AND($A107&lt;&gt;"",COUNTIF('1. Plot &amp; Site Log'!$A$5:$A$64,$A107)=0),"Plot ID not in Plot &amp; Site Log. ","")&amp;IF(AND(ISNUMBER($E107),ISNUMBER($F107),$F107&lt;=$E107),"Bottom depth is not below top depth. ","")&amp;IF($I107="","Say which bulk-density basis the lab reported. ","")&amp;IF(AND(ISNUMBER($J107),OR($J107&lt;QC_BD_MIN,$J107&gt;QC_BD_MAX)),"Bulk density outside "&amp;QC_BD_MIN&amp;"–"&amp;QC_BD_MAX&amp;" g/cm³ for peat. Above the top of that range usually means the mineral contact has been passed. ","")&amp;IF(AND(ISNUMBER($N107),$N107&gt;QC_CARBON_PCT_MAX),"Carbon above "&amp;QC_CARBON_PCT_MAX&amp;"% — check units; this may be organic matter rather than carbon. ","")&amp;IF(AND($L107&lt;&gt;"",$M107&lt;&gt;""),"Both LOI and measured carbon given — the measured value is used. ","")&amp;IF(AND($M107="",$L107&lt;&gt;"",OM_FACTOR_IS_LOCAL&lt;&gt;"Yes"),"Carbon derived from LOI using the default factor of "&amp;CARBON_FRACTION_OM&amp;", which has not been calibrated locally. See R1. Reference. ","")&amp;IF(AND(ISNUMBER($O107),$O107=0,ISNUMBER($E107)),"Section lies entirely below the reference depth — it counts to the full-profile stock only. ",""))</f>
        <v/>
      </c>
      <c r="U107" s="14" t="n"/>
    </row>
    <row r="108">
      <c r="A108" s="14" t="n"/>
      <c r="B108" s="14" t="n"/>
      <c r="C108" s="14" t="n"/>
      <c r="D108" s="14" t="n"/>
      <c r="E108" s="14" t="n"/>
      <c r="F108" s="14" t="n"/>
      <c r="G108" s="14">
        <f>IF(OR($E108="",$F108=""),"",$F108-$E108)</f>
        <v/>
      </c>
      <c r="H108" s="14" t="n"/>
      <c r="I108" s="14" t="n"/>
      <c r="J108" s="19" t="n"/>
      <c r="K108" s="19" t="n"/>
      <c r="L108" s="19" t="n"/>
      <c r="M108" s="19" t="n"/>
      <c r="N108" s="18">
        <f>IF($M108&lt;&gt;"",$M108,IF($L108&lt;&gt;"",$L108*CARBON_FRACTION_OM,""))</f>
        <v/>
      </c>
      <c r="O108" s="18">
        <f>IF(OR($E108="",$F108=""),"",MAX(0,MIN($F108,REFERENCE_DEPTH_CM)-MIN($E108,REFERENCE_DEPTH_CM)))</f>
        <v/>
      </c>
      <c r="P108" s="18">
        <f>IF(OR($J108="",$N108="",$G108=""),"",$J108*($N108/100)*$G108*10)</f>
        <v/>
      </c>
      <c r="Q108" s="18">
        <f>IF(OR($J108="",$N108="",$O108=""),"",$J108*($N108/100)*$O108*10)</f>
        <v/>
      </c>
      <c r="R108" s="18">
        <f>IF(OR(NOT(ISNUMBER($P108)),NOT(ISNUMBER($G108)),$G108=0),0,$P108/$G108)</f>
        <v/>
      </c>
      <c r="S108" s="18">
        <f>IF(OR($B108="",NOT(ISNUMBER($F108))),"",SUMIFS('3. Peat Data'!$P$5:$P$604,'3. Peat Data'!$B$5:$B$604,$B108,'3. Peat Data'!$F$5:$F$604,"&lt;="&amp;$F108))</f>
        <v/>
      </c>
      <c r="T108" s="18">
        <f>IF(AND($A108="",$B108="",$E108=""),"",IF(AND($B108&lt;&gt;"",COUNTIF('2. Core Log'!$A$5:$A$124,$B108)=0),"Core ID not in Core Log. ","")&amp;IF(AND($A108&lt;&gt;"",COUNTIF('1. Plot &amp; Site Log'!$A$5:$A$64,$A108)=0),"Plot ID not in Plot &amp; Site Log. ","")&amp;IF(AND(ISNUMBER($E108),ISNUMBER($F108),$F108&lt;=$E108),"Bottom depth is not below top depth. ","")&amp;IF($I108="","Say which bulk-density basis the lab reported. ","")&amp;IF(AND(ISNUMBER($J108),OR($J108&lt;QC_BD_MIN,$J108&gt;QC_BD_MAX)),"Bulk density outside "&amp;QC_BD_MIN&amp;"–"&amp;QC_BD_MAX&amp;" g/cm³ for peat. Above the top of that range usually means the mineral contact has been passed. ","")&amp;IF(AND(ISNUMBER($N108),$N108&gt;QC_CARBON_PCT_MAX),"Carbon above "&amp;QC_CARBON_PCT_MAX&amp;"% — check units; this may be organic matter rather than carbon. ","")&amp;IF(AND($L108&lt;&gt;"",$M108&lt;&gt;""),"Both LOI and measured carbon given — the measured value is used. ","")&amp;IF(AND($M108="",$L108&lt;&gt;"",OM_FACTOR_IS_LOCAL&lt;&gt;"Yes"),"Carbon derived from LOI using the default factor of "&amp;CARBON_FRACTION_OM&amp;", which has not been calibrated locally. See R1. Reference. ","")&amp;IF(AND(ISNUMBER($O108),$O108=0,ISNUMBER($E108)),"Section lies entirely below the reference depth — it counts to the full-profile stock only. ",""))</f>
        <v/>
      </c>
      <c r="U108" s="14" t="n"/>
    </row>
    <row r="109">
      <c r="A109" s="14" t="n"/>
      <c r="B109" s="14" t="n"/>
      <c r="C109" s="14" t="n"/>
      <c r="D109" s="14" t="n"/>
      <c r="E109" s="14" t="n"/>
      <c r="F109" s="14" t="n"/>
      <c r="G109" s="14">
        <f>IF(OR($E109="",$F109=""),"",$F109-$E109)</f>
        <v/>
      </c>
      <c r="H109" s="14" t="n"/>
      <c r="I109" s="14" t="n"/>
      <c r="J109" s="19" t="n"/>
      <c r="K109" s="19" t="n"/>
      <c r="L109" s="19" t="n"/>
      <c r="M109" s="19" t="n"/>
      <c r="N109" s="18">
        <f>IF($M109&lt;&gt;"",$M109,IF($L109&lt;&gt;"",$L109*CARBON_FRACTION_OM,""))</f>
        <v/>
      </c>
      <c r="O109" s="18">
        <f>IF(OR($E109="",$F109=""),"",MAX(0,MIN($F109,REFERENCE_DEPTH_CM)-MIN($E109,REFERENCE_DEPTH_CM)))</f>
        <v/>
      </c>
      <c r="P109" s="18">
        <f>IF(OR($J109="",$N109="",$G109=""),"",$J109*($N109/100)*$G109*10)</f>
        <v/>
      </c>
      <c r="Q109" s="18">
        <f>IF(OR($J109="",$N109="",$O109=""),"",$J109*($N109/100)*$O109*10)</f>
        <v/>
      </c>
      <c r="R109" s="18">
        <f>IF(OR(NOT(ISNUMBER($P109)),NOT(ISNUMBER($G109)),$G109=0),0,$P109/$G109)</f>
        <v/>
      </c>
      <c r="S109" s="18">
        <f>IF(OR($B109="",NOT(ISNUMBER($F109))),"",SUMIFS('3. Peat Data'!$P$5:$P$604,'3. Peat Data'!$B$5:$B$604,$B109,'3. Peat Data'!$F$5:$F$604,"&lt;="&amp;$F109))</f>
        <v/>
      </c>
      <c r="T109" s="18">
        <f>IF(AND($A109="",$B109="",$E109=""),"",IF(AND($B109&lt;&gt;"",COUNTIF('2. Core Log'!$A$5:$A$124,$B109)=0),"Core ID not in Core Log. ","")&amp;IF(AND($A109&lt;&gt;"",COUNTIF('1. Plot &amp; Site Log'!$A$5:$A$64,$A109)=0),"Plot ID not in Plot &amp; Site Log. ","")&amp;IF(AND(ISNUMBER($E109),ISNUMBER($F109),$F109&lt;=$E109),"Bottom depth is not below top depth. ","")&amp;IF($I109="","Say which bulk-density basis the lab reported. ","")&amp;IF(AND(ISNUMBER($J109),OR($J109&lt;QC_BD_MIN,$J109&gt;QC_BD_MAX)),"Bulk density outside "&amp;QC_BD_MIN&amp;"–"&amp;QC_BD_MAX&amp;" g/cm³ for peat. Above the top of that range usually means the mineral contact has been passed. ","")&amp;IF(AND(ISNUMBER($N109),$N109&gt;QC_CARBON_PCT_MAX),"Carbon above "&amp;QC_CARBON_PCT_MAX&amp;"% — check units; this may be organic matter rather than carbon. ","")&amp;IF(AND($L109&lt;&gt;"",$M109&lt;&gt;""),"Both LOI and measured carbon given — the measured value is used. ","")&amp;IF(AND($M109="",$L109&lt;&gt;"",OM_FACTOR_IS_LOCAL&lt;&gt;"Yes"),"Carbon derived from LOI using the default factor of "&amp;CARBON_FRACTION_OM&amp;", which has not been calibrated locally. See R1. Reference. ","")&amp;IF(AND(ISNUMBER($O109),$O109=0,ISNUMBER($E109)),"Section lies entirely below the reference depth — it counts to the full-profile stock only. ",""))</f>
        <v/>
      </c>
      <c r="U109" s="14" t="n"/>
    </row>
    <row r="110">
      <c r="A110" s="14" t="n"/>
      <c r="B110" s="14" t="n"/>
      <c r="C110" s="14" t="n"/>
      <c r="D110" s="14" t="n"/>
      <c r="E110" s="14" t="n"/>
      <c r="F110" s="14" t="n"/>
      <c r="G110" s="14">
        <f>IF(OR($E110="",$F110=""),"",$F110-$E110)</f>
        <v/>
      </c>
      <c r="H110" s="14" t="n"/>
      <c r="I110" s="14" t="n"/>
      <c r="J110" s="19" t="n"/>
      <c r="K110" s="19" t="n"/>
      <c r="L110" s="19" t="n"/>
      <c r="M110" s="19" t="n"/>
      <c r="N110" s="18">
        <f>IF($M110&lt;&gt;"",$M110,IF($L110&lt;&gt;"",$L110*CARBON_FRACTION_OM,""))</f>
        <v/>
      </c>
      <c r="O110" s="18">
        <f>IF(OR($E110="",$F110=""),"",MAX(0,MIN($F110,REFERENCE_DEPTH_CM)-MIN($E110,REFERENCE_DEPTH_CM)))</f>
        <v/>
      </c>
      <c r="P110" s="18">
        <f>IF(OR($J110="",$N110="",$G110=""),"",$J110*($N110/100)*$G110*10)</f>
        <v/>
      </c>
      <c r="Q110" s="18">
        <f>IF(OR($J110="",$N110="",$O110=""),"",$J110*($N110/100)*$O110*10)</f>
        <v/>
      </c>
      <c r="R110" s="18">
        <f>IF(OR(NOT(ISNUMBER($P110)),NOT(ISNUMBER($G110)),$G110=0),0,$P110/$G110)</f>
        <v/>
      </c>
      <c r="S110" s="18">
        <f>IF(OR($B110="",NOT(ISNUMBER($F110))),"",SUMIFS('3. Peat Data'!$P$5:$P$604,'3. Peat Data'!$B$5:$B$604,$B110,'3. Peat Data'!$F$5:$F$604,"&lt;="&amp;$F110))</f>
        <v/>
      </c>
      <c r="T110" s="18">
        <f>IF(AND($A110="",$B110="",$E110=""),"",IF(AND($B110&lt;&gt;"",COUNTIF('2. Core Log'!$A$5:$A$124,$B110)=0),"Core ID not in Core Log. ","")&amp;IF(AND($A110&lt;&gt;"",COUNTIF('1. Plot &amp; Site Log'!$A$5:$A$64,$A110)=0),"Plot ID not in Plot &amp; Site Log. ","")&amp;IF(AND(ISNUMBER($E110),ISNUMBER($F110),$F110&lt;=$E110),"Bottom depth is not below top depth. ","")&amp;IF($I110="","Say which bulk-density basis the lab reported. ","")&amp;IF(AND(ISNUMBER($J110),OR($J110&lt;QC_BD_MIN,$J110&gt;QC_BD_MAX)),"Bulk density outside "&amp;QC_BD_MIN&amp;"–"&amp;QC_BD_MAX&amp;" g/cm³ for peat. Above the top of that range usually means the mineral contact has been passed. ","")&amp;IF(AND(ISNUMBER($N110),$N110&gt;QC_CARBON_PCT_MAX),"Carbon above "&amp;QC_CARBON_PCT_MAX&amp;"% — check units; this may be organic matter rather than carbon. ","")&amp;IF(AND($L110&lt;&gt;"",$M110&lt;&gt;""),"Both LOI and measured carbon given — the measured value is used. ","")&amp;IF(AND($M110="",$L110&lt;&gt;"",OM_FACTOR_IS_LOCAL&lt;&gt;"Yes"),"Carbon derived from LOI using the default factor of "&amp;CARBON_FRACTION_OM&amp;", which has not been calibrated locally. See R1. Reference. ","")&amp;IF(AND(ISNUMBER($O110),$O110=0,ISNUMBER($E110)),"Section lies entirely below the reference depth — it counts to the full-profile stock only. ",""))</f>
        <v/>
      </c>
      <c r="U110" s="14" t="n"/>
    </row>
    <row r="111">
      <c r="A111" s="14" t="n"/>
      <c r="B111" s="14" t="n"/>
      <c r="C111" s="14" t="n"/>
      <c r="D111" s="14" t="n"/>
      <c r="E111" s="14" t="n"/>
      <c r="F111" s="14" t="n"/>
      <c r="G111" s="14">
        <f>IF(OR($E111="",$F111=""),"",$F111-$E111)</f>
        <v/>
      </c>
      <c r="H111" s="14" t="n"/>
      <c r="I111" s="14" t="n"/>
      <c r="J111" s="19" t="n"/>
      <c r="K111" s="19" t="n"/>
      <c r="L111" s="19" t="n"/>
      <c r="M111" s="19" t="n"/>
      <c r="N111" s="18">
        <f>IF($M111&lt;&gt;"",$M111,IF($L111&lt;&gt;"",$L111*CARBON_FRACTION_OM,""))</f>
        <v/>
      </c>
      <c r="O111" s="18">
        <f>IF(OR($E111="",$F111=""),"",MAX(0,MIN($F111,REFERENCE_DEPTH_CM)-MIN($E111,REFERENCE_DEPTH_CM)))</f>
        <v/>
      </c>
      <c r="P111" s="18">
        <f>IF(OR($J111="",$N111="",$G111=""),"",$J111*($N111/100)*$G111*10)</f>
        <v/>
      </c>
      <c r="Q111" s="18">
        <f>IF(OR($J111="",$N111="",$O111=""),"",$J111*($N111/100)*$O111*10)</f>
        <v/>
      </c>
      <c r="R111" s="18">
        <f>IF(OR(NOT(ISNUMBER($P111)),NOT(ISNUMBER($G111)),$G111=0),0,$P111/$G111)</f>
        <v/>
      </c>
      <c r="S111" s="18">
        <f>IF(OR($B111="",NOT(ISNUMBER($F111))),"",SUMIFS('3. Peat Data'!$P$5:$P$604,'3. Peat Data'!$B$5:$B$604,$B111,'3. Peat Data'!$F$5:$F$604,"&lt;="&amp;$F111))</f>
        <v/>
      </c>
      <c r="T111" s="18">
        <f>IF(AND($A111="",$B111="",$E111=""),"",IF(AND($B111&lt;&gt;"",COUNTIF('2. Core Log'!$A$5:$A$124,$B111)=0),"Core ID not in Core Log. ","")&amp;IF(AND($A111&lt;&gt;"",COUNTIF('1. Plot &amp; Site Log'!$A$5:$A$64,$A111)=0),"Plot ID not in Plot &amp; Site Log. ","")&amp;IF(AND(ISNUMBER($E111),ISNUMBER($F111),$F111&lt;=$E111),"Bottom depth is not below top depth. ","")&amp;IF($I111="","Say which bulk-density basis the lab reported. ","")&amp;IF(AND(ISNUMBER($J111),OR($J111&lt;QC_BD_MIN,$J111&gt;QC_BD_MAX)),"Bulk density outside "&amp;QC_BD_MIN&amp;"–"&amp;QC_BD_MAX&amp;" g/cm³ for peat. Above the top of that range usually means the mineral contact has been passed. ","")&amp;IF(AND(ISNUMBER($N111),$N111&gt;QC_CARBON_PCT_MAX),"Carbon above "&amp;QC_CARBON_PCT_MAX&amp;"% — check units; this may be organic matter rather than carbon. ","")&amp;IF(AND($L111&lt;&gt;"",$M111&lt;&gt;""),"Both LOI and measured carbon given — the measured value is used. ","")&amp;IF(AND($M111="",$L111&lt;&gt;"",OM_FACTOR_IS_LOCAL&lt;&gt;"Yes"),"Carbon derived from LOI using the default factor of "&amp;CARBON_FRACTION_OM&amp;", which has not been calibrated locally. See R1. Reference. ","")&amp;IF(AND(ISNUMBER($O111),$O111=0,ISNUMBER($E111)),"Section lies entirely below the reference depth — it counts to the full-profile stock only. ",""))</f>
        <v/>
      </c>
      <c r="U111" s="14" t="n"/>
    </row>
    <row r="112">
      <c r="A112" s="14" t="n"/>
      <c r="B112" s="14" t="n"/>
      <c r="C112" s="14" t="n"/>
      <c r="D112" s="14" t="n"/>
      <c r="E112" s="14" t="n"/>
      <c r="F112" s="14" t="n"/>
      <c r="G112" s="14">
        <f>IF(OR($E112="",$F112=""),"",$F112-$E112)</f>
        <v/>
      </c>
      <c r="H112" s="14" t="n"/>
      <c r="I112" s="14" t="n"/>
      <c r="J112" s="19" t="n"/>
      <c r="K112" s="19" t="n"/>
      <c r="L112" s="19" t="n"/>
      <c r="M112" s="19" t="n"/>
      <c r="N112" s="18">
        <f>IF($M112&lt;&gt;"",$M112,IF($L112&lt;&gt;"",$L112*CARBON_FRACTION_OM,""))</f>
        <v/>
      </c>
      <c r="O112" s="18">
        <f>IF(OR($E112="",$F112=""),"",MAX(0,MIN($F112,REFERENCE_DEPTH_CM)-MIN($E112,REFERENCE_DEPTH_CM)))</f>
        <v/>
      </c>
      <c r="P112" s="18">
        <f>IF(OR($J112="",$N112="",$G112=""),"",$J112*($N112/100)*$G112*10)</f>
        <v/>
      </c>
      <c r="Q112" s="18">
        <f>IF(OR($J112="",$N112="",$O112=""),"",$J112*($N112/100)*$O112*10)</f>
        <v/>
      </c>
      <c r="R112" s="18">
        <f>IF(OR(NOT(ISNUMBER($P112)),NOT(ISNUMBER($G112)),$G112=0),0,$P112/$G112)</f>
        <v/>
      </c>
      <c r="S112" s="18">
        <f>IF(OR($B112="",NOT(ISNUMBER($F112))),"",SUMIFS('3. Peat Data'!$P$5:$P$604,'3. Peat Data'!$B$5:$B$604,$B112,'3. Peat Data'!$F$5:$F$604,"&lt;="&amp;$F112))</f>
        <v/>
      </c>
      <c r="T112" s="18">
        <f>IF(AND($A112="",$B112="",$E112=""),"",IF(AND($B112&lt;&gt;"",COUNTIF('2. Core Log'!$A$5:$A$124,$B112)=0),"Core ID not in Core Log. ","")&amp;IF(AND($A112&lt;&gt;"",COUNTIF('1. Plot &amp; Site Log'!$A$5:$A$64,$A112)=0),"Plot ID not in Plot &amp; Site Log. ","")&amp;IF(AND(ISNUMBER($E112),ISNUMBER($F112),$F112&lt;=$E112),"Bottom depth is not below top depth. ","")&amp;IF($I112="","Say which bulk-density basis the lab reported. ","")&amp;IF(AND(ISNUMBER($J112),OR($J112&lt;QC_BD_MIN,$J112&gt;QC_BD_MAX)),"Bulk density outside "&amp;QC_BD_MIN&amp;"–"&amp;QC_BD_MAX&amp;" g/cm³ for peat. Above the top of that range usually means the mineral contact has been passed. ","")&amp;IF(AND(ISNUMBER($N112),$N112&gt;QC_CARBON_PCT_MAX),"Carbon above "&amp;QC_CARBON_PCT_MAX&amp;"% — check units; this may be organic matter rather than carbon. ","")&amp;IF(AND($L112&lt;&gt;"",$M112&lt;&gt;""),"Both LOI and measured carbon given — the measured value is used. ","")&amp;IF(AND($M112="",$L112&lt;&gt;"",OM_FACTOR_IS_LOCAL&lt;&gt;"Yes"),"Carbon derived from LOI using the default factor of "&amp;CARBON_FRACTION_OM&amp;", which has not been calibrated locally. See R1. Reference. ","")&amp;IF(AND(ISNUMBER($O112),$O112=0,ISNUMBER($E112)),"Section lies entirely below the reference depth — it counts to the full-profile stock only. ",""))</f>
        <v/>
      </c>
      <c r="U112" s="14" t="n"/>
    </row>
    <row r="113">
      <c r="A113" s="14" t="n"/>
      <c r="B113" s="14" t="n"/>
      <c r="C113" s="14" t="n"/>
      <c r="D113" s="14" t="n"/>
      <c r="E113" s="14" t="n"/>
      <c r="F113" s="14" t="n"/>
      <c r="G113" s="14">
        <f>IF(OR($E113="",$F113=""),"",$F113-$E113)</f>
        <v/>
      </c>
      <c r="H113" s="14" t="n"/>
      <c r="I113" s="14" t="n"/>
      <c r="J113" s="19" t="n"/>
      <c r="K113" s="19" t="n"/>
      <c r="L113" s="19" t="n"/>
      <c r="M113" s="19" t="n"/>
      <c r="N113" s="18">
        <f>IF($M113&lt;&gt;"",$M113,IF($L113&lt;&gt;"",$L113*CARBON_FRACTION_OM,""))</f>
        <v/>
      </c>
      <c r="O113" s="18">
        <f>IF(OR($E113="",$F113=""),"",MAX(0,MIN($F113,REFERENCE_DEPTH_CM)-MIN($E113,REFERENCE_DEPTH_CM)))</f>
        <v/>
      </c>
      <c r="P113" s="18">
        <f>IF(OR($J113="",$N113="",$G113=""),"",$J113*($N113/100)*$G113*10)</f>
        <v/>
      </c>
      <c r="Q113" s="18">
        <f>IF(OR($J113="",$N113="",$O113=""),"",$J113*($N113/100)*$O113*10)</f>
        <v/>
      </c>
      <c r="R113" s="18">
        <f>IF(OR(NOT(ISNUMBER($P113)),NOT(ISNUMBER($G113)),$G113=0),0,$P113/$G113)</f>
        <v/>
      </c>
      <c r="S113" s="18">
        <f>IF(OR($B113="",NOT(ISNUMBER($F113))),"",SUMIFS('3. Peat Data'!$P$5:$P$604,'3. Peat Data'!$B$5:$B$604,$B113,'3. Peat Data'!$F$5:$F$604,"&lt;="&amp;$F113))</f>
        <v/>
      </c>
      <c r="T113" s="18">
        <f>IF(AND($A113="",$B113="",$E113=""),"",IF(AND($B113&lt;&gt;"",COUNTIF('2. Core Log'!$A$5:$A$124,$B113)=0),"Core ID not in Core Log. ","")&amp;IF(AND($A113&lt;&gt;"",COUNTIF('1. Plot &amp; Site Log'!$A$5:$A$64,$A113)=0),"Plot ID not in Plot &amp; Site Log. ","")&amp;IF(AND(ISNUMBER($E113),ISNUMBER($F113),$F113&lt;=$E113),"Bottom depth is not below top depth. ","")&amp;IF($I113="","Say which bulk-density basis the lab reported. ","")&amp;IF(AND(ISNUMBER($J113),OR($J113&lt;QC_BD_MIN,$J113&gt;QC_BD_MAX)),"Bulk density outside "&amp;QC_BD_MIN&amp;"–"&amp;QC_BD_MAX&amp;" g/cm³ for peat. Above the top of that range usually means the mineral contact has been passed. ","")&amp;IF(AND(ISNUMBER($N113),$N113&gt;QC_CARBON_PCT_MAX),"Carbon above "&amp;QC_CARBON_PCT_MAX&amp;"% — check units; this may be organic matter rather than carbon. ","")&amp;IF(AND($L113&lt;&gt;"",$M113&lt;&gt;""),"Both LOI and measured carbon given — the measured value is used. ","")&amp;IF(AND($M113="",$L113&lt;&gt;"",OM_FACTOR_IS_LOCAL&lt;&gt;"Yes"),"Carbon derived from LOI using the default factor of "&amp;CARBON_FRACTION_OM&amp;", which has not been calibrated locally. See R1. Reference. ","")&amp;IF(AND(ISNUMBER($O113),$O113=0,ISNUMBER($E113)),"Section lies entirely below the reference depth — it counts to the full-profile stock only. ",""))</f>
        <v/>
      </c>
      <c r="U113" s="14" t="n"/>
    </row>
    <row r="114">
      <c r="A114" s="14" t="n"/>
      <c r="B114" s="14" t="n"/>
      <c r="C114" s="14" t="n"/>
      <c r="D114" s="14" t="n"/>
      <c r="E114" s="14" t="n"/>
      <c r="F114" s="14" t="n"/>
      <c r="G114" s="14">
        <f>IF(OR($E114="",$F114=""),"",$F114-$E114)</f>
        <v/>
      </c>
      <c r="H114" s="14" t="n"/>
      <c r="I114" s="14" t="n"/>
      <c r="J114" s="19" t="n"/>
      <c r="K114" s="19" t="n"/>
      <c r="L114" s="19" t="n"/>
      <c r="M114" s="19" t="n"/>
      <c r="N114" s="18">
        <f>IF($M114&lt;&gt;"",$M114,IF($L114&lt;&gt;"",$L114*CARBON_FRACTION_OM,""))</f>
        <v/>
      </c>
      <c r="O114" s="18">
        <f>IF(OR($E114="",$F114=""),"",MAX(0,MIN($F114,REFERENCE_DEPTH_CM)-MIN($E114,REFERENCE_DEPTH_CM)))</f>
        <v/>
      </c>
      <c r="P114" s="18">
        <f>IF(OR($J114="",$N114="",$G114=""),"",$J114*($N114/100)*$G114*10)</f>
        <v/>
      </c>
      <c r="Q114" s="18">
        <f>IF(OR($J114="",$N114="",$O114=""),"",$J114*($N114/100)*$O114*10)</f>
        <v/>
      </c>
      <c r="R114" s="18">
        <f>IF(OR(NOT(ISNUMBER($P114)),NOT(ISNUMBER($G114)),$G114=0),0,$P114/$G114)</f>
        <v/>
      </c>
      <c r="S114" s="18">
        <f>IF(OR($B114="",NOT(ISNUMBER($F114))),"",SUMIFS('3. Peat Data'!$P$5:$P$604,'3. Peat Data'!$B$5:$B$604,$B114,'3. Peat Data'!$F$5:$F$604,"&lt;="&amp;$F114))</f>
        <v/>
      </c>
      <c r="T114" s="18">
        <f>IF(AND($A114="",$B114="",$E114=""),"",IF(AND($B114&lt;&gt;"",COUNTIF('2. Core Log'!$A$5:$A$124,$B114)=0),"Core ID not in Core Log. ","")&amp;IF(AND($A114&lt;&gt;"",COUNTIF('1. Plot &amp; Site Log'!$A$5:$A$64,$A114)=0),"Plot ID not in Plot &amp; Site Log. ","")&amp;IF(AND(ISNUMBER($E114),ISNUMBER($F114),$F114&lt;=$E114),"Bottom depth is not below top depth. ","")&amp;IF($I114="","Say which bulk-density basis the lab reported. ","")&amp;IF(AND(ISNUMBER($J114),OR($J114&lt;QC_BD_MIN,$J114&gt;QC_BD_MAX)),"Bulk density outside "&amp;QC_BD_MIN&amp;"–"&amp;QC_BD_MAX&amp;" g/cm³ for peat. Above the top of that range usually means the mineral contact has been passed. ","")&amp;IF(AND(ISNUMBER($N114),$N114&gt;QC_CARBON_PCT_MAX),"Carbon above "&amp;QC_CARBON_PCT_MAX&amp;"% — check units; this may be organic matter rather than carbon. ","")&amp;IF(AND($L114&lt;&gt;"",$M114&lt;&gt;""),"Both LOI and measured carbon given — the measured value is used. ","")&amp;IF(AND($M114="",$L114&lt;&gt;"",OM_FACTOR_IS_LOCAL&lt;&gt;"Yes"),"Carbon derived from LOI using the default factor of "&amp;CARBON_FRACTION_OM&amp;", which has not been calibrated locally. See R1. Reference. ","")&amp;IF(AND(ISNUMBER($O114),$O114=0,ISNUMBER($E114)),"Section lies entirely below the reference depth — it counts to the full-profile stock only. ",""))</f>
        <v/>
      </c>
      <c r="U114" s="14" t="n"/>
    </row>
    <row r="115">
      <c r="A115" s="14" t="n"/>
      <c r="B115" s="14" t="n"/>
      <c r="C115" s="14" t="n"/>
      <c r="D115" s="14" t="n"/>
      <c r="E115" s="14" t="n"/>
      <c r="F115" s="14" t="n"/>
      <c r="G115" s="14">
        <f>IF(OR($E115="",$F115=""),"",$F115-$E115)</f>
        <v/>
      </c>
      <c r="H115" s="14" t="n"/>
      <c r="I115" s="14" t="n"/>
      <c r="J115" s="19" t="n"/>
      <c r="K115" s="19" t="n"/>
      <c r="L115" s="19" t="n"/>
      <c r="M115" s="19" t="n"/>
      <c r="N115" s="18">
        <f>IF($M115&lt;&gt;"",$M115,IF($L115&lt;&gt;"",$L115*CARBON_FRACTION_OM,""))</f>
        <v/>
      </c>
      <c r="O115" s="18">
        <f>IF(OR($E115="",$F115=""),"",MAX(0,MIN($F115,REFERENCE_DEPTH_CM)-MIN($E115,REFERENCE_DEPTH_CM)))</f>
        <v/>
      </c>
      <c r="P115" s="18">
        <f>IF(OR($J115="",$N115="",$G115=""),"",$J115*($N115/100)*$G115*10)</f>
        <v/>
      </c>
      <c r="Q115" s="18">
        <f>IF(OR($J115="",$N115="",$O115=""),"",$J115*($N115/100)*$O115*10)</f>
        <v/>
      </c>
      <c r="R115" s="18">
        <f>IF(OR(NOT(ISNUMBER($P115)),NOT(ISNUMBER($G115)),$G115=0),0,$P115/$G115)</f>
        <v/>
      </c>
      <c r="S115" s="18">
        <f>IF(OR($B115="",NOT(ISNUMBER($F115))),"",SUMIFS('3. Peat Data'!$P$5:$P$604,'3. Peat Data'!$B$5:$B$604,$B115,'3. Peat Data'!$F$5:$F$604,"&lt;="&amp;$F115))</f>
        <v/>
      </c>
      <c r="T115" s="18">
        <f>IF(AND($A115="",$B115="",$E115=""),"",IF(AND($B115&lt;&gt;"",COUNTIF('2. Core Log'!$A$5:$A$124,$B115)=0),"Core ID not in Core Log. ","")&amp;IF(AND($A115&lt;&gt;"",COUNTIF('1. Plot &amp; Site Log'!$A$5:$A$64,$A115)=0),"Plot ID not in Plot &amp; Site Log. ","")&amp;IF(AND(ISNUMBER($E115),ISNUMBER($F115),$F115&lt;=$E115),"Bottom depth is not below top depth. ","")&amp;IF($I115="","Say which bulk-density basis the lab reported. ","")&amp;IF(AND(ISNUMBER($J115),OR($J115&lt;QC_BD_MIN,$J115&gt;QC_BD_MAX)),"Bulk density outside "&amp;QC_BD_MIN&amp;"–"&amp;QC_BD_MAX&amp;" g/cm³ for peat. Above the top of that range usually means the mineral contact has been passed. ","")&amp;IF(AND(ISNUMBER($N115),$N115&gt;QC_CARBON_PCT_MAX),"Carbon above "&amp;QC_CARBON_PCT_MAX&amp;"% — check units; this may be organic matter rather than carbon. ","")&amp;IF(AND($L115&lt;&gt;"",$M115&lt;&gt;""),"Both LOI and measured carbon given — the measured value is used. ","")&amp;IF(AND($M115="",$L115&lt;&gt;"",OM_FACTOR_IS_LOCAL&lt;&gt;"Yes"),"Carbon derived from LOI using the default factor of "&amp;CARBON_FRACTION_OM&amp;", which has not been calibrated locally. See R1. Reference. ","")&amp;IF(AND(ISNUMBER($O115),$O115=0,ISNUMBER($E115)),"Section lies entirely below the reference depth — it counts to the full-profile stock only. ",""))</f>
        <v/>
      </c>
      <c r="U115" s="14" t="n"/>
    </row>
    <row r="116">
      <c r="A116" s="14" t="n"/>
      <c r="B116" s="14" t="n"/>
      <c r="C116" s="14" t="n"/>
      <c r="D116" s="14" t="n"/>
      <c r="E116" s="14" t="n"/>
      <c r="F116" s="14" t="n"/>
      <c r="G116" s="14">
        <f>IF(OR($E116="",$F116=""),"",$F116-$E116)</f>
        <v/>
      </c>
      <c r="H116" s="14" t="n"/>
      <c r="I116" s="14" t="n"/>
      <c r="J116" s="19" t="n"/>
      <c r="K116" s="19" t="n"/>
      <c r="L116" s="19" t="n"/>
      <c r="M116" s="19" t="n"/>
      <c r="N116" s="18">
        <f>IF($M116&lt;&gt;"",$M116,IF($L116&lt;&gt;"",$L116*CARBON_FRACTION_OM,""))</f>
        <v/>
      </c>
      <c r="O116" s="18">
        <f>IF(OR($E116="",$F116=""),"",MAX(0,MIN($F116,REFERENCE_DEPTH_CM)-MIN($E116,REFERENCE_DEPTH_CM)))</f>
        <v/>
      </c>
      <c r="P116" s="18">
        <f>IF(OR($J116="",$N116="",$G116=""),"",$J116*($N116/100)*$G116*10)</f>
        <v/>
      </c>
      <c r="Q116" s="18">
        <f>IF(OR($J116="",$N116="",$O116=""),"",$J116*($N116/100)*$O116*10)</f>
        <v/>
      </c>
      <c r="R116" s="18">
        <f>IF(OR(NOT(ISNUMBER($P116)),NOT(ISNUMBER($G116)),$G116=0),0,$P116/$G116)</f>
        <v/>
      </c>
      <c r="S116" s="18">
        <f>IF(OR($B116="",NOT(ISNUMBER($F116))),"",SUMIFS('3. Peat Data'!$P$5:$P$604,'3. Peat Data'!$B$5:$B$604,$B116,'3. Peat Data'!$F$5:$F$604,"&lt;="&amp;$F116))</f>
        <v/>
      </c>
      <c r="T116" s="18">
        <f>IF(AND($A116="",$B116="",$E116=""),"",IF(AND($B116&lt;&gt;"",COUNTIF('2. Core Log'!$A$5:$A$124,$B116)=0),"Core ID not in Core Log. ","")&amp;IF(AND($A116&lt;&gt;"",COUNTIF('1. Plot &amp; Site Log'!$A$5:$A$64,$A116)=0),"Plot ID not in Plot &amp; Site Log. ","")&amp;IF(AND(ISNUMBER($E116),ISNUMBER($F116),$F116&lt;=$E116),"Bottom depth is not below top depth. ","")&amp;IF($I116="","Say which bulk-density basis the lab reported. ","")&amp;IF(AND(ISNUMBER($J116),OR($J116&lt;QC_BD_MIN,$J116&gt;QC_BD_MAX)),"Bulk density outside "&amp;QC_BD_MIN&amp;"–"&amp;QC_BD_MAX&amp;" g/cm³ for peat. Above the top of that range usually means the mineral contact has been passed. ","")&amp;IF(AND(ISNUMBER($N116),$N116&gt;QC_CARBON_PCT_MAX),"Carbon above "&amp;QC_CARBON_PCT_MAX&amp;"% — check units; this may be organic matter rather than carbon. ","")&amp;IF(AND($L116&lt;&gt;"",$M116&lt;&gt;""),"Both LOI and measured carbon given — the measured value is used. ","")&amp;IF(AND($M116="",$L116&lt;&gt;"",OM_FACTOR_IS_LOCAL&lt;&gt;"Yes"),"Carbon derived from LOI using the default factor of "&amp;CARBON_FRACTION_OM&amp;", which has not been calibrated locally. See R1. Reference. ","")&amp;IF(AND(ISNUMBER($O116),$O116=0,ISNUMBER($E116)),"Section lies entirely below the reference depth — it counts to the full-profile stock only. ",""))</f>
        <v/>
      </c>
      <c r="U116" s="14" t="n"/>
    </row>
    <row r="117">
      <c r="A117" s="14" t="n"/>
      <c r="B117" s="14" t="n"/>
      <c r="C117" s="14" t="n"/>
      <c r="D117" s="14" t="n"/>
      <c r="E117" s="14" t="n"/>
      <c r="F117" s="14" t="n"/>
      <c r="G117" s="14">
        <f>IF(OR($E117="",$F117=""),"",$F117-$E117)</f>
        <v/>
      </c>
      <c r="H117" s="14" t="n"/>
      <c r="I117" s="14" t="n"/>
      <c r="J117" s="19" t="n"/>
      <c r="K117" s="19" t="n"/>
      <c r="L117" s="19" t="n"/>
      <c r="M117" s="19" t="n"/>
      <c r="N117" s="18">
        <f>IF($M117&lt;&gt;"",$M117,IF($L117&lt;&gt;"",$L117*CARBON_FRACTION_OM,""))</f>
        <v/>
      </c>
      <c r="O117" s="18">
        <f>IF(OR($E117="",$F117=""),"",MAX(0,MIN($F117,REFERENCE_DEPTH_CM)-MIN($E117,REFERENCE_DEPTH_CM)))</f>
        <v/>
      </c>
      <c r="P117" s="18">
        <f>IF(OR($J117="",$N117="",$G117=""),"",$J117*($N117/100)*$G117*10)</f>
        <v/>
      </c>
      <c r="Q117" s="18">
        <f>IF(OR($J117="",$N117="",$O117=""),"",$J117*($N117/100)*$O117*10)</f>
        <v/>
      </c>
      <c r="R117" s="18">
        <f>IF(OR(NOT(ISNUMBER($P117)),NOT(ISNUMBER($G117)),$G117=0),0,$P117/$G117)</f>
        <v/>
      </c>
      <c r="S117" s="18">
        <f>IF(OR($B117="",NOT(ISNUMBER($F117))),"",SUMIFS('3. Peat Data'!$P$5:$P$604,'3. Peat Data'!$B$5:$B$604,$B117,'3. Peat Data'!$F$5:$F$604,"&lt;="&amp;$F117))</f>
        <v/>
      </c>
      <c r="T117" s="18">
        <f>IF(AND($A117="",$B117="",$E117=""),"",IF(AND($B117&lt;&gt;"",COUNTIF('2. Core Log'!$A$5:$A$124,$B117)=0),"Core ID not in Core Log. ","")&amp;IF(AND($A117&lt;&gt;"",COUNTIF('1. Plot &amp; Site Log'!$A$5:$A$64,$A117)=0),"Plot ID not in Plot &amp; Site Log. ","")&amp;IF(AND(ISNUMBER($E117),ISNUMBER($F117),$F117&lt;=$E117),"Bottom depth is not below top depth. ","")&amp;IF($I117="","Say which bulk-density basis the lab reported. ","")&amp;IF(AND(ISNUMBER($J117),OR($J117&lt;QC_BD_MIN,$J117&gt;QC_BD_MAX)),"Bulk density outside "&amp;QC_BD_MIN&amp;"–"&amp;QC_BD_MAX&amp;" g/cm³ for peat. Above the top of that range usually means the mineral contact has been passed. ","")&amp;IF(AND(ISNUMBER($N117),$N117&gt;QC_CARBON_PCT_MAX),"Carbon above "&amp;QC_CARBON_PCT_MAX&amp;"% — check units; this may be organic matter rather than carbon. ","")&amp;IF(AND($L117&lt;&gt;"",$M117&lt;&gt;""),"Both LOI and measured carbon given — the measured value is used. ","")&amp;IF(AND($M117="",$L117&lt;&gt;"",OM_FACTOR_IS_LOCAL&lt;&gt;"Yes"),"Carbon derived from LOI using the default factor of "&amp;CARBON_FRACTION_OM&amp;", which has not been calibrated locally. See R1. Reference. ","")&amp;IF(AND(ISNUMBER($O117),$O117=0,ISNUMBER($E117)),"Section lies entirely below the reference depth — it counts to the full-profile stock only. ",""))</f>
        <v/>
      </c>
      <c r="U117" s="14" t="n"/>
    </row>
    <row r="118">
      <c r="A118" s="14" t="n"/>
      <c r="B118" s="14" t="n"/>
      <c r="C118" s="14" t="n"/>
      <c r="D118" s="14" t="n"/>
      <c r="E118" s="14" t="n"/>
      <c r="F118" s="14" t="n"/>
      <c r="G118" s="14">
        <f>IF(OR($E118="",$F118=""),"",$F118-$E118)</f>
        <v/>
      </c>
      <c r="H118" s="14" t="n"/>
      <c r="I118" s="14" t="n"/>
      <c r="J118" s="19" t="n"/>
      <c r="K118" s="19" t="n"/>
      <c r="L118" s="19" t="n"/>
      <c r="M118" s="19" t="n"/>
      <c r="N118" s="18">
        <f>IF($M118&lt;&gt;"",$M118,IF($L118&lt;&gt;"",$L118*CARBON_FRACTION_OM,""))</f>
        <v/>
      </c>
      <c r="O118" s="18">
        <f>IF(OR($E118="",$F118=""),"",MAX(0,MIN($F118,REFERENCE_DEPTH_CM)-MIN($E118,REFERENCE_DEPTH_CM)))</f>
        <v/>
      </c>
      <c r="P118" s="18">
        <f>IF(OR($J118="",$N118="",$G118=""),"",$J118*($N118/100)*$G118*10)</f>
        <v/>
      </c>
      <c r="Q118" s="18">
        <f>IF(OR($J118="",$N118="",$O118=""),"",$J118*($N118/100)*$O118*10)</f>
        <v/>
      </c>
      <c r="R118" s="18">
        <f>IF(OR(NOT(ISNUMBER($P118)),NOT(ISNUMBER($G118)),$G118=0),0,$P118/$G118)</f>
        <v/>
      </c>
      <c r="S118" s="18">
        <f>IF(OR($B118="",NOT(ISNUMBER($F118))),"",SUMIFS('3. Peat Data'!$P$5:$P$604,'3. Peat Data'!$B$5:$B$604,$B118,'3. Peat Data'!$F$5:$F$604,"&lt;="&amp;$F118))</f>
        <v/>
      </c>
      <c r="T118" s="18">
        <f>IF(AND($A118="",$B118="",$E118=""),"",IF(AND($B118&lt;&gt;"",COUNTIF('2. Core Log'!$A$5:$A$124,$B118)=0),"Core ID not in Core Log. ","")&amp;IF(AND($A118&lt;&gt;"",COUNTIF('1. Plot &amp; Site Log'!$A$5:$A$64,$A118)=0),"Plot ID not in Plot &amp; Site Log. ","")&amp;IF(AND(ISNUMBER($E118),ISNUMBER($F118),$F118&lt;=$E118),"Bottom depth is not below top depth. ","")&amp;IF($I118="","Say which bulk-density basis the lab reported. ","")&amp;IF(AND(ISNUMBER($J118),OR($J118&lt;QC_BD_MIN,$J118&gt;QC_BD_MAX)),"Bulk density outside "&amp;QC_BD_MIN&amp;"–"&amp;QC_BD_MAX&amp;" g/cm³ for peat. Above the top of that range usually means the mineral contact has been passed. ","")&amp;IF(AND(ISNUMBER($N118),$N118&gt;QC_CARBON_PCT_MAX),"Carbon above "&amp;QC_CARBON_PCT_MAX&amp;"% — check units; this may be organic matter rather than carbon. ","")&amp;IF(AND($L118&lt;&gt;"",$M118&lt;&gt;""),"Both LOI and measured carbon given — the measured value is used. ","")&amp;IF(AND($M118="",$L118&lt;&gt;"",OM_FACTOR_IS_LOCAL&lt;&gt;"Yes"),"Carbon derived from LOI using the default factor of "&amp;CARBON_FRACTION_OM&amp;", which has not been calibrated locally. See R1. Reference. ","")&amp;IF(AND(ISNUMBER($O118),$O118=0,ISNUMBER($E118)),"Section lies entirely below the reference depth — it counts to the full-profile stock only. ",""))</f>
        <v/>
      </c>
      <c r="U118" s="14" t="n"/>
    </row>
    <row r="119">
      <c r="A119" s="14" t="n"/>
      <c r="B119" s="14" t="n"/>
      <c r="C119" s="14" t="n"/>
      <c r="D119" s="14" t="n"/>
      <c r="E119" s="14" t="n"/>
      <c r="F119" s="14" t="n"/>
      <c r="G119" s="14">
        <f>IF(OR($E119="",$F119=""),"",$F119-$E119)</f>
        <v/>
      </c>
      <c r="H119" s="14" t="n"/>
      <c r="I119" s="14" t="n"/>
      <c r="J119" s="19" t="n"/>
      <c r="K119" s="19" t="n"/>
      <c r="L119" s="19" t="n"/>
      <c r="M119" s="19" t="n"/>
      <c r="N119" s="18">
        <f>IF($M119&lt;&gt;"",$M119,IF($L119&lt;&gt;"",$L119*CARBON_FRACTION_OM,""))</f>
        <v/>
      </c>
      <c r="O119" s="18">
        <f>IF(OR($E119="",$F119=""),"",MAX(0,MIN($F119,REFERENCE_DEPTH_CM)-MIN($E119,REFERENCE_DEPTH_CM)))</f>
        <v/>
      </c>
      <c r="P119" s="18">
        <f>IF(OR($J119="",$N119="",$G119=""),"",$J119*($N119/100)*$G119*10)</f>
        <v/>
      </c>
      <c r="Q119" s="18">
        <f>IF(OR($J119="",$N119="",$O119=""),"",$J119*($N119/100)*$O119*10)</f>
        <v/>
      </c>
      <c r="R119" s="18">
        <f>IF(OR(NOT(ISNUMBER($P119)),NOT(ISNUMBER($G119)),$G119=0),0,$P119/$G119)</f>
        <v/>
      </c>
      <c r="S119" s="18">
        <f>IF(OR($B119="",NOT(ISNUMBER($F119))),"",SUMIFS('3. Peat Data'!$P$5:$P$604,'3. Peat Data'!$B$5:$B$604,$B119,'3. Peat Data'!$F$5:$F$604,"&lt;="&amp;$F119))</f>
        <v/>
      </c>
      <c r="T119" s="18">
        <f>IF(AND($A119="",$B119="",$E119=""),"",IF(AND($B119&lt;&gt;"",COUNTIF('2. Core Log'!$A$5:$A$124,$B119)=0),"Core ID not in Core Log. ","")&amp;IF(AND($A119&lt;&gt;"",COUNTIF('1. Plot &amp; Site Log'!$A$5:$A$64,$A119)=0),"Plot ID not in Plot &amp; Site Log. ","")&amp;IF(AND(ISNUMBER($E119),ISNUMBER($F119),$F119&lt;=$E119),"Bottom depth is not below top depth. ","")&amp;IF($I119="","Say which bulk-density basis the lab reported. ","")&amp;IF(AND(ISNUMBER($J119),OR($J119&lt;QC_BD_MIN,$J119&gt;QC_BD_MAX)),"Bulk density outside "&amp;QC_BD_MIN&amp;"–"&amp;QC_BD_MAX&amp;" g/cm³ for peat. Above the top of that range usually means the mineral contact has been passed. ","")&amp;IF(AND(ISNUMBER($N119),$N119&gt;QC_CARBON_PCT_MAX),"Carbon above "&amp;QC_CARBON_PCT_MAX&amp;"% — check units; this may be organic matter rather than carbon. ","")&amp;IF(AND($L119&lt;&gt;"",$M119&lt;&gt;""),"Both LOI and measured carbon given — the measured value is used. ","")&amp;IF(AND($M119="",$L119&lt;&gt;"",OM_FACTOR_IS_LOCAL&lt;&gt;"Yes"),"Carbon derived from LOI using the default factor of "&amp;CARBON_FRACTION_OM&amp;", which has not been calibrated locally. See R1. Reference. ","")&amp;IF(AND(ISNUMBER($O119),$O119=0,ISNUMBER($E119)),"Section lies entirely below the reference depth — it counts to the full-profile stock only. ",""))</f>
        <v/>
      </c>
      <c r="U119" s="14" t="n"/>
    </row>
    <row r="120">
      <c r="A120" s="14" t="n"/>
      <c r="B120" s="14" t="n"/>
      <c r="C120" s="14" t="n"/>
      <c r="D120" s="14" t="n"/>
      <c r="E120" s="14" t="n"/>
      <c r="F120" s="14" t="n"/>
      <c r="G120" s="14">
        <f>IF(OR($E120="",$F120=""),"",$F120-$E120)</f>
        <v/>
      </c>
      <c r="H120" s="14" t="n"/>
      <c r="I120" s="14" t="n"/>
      <c r="J120" s="19" t="n"/>
      <c r="K120" s="19" t="n"/>
      <c r="L120" s="19" t="n"/>
      <c r="M120" s="19" t="n"/>
      <c r="N120" s="18">
        <f>IF($M120&lt;&gt;"",$M120,IF($L120&lt;&gt;"",$L120*CARBON_FRACTION_OM,""))</f>
        <v/>
      </c>
      <c r="O120" s="18">
        <f>IF(OR($E120="",$F120=""),"",MAX(0,MIN($F120,REFERENCE_DEPTH_CM)-MIN($E120,REFERENCE_DEPTH_CM)))</f>
        <v/>
      </c>
      <c r="P120" s="18">
        <f>IF(OR($J120="",$N120="",$G120=""),"",$J120*($N120/100)*$G120*10)</f>
        <v/>
      </c>
      <c r="Q120" s="18">
        <f>IF(OR($J120="",$N120="",$O120=""),"",$J120*($N120/100)*$O120*10)</f>
        <v/>
      </c>
      <c r="R120" s="18">
        <f>IF(OR(NOT(ISNUMBER($P120)),NOT(ISNUMBER($G120)),$G120=0),0,$P120/$G120)</f>
        <v/>
      </c>
      <c r="S120" s="18">
        <f>IF(OR($B120="",NOT(ISNUMBER($F120))),"",SUMIFS('3. Peat Data'!$P$5:$P$604,'3. Peat Data'!$B$5:$B$604,$B120,'3. Peat Data'!$F$5:$F$604,"&lt;="&amp;$F120))</f>
        <v/>
      </c>
      <c r="T120" s="18">
        <f>IF(AND($A120="",$B120="",$E120=""),"",IF(AND($B120&lt;&gt;"",COUNTIF('2. Core Log'!$A$5:$A$124,$B120)=0),"Core ID not in Core Log. ","")&amp;IF(AND($A120&lt;&gt;"",COUNTIF('1. Plot &amp; Site Log'!$A$5:$A$64,$A120)=0),"Plot ID not in Plot &amp; Site Log. ","")&amp;IF(AND(ISNUMBER($E120),ISNUMBER($F120),$F120&lt;=$E120),"Bottom depth is not below top depth. ","")&amp;IF($I120="","Say which bulk-density basis the lab reported. ","")&amp;IF(AND(ISNUMBER($J120),OR($J120&lt;QC_BD_MIN,$J120&gt;QC_BD_MAX)),"Bulk density outside "&amp;QC_BD_MIN&amp;"–"&amp;QC_BD_MAX&amp;" g/cm³ for peat. Above the top of that range usually means the mineral contact has been passed. ","")&amp;IF(AND(ISNUMBER($N120),$N120&gt;QC_CARBON_PCT_MAX),"Carbon above "&amp;QC_CARBON_PCT_MAX&amp;"% — check units; this may be organic matter rather than carbon. ","")&amp;IF(AND($L120&lt;&gt;"",$M120&lt;&gt;""),"Both LOI and measured carbon given — the measured value is used. ","")&amp;IF(AND($M120="",$L120&lt;&gt;"",OM_FACTOR_IS_LOCAL&lt;&gt;"Yes"),"Carbon derived from LOI using the default factor of "&amp;CARBON_FRACTION_OM&amp;", which has not been calibrated locally. See R1. Reference. ","")&amp;IF(AND(ISNUMBER($O120),$O120=0,ISNUMBER($E120)),"Section lies entirely below the reference depth — it counts to the full-profile stock only. ",""))</f>
        <v/>
      </c>
      <c r="U120" s="14" t="n"/>
    </row>
    <row r="121">
      <c r="A121" s="14" t="n"/>
      <c r="B121" s="14" t="n"/>
      <c r="C121" s="14" t="n"/>
      <c r="D121" s="14" t="n"/>
      <c r="E121" s="14" t="n"/>
      <c r="F121" s="14" t="n"/>
      <c r="G121" s="14">
        <f>IF(OR($E121="",$F121=""),"",$F121-$E121)</f>
        <v/>
      </c>
      <c r="H121" s="14" t="n"/>
      <c r="I121" s="14" t="n"/>
      <c r="J121" s="19" t="n"/>
      <c r="K121" s="19" t="n"/>
      <c r="L121" s="19" t="n"/>
      <c r="M121" s="19" t="n"/>
      <c r="N121" s="18">
        <f>IF($M121&lt;&gt;"",$M121,IF($L121&lt;&gt;"",$L121*CARBON_FRACTION_OM,""))</f>
        <v/>
      </c>
      <c r="O121" s="18">
        <f>IF(OR($E121="",$F121=""),"",MAX(0,MIN($F121,REFERENCE_DEPTH_CM)-MIN($E121,REFERENCE_DEPTH_CM)))</f>
        <v/>
      </c>
      <c r="P121" s="18">
        <f>IF(OR($J121="",$N121="",$G121=""),"",$J121*($N121/100)*$G121*10)</f>
        <v/>
      </c>
      <c r="Q121" s="18">
        <f>IF(OR($J121="",$N121="",$O121=""),"",$J121*($N121/100)*$O121*10)</f>
        <v/>
      </c>
      <c r="R121" s="18">
        <f>IF(OR(NOT(ISNUMBER($P121)),NOT(ISNUMBER($G121)),$G121=0),0,$P121/$G121)</f>
        <v/>
      </c>
      <c r="S121" s="18">
        <f>IF(OR($B121="",NOT(ISNUMBER($F121))),"",SUMIFS('3. Peat Data'!$P$5:$P$604,'3. Peat Data'!$B$5:$B$604,$B121,'3. Peat Data'!$F$5:$F$604,"&lt;="&amp;$F121))</f>
        <v/>
      </c>
      <c r="T121" s="18">
        <f>IF(AND($A121="",$B121="",$E121=""),"",IF(AND($B121&lt;&gt;"",COUNTIF('2. Core Log'!$A$5:$A$124,$B121)=0),"Core ID not in Core Log. ","")&amp;IF(AND($A121&lt;&gt;"",COUNTIF('1. Plot &amp; Site Log'!$A$5:$A$64,$A121)=0),"Plot ID not in Plot &amp; Site Log. ","")&amp;IF(AND(ISNUMBER($E121),ISNUMBER($F121),$F121&lt;=$E121),"Bottom depth is not below top depth. ","")&amp;IF($I121="","Say which bulk-density basis the lab reported. ","")&amp;IF(AND(ISNUMBER($J121),OR($J121&lt;QC_BD_MIN,$J121&gt;QC_BD_MAX)),"Bulk density outside "&amp;QC_BD_MIN&amp;"–"&amp;QC_BD_MAX&amp;" g/cm³ for peat. Above the top of that range usually means the mineral contact has been passed. ","")&amp;IF(AND(ISNUMBER($N121),$N121&gt;QC_CARBON_PCT_MAX),"Carbon above "&amp;QC_CARBON_PCT_MAX&amp;"% — check units; this may be organic matter rather than carbon. ","")&amp;IF(AND($L121&lt;&gt;"",$M121&lt;&gt;""),"Both LOI and measured carbon given — the measured value is used. ","")&amp;IF(AND($M121="",$L121&lt;&gt;"",OM_FACTOR_IS_LOCAL&lt;&gt;"Yes"),"Carbon derived from LOI using the default factor of "&amp;CARBON_FRACTION_OM&amp;", which has not been calibrated locally. See R1. Reference. ","")&amp;IF(AND(ISNUMBER($O121),$O121=0,ISNUMBER($E121)),"Section lies entirely below the reference depth — it counts to the full-profile stock only. ",""))</f>
        <v/>
      </c>
      <c r="U121" s="14" t="n"/>
    </row>
    <row r="122">
      <c r="A122" s="14" t="n"/>
      <c r="B122" s="14" t="n"/>
      <c r="C122" s="14" t="n"/>
      <c r="D122" s="14" t="n"/>
      <c r="E122" s="14" t="n"/>
      <c r="F122" s="14" t="n"/>
      <c r="G122" s="14">
        <f>IF(OR($E122="",$F122=""),"",$F122-$E122)</f>
        <v/>
      </c>
      <c r="H122" s="14" t="n"/>
      <c r="I122" s="14" t="n"/>
      <c r="J122" s="19" t="n"/>
      <c r="K122" s="19" t="n"/>
      <c r="L122" s="19" t="n"/>
      <c r="M122" s="19" t="n"/>
      <c r="N122" s="18">
        <f>IF($M122&lt;&gt;"",$M122,IF($L122&lt;&gt;"",$L122*CARBON_FRACTION_OM,""))</f>
        <v/>
      </c>
      <c r="O122" s="18">
        <f>IF(OR($E122="",$F122=""),"",MAX(0,MIN($F122,REFERENCE_DEPTH_CM)-MIN($E122,REFERENCE_DEPTH_CM)))</f>
        <v/>
      </c>
      <c r="P122" s="18">
        <f>IF(OR($J122="",$N122="",$G122=""),"",$J122*($N122/100)*$G122*10)</f>
        <v/>
      </c>
      <c r="Q122" s="18">
        <f>IF(OR($J122="",$N122="",$O122=""),"",$J122*($N122/100)*$O122*10)</f>
        <v/>
      </c>
      <c r="R122" s="18">
        <f>IF(OR(NOT(ISNUMBER($P122)),NOT(ISNUMBER($G122)),$G122=0),0,$P122/$G122)</f>
        <v/>
      </c>
      <c r="S122" s="18">
        <f>IF(OR($B122="",NOT(ISNUMBER($F122))),"",SUMIFS('3. Peat Data'!$P$5:$P$604,'3. Peat Data'!$B$5:$B$604,$B122,'3. Peat Data'!$F$5:$F$604,"&lt;="&amp;$F122))</f>
        <v/>
      </c>
      <c r="T122" s="18">
        <f>IF(AND($A122="",$B122="",$E122=""),"",IF(AND($B122&lt;&gt;"",COUNTIF('2. Core Log'!$A$5:$A$124,$B122)=0),"Core ID not in Core Log. ","")&amp;IF(AND($A122&lt;&gt;"",COUNTIF('1. Plot &amp; Site Log'!$A$5:$A$64,$A122)=0),"Plot ID not in Plot &amp; Site Log. ","")&amp;IF(AND(ISNUMBER($E122),ISNUMBER($F122),$F122&lt;=$E122),"Bottom depth is not below top depth. ","")&amp;IF($I122="","Say which bulk-density basis the lab reported. ","")&amp;IF(AND(ISNUMBER($J122),OR($J122&lt;QC_BD_MIN,$J122&gt;QC_BD_MAX)),"Bulk density outside "&amp;QC_BD_MIN&amp;"–"&amp;QC_BD_MAX&amp;" g/cm³ for peat. Above the top of that range usually means the mineral contact has been passed. ","")&amp;IF(AND(ISNUMBER($N122),$N122&gt;QC_CARBON_PCT_MAX),"Carbon above "&amp;QC_CARBON_PCT_MAX&amp;"% — check units; this may be organic matter rather than carbon. ","")&amp;IF(AND($L122&lt;&gt;"",$M122&lt;&gt;""),"Both LOI and measured carbon given — the measured value is used. ","")&amp;IF(AND($M122="",$L122&lt;&gt;"",OM_FACTOR_IS_LOCAL&lt;&gt;"Yes"),"Carbon derived from LOI using the default factor of "&amp;CARBON_FRACTION_OM&amp;", which has not been calibrated locally. See R1. Reference. ","")&amp;IF(AND(ISNUMBER($O122),$O122=0,ISNUMBER($E122)),"Section lies entirely below the reference depth — it counts to the full-profile stock only. ",""))</f>
        <v/>
      </c>
      <c r="U122" s="14" t="n"/>
    </row>
    <row r="123">
      <c r="A123" s="14" t="n"/>
      <c r="B123" s="14" t="n"/>
      <c r="C123" s="14" t="n"/>
      <c r="D123" s="14" t="n"/>
      <c r="E123" s="14" t="n"/>
      <c r="F123" s="14" t="n"/>
      <c r="G123" s="14">
        <f>IF(OR($E123="",$F123=""),"",$F123-$E123)</f>
        <v/>
      </c>
      <c r="H123" s="14" t="n"/>
      <c r="I123" s="14" t="n"/>
      <c r="J123" s="19" t="n"/>
      <c r="K123" s="19" t="n"/>
      <c r="L123" s="19" t="n"/>
      <c r="M123" s="19" t="n"/>
      <c r="N123" s="18">
        <f>IF($M123&lt;&gt;"",$M123,IF($L123&lt;&gt;"",$L123*CARBON_FRACTION_OM,""))</f>
        <v/>
      </c>
      <c r="O123" s="18">
        <f>IF(OR($E123="",$F123=""),"",MAX(0,MIN($F123,REFERENCE_DEPTH_CM)-MIN($E123,REFERENCE_DEPTH_CM)))</f>
        <v/>
      </c>
      <c r="P123" s="18">
        <f>IF(OR($J123="",$N123="",$G123=""),"",$J123*($N123/100)*$G123*10)</f>
        <v/>
      </c>
      <c r="Q123" s="18">
        <f>IF(OR($J123="",$N123="",$O123=""),"",$J123*($N123/100)*$O123*10)</f>
        <v/>
      </c>
      <c r="R123" s="18">
        <f>IF(OR(NOT(ISNUMBER($P123)),NOT(ISNUMBER($G123)),$G123=0),0,$P123/$G123)</f>
        <v/>
      </c>
      <c r="S123" s="18">
        <f>IF(OR($B123="",NOT(ISNUMBER($F123))),"",SUMIFS('3. Peat Data'!$P$5:$P$604,'3. Peat Data'!$B$5:$B$604,$B123,'3. Peat Data'!$F$5:$F$604,"&lt;="&amp;$F123))</f>
        <v/>
      </c>
      <c r="T123" s="18">
        <f>IF(AND($A123="",$B123="",$E123=""),"",IF(AND($B123&lt;&gt;"",COUNTIF('2. Core Log'!$A$5:$A$124,$B123)=0),"Core ID not in Core Log. ","")&amp;IF(AND($A123&lt;&gt;"",COUNTIF('1. Plot &amp; Site Log'!$A$5:$A$64,$A123)=0),"Plot ID not in Plot &amp; Site Log. ","")&amp;IF(AND(ISNUMBER($E123),ISNUMBER($F123),$F123&lt;=$E123),"Bottom depth is not below top depth. ","")&amp;IF($I123="","Say which bulk-density basis the lab reported. ","")&amp;IF(AND(ISNUMBER($J123),OR($J123&lt;QC_BD_MIN,$J123&gt;QC_BD_MAX)),"Bulk density outside "&amp;QC_BD_MIN&amp;"–"&amp;QC_BD_MAX&amp;" g/cm³ for peat. Above the top of that range usually means the mineral contact has been passed. ","")&amp;IF(AND(ISNUMBER($N123),$N123&gt;QC_CARBON_PCT_MAX),"Carbon above "&amp;QC_CARBON_PCT_MAX&amp;"% — check units; this may be organic matter rather than carbon. ","")&amp;IF(AND($L123&lt;&gt;"",$M123&lt;&gt;""),"Both LOI and measured carbon given — the measured value is used. ","")&amp;IF(AND($M123="",$L123&lt;&gt;"",OM_FACTOR_IS_LOCAL&lt;&gt;"Yes"),"Carbon derived from LOI using the default factor of "&amp;CARBON_FRACTION_OM&amp;", which has not been calibrated locally. See R1. Reference. ","")&amp;IF(AND(ISNUMBER($O123),$O123=0,ISNUMBER($E123)),"Section lies entirely below the reference depth — it counts to the full-profile stock only. ",""))</f>
        <v/>
      </c>
      <c r="U123" s="14" t="n"/>
    </row>
    <row r="124">
      <c r="A124" s="14" t="n"/>
      <c r="B124" s="14" t="n"/>
      <c r="C124" s="14" t="n"/>
      <c r="D124" s="14" t="n"/>
      <c r="E124" s="14" t="n"/>
      <c r="F124" s="14" t="n"/>
      <c r="G124" s="14">
        <f>IF(OR($E124="",$F124=""),"",$F124-$E124)</f>
        <v/>
      </c>
      <c r="H124" s="14" t="n"/>
      <c r="I124" s="14" t="n"/>
      <c r="J124" s="19" t="n"/>
      <c r="K124" s="19" t="n"/>
      <c r="L124" s="19" t="n"/>
      <c r="M124" s="19" t="n"/>
      <c r="N124" s="18">
        <f>IF($M124&lt;&gt;"",$M124,IF($L124&lt;&gt;"",$L124*CARBON_FRACTION_OM,""))</f>
        <v/>
      </c>
      <c r="O124" s="18">
        <f>IF(OR($E124="",$F124=""),"",MAX(0,MIN($F124,REFERENCE_DEPTH_CM)-MIN($E124,REFERENCE_DEPTH_CM)))</f>
        <v/>
      </c>
      <c r="P124" s="18">
        <f>IF(OR($J124="",$N124="",$G124=""),"",$J124*($N124/100)*$G124*10)</f>
        <v/>
      </c>
      <c r="Q124" s="18">
        <f>IF(OR($J124="",$N124="",$O124=""),"",$J124*($N124/100)*$O124*10)</f>
        <v/>
      </c>
      <c r="R124" s="18">
        <f>IF(OR(NOT(ISNUMBER($P124)),NOT(ISNUMBER($G124)),$G124=0),0,$P124/$G124)</f>
        <v/>
      </c>
      <c r="S124" s="18">
        <f>IF(OR($B124="",NOT(ISNUMBER($F124))),"",SUMIFS('3. Peat Data'!$P$5:$P$604,'3. Peat Data'!$B$5:$B$604,$B124,'3. Peat Data'!$F$5:$F$604,"&lt;="&amp;$F124))</f>
        <v/>
      </c>
      <c r="T124" s="18">
        <f>IF(AND($A124="",$B124="",$E124=""),"",IF(AND($B124&lt;&gt;"",COUNTIF('2. Core Log'!$A$5:$A$124,$B124)=0),"Core ID not in Core Log. ","")&amp;IF(AND($A124&lt;&gt;"",COUNTIF('1. Plot &amp; Site Log'!$A$5:$A$64,$A124)=0),"Plot ID not in Plot &amp; Site Log. ","")&amp;IF(AND(ISNUMBER($E124),ISNUMBER($F124),$F124&lt;=$E124),"Bottom depth is not below top depth. ","")&amp;IF($I124="","Say which bulk-density basis the lab reported. ","")&amp;IF(AND(ISNUMBER($J124),OR($J124&lt;QC_BD_MIN,$J124&gt;QC_BD_MAX)),"Bulk density outside "&amp;QC_BD_MIN&amp;"–"&amp;QC_BD_MAX&amp;" g/cm³ for peat. Above the top of that range usually means the mineral contact has been passed. ","")&amp;IF(AND(ISNUMBER($N124),$N124&gt;QC_CARBON_PCT_MAX),"Carbon above "&amp;QC_CARBON_PCT_MAX&amp;"% — check units; this may be organic matter rather than carbon. ","")&amp;IF(AND($L124&lt;&gt;"",$M124&lt;&gt;""),"Both LOI and measured carbon given — the measured value is used. ","")&amp;IF(AND($M124="",$L124&lt;&gt;"",OM_FACTOR_IS_LOCAL&lt;&gt;"Yes"),"Carbon derived from LOI using the default factor of "&amp;CARBON_FRACTION_OM&amp;", which has not been calibrated locally. See R1. Reference. ","")&amp;IF(AND(ISNUMBER($O124),$O124=0,ISNUMBER($E124)),"Section lies entirely below the reference depth — it counts to the full-profile stock only. ",""))</f>
        <v/>
      </c>
      <c r="U124" s="14" t="n"/>
    </row>
    <row r="125">
      <c r="A125" s="14" t="n"/>
      <c r="B125" s="14" t="n"/>
      <c r="C125" s="14" t="n"/>
      <c r="D125" s="14" t="n"/>
      <c r="E125" s="14" t="n"/>
      <c r="F125" s="14" t="n"/>
      <c r="G125" s="14">
        <f>IF(OR($E125="",$F125=""),"",$F125-$E125)</f>
        <v/>
      </c>
      <c r="H125" s="14" t="n"/>
      <c r="I125" s="14" t="n"/>
      <c r="J125" s="19" t="n"/>
      <c r="K125" s="19" t="n"/>
      <c r="L125" s="19" t="n"/>
      <c r="M125" s="19" t="n"/>
      <c r="N125" s="18">
        <f>IF($M125&lt;&gt;"",$M125,IF($L125&lt;&gt;"",$L125*CARBON_FRACTION_OM,""))</f>
        <v/>
      </c>
      <c r="O125" s="18">
        <f>IF(OR($E125="",$F125=""),"",MAX(0,MIN($F125,REFERENCE_DEPTH_CM)-MIN($E125,REFERENCE_DEPTH_CM)))</f>
        <v/>
      </c>
      <c r="P125" s="18">
        <f>IF(OR($J125="",$N125="",$G125=""),"",$J125*($N125/100)*$G125*10)</f>
        <v/>
      </c>
      <c r="Q125" s="18">
        <f>IF(OR($J125="",$N125="",$O125=""),"",$J125*($N125/100)*$O125*10)</f>
        <v/>
      </c>
      <c r="R125" s="18">
        <f>IF(OR(NOT(ISNUMBER($P125)),NOT(ISNUMBER($G125)),$G125=0),0,$P125/$G125)</f>
        <v/>
      </c>
      <c r="S125" s="18">
        <f>IF(OR($B125="",NOT(ISNUMBER($F125))),"",SUMIFS('3. Peat Data'!$P$5:$P$604,'3. Peat Data'!$B$5:$B$604,$B125,'3. Peat Data'!$F$5:$F$604,"&lt;="&amp;$F125))</f>
        <v/>
      </c>
      <c r="T125" s="18">
        <f>IF(AND($A125="",$B125="",$E125=""),"",IF(AND($B125&lt;&gt;"",COUNTIF('2. Core Log'!$A$5:$A$124,$B125)=0),"Core ID not in Core Log. ","")&amp;IF(AND($A125&lt;&gt;"",COUNTIF('1. Plot &amp; Site Log'!$A$5:$A$64,$A125)=0),"Plot ID not in Plot &amp; Site Log. ","")&amp;IF(AND(ISNUMBER($E125),ISNUMBER($F125),$F125&lt;=$E125),"Bottom depth is not below top depth. ","")&amp;IF($I125="","Say which bulk-density basis the lab reported. ","")&amp;IF(AND(ISNUMBER($J125),OR($J125&lt;QC_BD_MIN,$J125&gt;QC_BD_MAX)),"Bulk density outside "&amp;QC_BD_MIN&amp;"–"&amp;QC_BD_MAX&amp;" g/cm³ for peat. Above the top of that range usually means the mineral contact has been passed. ","")&amp;IF(AND(ISNUMBER($N125),$N125&gt;QC_CARBON_PCT_MAX),"Carbon above "&amp;QC_CARBON_PCT_MAX&amp;"% — check units; this may be organic matter rather than carbon. ","")&amp;IF(AND($L125&lt;&gt;"",$M125&lt;&gt;""),"Both LOI and measured carbon given — the measured value is used. ","")&amp;IF(AND($M125="",$L125&lt;&gt;"",OM_FACTOR_IS_LOCAL&lt;&gt;"Yes"),"Carbon derived from LOI using the default factor of "&amp;CARBON_FRACTION_OM&amp;", which has not been calibrated locally. See R1. Reference. ","")&amp;IF(AND(ISNUMBER($O125),$O125=0,ISNUMBER($E125)),"Section lies entirely below the reference depth — it counts to the full-profile stock only. ",""))</f>
        <v/>
      </c>
      <c r="U125" s="14" t="n"/>
    </row>
    <row r="126">
      <c r="A126" s="14" t="n"/>
      <c r="B126" s="14" t="n"/>
      <c r="C126" s="14" t="n"/>
      <c r="D126" s="14" t="n"/>
      <c r="E126" s="14" t="n"/>
      <c r="F126" s="14" t="n"/>
      <c r="G126" s="14">
        <f>IF(OR($E126="",$F126=""),"",$F126-$E126)</f>
        <v/>
      </c>
      <c r="H126" s="14" t="n"/>
      <c r="I126" s="14" t="n"/>
      <c r="J126" s="19" t="n"/>
      <c r="K126" s="19" t="n"/>
      <c r="L126" s="19" t="n"/>
      <c r="M126" s="19" t="n"/>
      <c r="N126" s="18">
        <f>IF($M126&lt;&gt;"",$M126,IF($L126&lt;&gt;"",$L126*CARBON_FRACTION_OM,""))</f>
        <v/>
      </c>
      <c r="O126" s="18">
        <f>IF(OR($E126="",$F126=""),"",MAX(0,MIN($F126,REFERENCE_DEPTH_CM)-MIN($E126,REFERENCE_DEPTH_CM)))</f>
        <v/>
      </c>
      <c r="P126" s="18">
        <f>IF(OR($J126="",$N126="",$G126=""),"",$J126*($N126/100)*$G126*10)</f>
        <v/>
      </c>
      <c r="Q126" s="18">
        <f>IF(OR($J126="",$N126="",$O126=""),"",$J126*($N126/100)*$O126*10)</f>
        <v/>
      </c>
      <c r="R126" s="18">
        <f>IF(OR(NOT(ISNUMBER($P126)),NOT(ISNUMBER($G126)),$G126=0),0,$P126/$G126)</f>
        <v/>
      </c>
      <c r="S126" s="18">
        <f>IF(OR($B126="",NOT(ISNUMBER($F126))),"",SUMIFS('3. Peat Data'!$P$5:$P$604,'3. Peat Data'!$B$5:$B$604,$B126,'3. Peat Data'!$F$5:$F$604,"&lt;="&amp;$F126))</f>
        <v/>
      </c>
      <c r="T126" s="18">
        <f>IF(AND($A126="",$B126="",$E126=""),"",IF(AND($B126&lt;&gt;"",COUNTIF('2. Core Log'!$A$5:$A$124,$B126)=0),"Core ID not in Core Log. ","")&amp;IF(AND($A126&lt;&gt;"",COUNTIF('1. Plot &amp; Site Log'!$A$5:$A$64,$A126)=0),"Plot ID not in Plot &amp; Site Log. ","")&amp;IF(AND(ISNUMBER($E126),ISNUMBER($F126),$F126&lt;=$E126),"Bottom depth is not below top depth. ","")&amp;IF($I126="","Say which bulk-density basis the lab reported. ","")&amp;IF(AND(ISNUMBER($J126),OR($J126&lt;QC_BD_MIN,$J126&gt;QC_BD_MAX)),"Bulk density outside "&amp;QC_BD_MIN&amp;"–"&amp;QC_BD_MAX&amp;" g/cm³ for peat. Above the top of that range usually means the mineral contact has been passed. ","")&amp;IF(AND(ISNUMBER($N126),$N126&gt;QC_CARBON_PCT_MAX),"Carbon above "&amp;QC_CARBON_PCT_MAX&amp;"% — check units; this may be organic matter rather than carbon. ","")&amp;IF(AND($L126&lt;&gt;"",$M126&lt;&gt;""),"Both LOI and measured carbon given — the measured value is used. ","")&amp;IF(AND($M126="",$L126&lt;&gt;"",OM_FACTOR_IS_LOCAL&lt;&gt;"Yes"),"Carbon derived from LOI using the default factor of "&amp;CARBON_FRACTION_OM&amp;", which has not been calibrated locally. See R1. Reference. ","")&amp;IF(AND(ISNUMBER($O126),$O126=0,ISNUMBER($E126)),"Section lies entirely below the reference depth — it counts to the full-profile stock only. ",""))</f>
        <v/>
      </c>
      <c r="U126" s="14" t="n"/>
    </row>
    <row r="127">
      <c r="A127" s="14" t="n"/>
      <c r="B127" s="14" t="n"/>
      <c r="C127" s="14" t="n"/>
      <c r="D127" s="14" t="n"/>
      <c r="E127" s="14" t="n"/>
      <c r="F127" s="14" t="n"/>
      <c r="G127" s="14">
        <f>IF(OR($E127="",$F127=""),"",$F127-$E127)</f>
        <v/>
      </c>
      <c r="H127" s="14" t="n"/>
      <c r="I127" s="14" t="n"/>
      <c r="J127" s="19" t="n"/>
      <c r="K127" s="19" t="n"/>
      <c r="L127" s="19" t="n"/>
      <c r="M127" s="19" t="n"/>
      <c r="N127" s="18">
        <f>IF($M127&lt;&gt;"",$M127,IF($L127&lt;&gt;"",$L127*CARBON_FRACTION_OM,""))</f>
        <v/>
      </c>
      <c r="O127" s="18">
        <f>IF(OR($E127="",$F127=""),"",MAX(0,MIN($F127,REFERENCE_DEPTH_CM)-MIN($E127,REFERENCE_DEPTH_CM)))</f>
        <v/>
      </c>
      <c r="P127" s="18">
        <f>IF(OR($J127="",$N127="",$G127=""),"",$J127*($N127/100)*$G127*10)</f>
        <v/>
      </c>
      <c r="Q127" s="18">
        <f>IF(OR($J127="",$N127="",$O127=""),"",$J127*($N127/100)*$O127*10)</f>
        <v/>
      </c>
      <c r="R127" s="18">
        <f>IF(OR(NOT(ISNUMBER($P127)),NOT(ISNUMBER($G127)),$G127=0),0,$P127/$G127)</f>
        <v/>
      </c>
      <c r="S127" s="18">
        <f>IF(OR($B127="",NOT(ISNUMBER($F127))),"",SUMIFS('3. Peat Data'!$P$5:$P$604,'3. Peat Data'!$B$5:$B$604,$B127,'3. Peat Data'!$F$5:$F$604,"&lt;="&amp;$F127))</f>
        <v/>
      </c>
      <c r="T127" s="18">
        <f>IF(AND($A127="",$B127="",$E127=""),"",IF(AND($B127&lt;&gt;"",COUNTIF('2. Core Log'!$A$5:$A$124,$B127)=0),"Core ID not in Core Log. ","")&amp;IF(AND($A127&lt;&gt;"",COUNTIF('1. Plot &amp; Site Log'!$A$5:$A$64,$A127)=0),"Plot ID not in Plot &amp; Site Log. ","")&amp;IF(AND(ISNUMBER($E127),ISNUMBER($F127),$F127&lt;=$E127),"Bottom depth is not below top depth. ","")&amp;IF($I127="","Say which bulk-density basis the lab reported. ","")&amp;IF(AND(ISNUMBER($J127),OR($J127&lt;QC_BD_MIN,$J127&gt;QC_BD_MAX)),"Bulk density outside "&amp;QC_BD_MIN&amp;"–"&amp;QC_BD_MAX&amp;" g/cm³ for peat. Above the top of that range usually means the mineral contact has been passed. ","")&amp;IF(AND(ISNUMBER($N127),$N127&gt;QC_CARBON_PCT_MAX),"Carbon above "&amp;QC_CARBON_PCT_MAX&amp;"% — check units; this may be organic matter rather than carbon. ","")&amp;IF(AND($L127&lt;&gt;"",$M127&lt;&gt;""),"Both LOI and measured carbon given — the measured value is used. ","")&amp;IF(AND($M127="",$L127&lt;&gt;"",OM_FACTOR_IS_LOCAL&lt;&gt;"Yes"),"Carbon derived from LOI using the default factor of "&amp;CARBON_FRACTION_OM&amp;", which has not been calibrated locally. See R1. Reference. ","")&amp;IF(AND(ISNUMBER($O127),$O127=0,ISNUMBER($E127)),"Section lies entirely below the reference depth — it counts to the full-profile stock only. ",""))</f>
        <v/>
      </c>
      <c r="U127" s="14" t="n"/>
    </row>
    <row r="128">
      <c r="A128" s="14" t="n"/>
      <c r="B128" s="14" t="n"/>
      <c r="C128" s="14" t="n"/>
      <c r="D128" s="14" t="n"/>
      <c r="E128" s="14" t="n"/>
      <c r="F128" s="14" t="n"/>
      <c r="G128" s="14">
        <f>IF(OR($E128="",$F128=""),"",$F128-$E128)</f>
        <v/>
      </c>
      <c r="H128" s="14" t="n"/>
      <c r="I128" s="14" t="n"/>
      <c r="J128" s="19" t="n"/>
      <c r="K128" s="19" t="n"/>
      <c r="L128" s="19" t="n"/>
      <c r="M128" s="19" t="n"/>
      <c r="N128" s="18">
        <f>IF($M128&lt;&gt;"",$M128,IF($L128&lt;&gt;"",$L128*CARBON_FRACTION_OM,""))</f>
        <v/>
      </c>
      <c r="O128" s="18">
        <f>IF(OR($E128="",$F128=""),"",MAX(0,MIN($F128,REFERENCE_DEPTH_CM)-MIN($E128,REFERENCE_DEPTH_CM)))</f>
        <v/>
      </c>
      <c r="P128" s="18">
        <f>IF(OR($J128="",$N128="",$G128=""),"",$J128*($N128/100)*$G128*10)</f>
        <v/>
      </c>
      <c r="Q128" s="18">
        <f>IF(OR($J128="",$N128="",$O128=""),"",$J128*($N128/100)*$O128*10)</f>
        <v/>
      </c>
      <c r="R128" s="18">
        <f>IF(OR(NOT(ISNUMBER($P128)),NOT(ISNUMBER($G128)),$G128=0),0,$P128/$G128)</f>
        <v/>
      </c>
      <c r="S128" s="18">
        <f>IF(OR($B128="",NOT(ISNUMBER($F128))),"",SUMIFS('3. Peat Data'!$P$5:$P$604,'3. Peat Data'!$B$5:$B$604,$B128,'3. Peat Data'!$F$5:$F$604,"&lt;="&amp;$F128))</f>
        <v/>
      </c>
      <c r="T128" s="18">
        <f>IF(AND($A128="",$B128="",$E128=""),"",IF(AND($B128&lt;&gt;"",COUNTIF('2. Core Log'!$A$5:$A$124,$B128)=0),"Core ID not in Core Log. ","")&amp;IF(AND($A128&lt;&gt;"",COUNTIF('1. Plot &amp; Site Log'!$A$5:$A$64,$A128)=0),"Plot ID not in Plot &amp; Site Log. ","")&amp;IF(AND(ISNUMBER($E128),ISNUMBER($F128),$F128&lt;=$E128),"Bottom depth is not below top depth. ","")&amp;IF($I128="","Say which bulk-density basis the lab reported. ","")&amp;IF(AND(ISNUMBER($J128),OR($J128&lt;QC_BD_MIN,$J128&gt;QC_BD_MAX)),"Bulk density outside "&amp;QC_BD_MIN&amp;"–"&amp;QC_BD_MAX&amp;" g/cm³ for peat. Above the top of that range usually means the mineral contact has been passed. ","")&amp;IF(AND(ISNUMBER($N128),$N128&gt;QC_CARBON_PCT_MAX),"Carbon above "&amp;QC_CARBON_PCT_MAX&amp;"% — check units; this may be organic matter rather than carbon. ","")&amp;IF(AND($L128&lt;&gt;"",$M128&lt;&gt;""),"Both LOI and measured carbon given — the measured value is used. ","")&amp;IF(AND($M128="",$L128&lt;&gt;"",OM_FACTOR_IS_LOCAL&lt;&gt;"Yes"),"Carbon derived from LOI using the default factor of "&amp;CARBON_FRACTION_OM&amp;", which has not been calibrated locally. See R1. Reference. ","")&amp;IF(AND(ISNUMBER($O128),$O128=0,ISNUMBER($E128)),"Section lies entirely below the reference depth — it counts to the full-profile stock only. ",""))</f>
        <v/>
      </c>
      <c r="U128" s="14" t="n"/>
    </row>
    <row r="129">
      <c r="A129" s="14" t="n"/>
      <c r="B129" s="14" t="n"/>
      <c r="C129" s="14" t="n"/>
      <c r="D129" s="14" t="n"/>
      <c r="E129" s="14" t="n"/>
      <c r="F129" s="14" t="n"/>
      <c r="G129" s="14">
        <f>IF(OR($E129="",$F129=""),"",$F129-$E129)</f>
        <v/>
      </c>
      <c r="H129" s="14" t="n"/>
      <c r="I129" s="14" t="n"/>
      <c r="J129" s="19" t="n"/>
      <c r="K129" s="19" t="n"/>
      <c r="L129" s="19" t="n"/>
      <c r="M129" s="19" t="n"/>
      <c r="N129" s="18">
        <f>IF($M129&lt;&gt;"",$M129,IF($L129&lt;&gt;"",$L129*CARBON_FRACTION_OM,""))</f>
        <v/>
      </c>
      <c r="O129" s="18">
        <f>IF(OR($E129="",$F129=""),"",MAX(0,MIN($F129,REFERENCE_DEPTH_CM)-MIN($E129,REFERENCE_DEPTH_CM)))</f>
        <v/>
      </c>
      <c r="P129" s="18">
        <f>IF(OR($J129="",$N129="",$G129=""),"",$J129*($N129/100)*$G129*10)</f>
        <v/>
      </c>
      <c r="Q129" s="18">
        <f>IF(OR($J129="",$N129="",$O129=""),"",$J129*($N129/100)*$O129*10)</f>
        <v/>
      </c>
      <c r="R129" s="18">
        <f>IF(OR(NOT(ISNUMBER($P129)),NOT(ISNUMBER($G129)),$G129=0),0,$P129/$G129)</f>
        <v/>
      </c>
      <c r="S129" s="18">
        <f>IF(OR($B129="",NOT(ISNUMBER($F129))),"",SUMIFS('3. Peat Data'!$P$5:$P$604,'3. Peat Data'!$B$5:$B$604,$B129,'3. Peat Data'!$F$5:$F$604,"&lt;="&amp;$F129))</f>
        <v/>
      </c>
      <c r="T129" s="18">
        <f>IF(AND($A129="",$B129="",$E129=""),"",IF(AND($B129&lt;&gt;"",COUNTIF('2. Core Log'!$A$5:$A$124,$B129)=0),"Core ID not in Core Log. ","")&amp;IF(AND($A129&lt;&gt;"",COUNTIF('1. Plot &amp; Site Log'!$A$5:$A$64,$A129)=0),"Plot ID not in Plot &amp; Site Log. ","")&amp;IF(AND(ISNUMBER($E129),ISNUMBER($F129),$F129&lt;=$E129),"Bottom depth is not below top depth. ","")&amp;IF($I129="","Say which bulk-density basis the lab reported. ","")&amp;IF(AND(ISNUMBER($J129),OR($J129&lt;QC_BD_MIN,$J129&gt;QC_BD_MAX)),"Bulk density outside "&amp;QC_BD_MIN&amp;"–"&amp;QC_BD_MAX&amp;" g/cm³ for peat. Above the top of that range usually means the mineral contact has been passed. ","")&amp;IF(AND(ISNUMBER($N129),$N129&gt;QC_CARBON_PCT_MAX),"Carbon above "&amp;QC_CARBON_PCT_MAX&amp;"% — check units; this may be organic matter rather than carbon. ","")&amp;IF(AND($L129&lt;&gt;"",$M129&lt;&gt;""),"Both LOI and measured carbon given — the measured value is used. ","")&amp;IF(AND($M129="",$L129&lt;&gt;"",OM_FACTOR_IS_LOCAL&lt;&gt;"Yes"),"Carbon derived from LOI using the default factor of "&amp;CARBON_FRACTION_OM&amp;", which has not been calibrated locally. See R1. Reference. ","")&amp;IF(AND(ISNUMBER($O129),$O129=0,ISNUMBER($E129)),"Section lies entirely below the reference depth — it counts to the full-profile stock only. ",""))</f>
        <v/>
      </c>
      <c r="U129" s="14" t="n"/>
    </row>
    <row r="130">
      <c r="A130" s="14" t="n"/>
      <c r="B130" s="14" t="n"/>
      <c r="C130" s="14" t="n"/>
      <c r="D130" s="14" t="n"/>
      <c r="E130" s="14" t="n"/>
      <c r="F130" s="14" t="n"/>
      <c r="G130" s="14">
        <f>IF(OR($E130="",$F130=""),"",$F130-$E130)</f>
        <v/>
      </c>
      <c r="H130" s="14" t="n"/>
      <c r="I130" s="14" t="n"/>
      <c r="J130" s="19" t="n"/>
      <c r="K130" s="19" t="n"/>
      <c r="L130" s="19" t="n"/>
      <c r="M130" s="19" t="n"/>
      <c r="N130" s="18">
        <f>IF($M130&lt;&gt;"",$M130,IF($L130&lt;&gt;"",$L130*CARBON_FRACTION_OM,""))</f>
        <v/>
      </c>
      <c r="O130" s="18">
        <f>IF(OR($E130="",$F130=""),"",MAX(0,MIN($F130,REFERENCE_DEPTH_CM)-MIN($E130,REFERENCE_DEPTH_CM)))</f>
        <v/>
      </c>
      <c r="P130" s="18">
        <f>IF(OR($J130="",$N130="",$G130=""),"",$J130*($N130/100)*$G130*10)</f>
        <v/>
      </c>
      <c r="Q130" s="18">
        <f>IF(OR($J130="",$N130="",$O130=""),"",$J130*($N130/100)*$O130*10)</f>
        <v/>
      </c>
      <c r="R130" s="18">
        <f>IF(OR(NOT(ISNUMBER($P130)),NOT(ISNUMBER($G130)),$G130=0),0,$P130/$G130)</f>
        <v/>
      </c>
      <c r="S130" s="18">
        <f>IF(OR($B130="",NOT(ISNUMBER($F130))),"",SUMIFS('3. Peat Data'!$P$5:$P$604,'3. Peat Data'!$B$5:$B$604,$B130,'3. Peat Data'!$F$5:$F$604,"&lt;="&amp;$F130))</f>
        <v/>
      </c>
      <c r="T130" s="18">
        <f>IF(AND($A130="",$B130="",$E130=""),"",IF(AND($B130&lt;&gt;"",COUNTIF('2. Core Log'!$A$5:$A$124,$B130)=0),"Core ID not in Core Log. ","")&amp;IF(AND($A130&lt;&gt;"",COUNTIF('1. Plot &amp; Site Log'!$A$5:$A$64,$A130)=0),"Plot ID not in Plot &amp; Site Log. ","")&amp;IF(AND(ISNUMBER($E130),ISNUMBER($F130),$F130&lt;=$E130),"Bottom depth is not below top depth. ","")&amp;IF($I130="","Say which bulk-density basis the lab reported. ","")&amp;IF(AND(ISNUMBER($J130),OR($J130&lt;QC_BD_MIN,$J130&gt;QC_BD_MAX)),"Bulk density outside "&amp;QC_BD_MIN&amp;"–"&amp;QC_BD_MAX&amp;" g/cm³ for peat. Above the top of that range usually means the mineral contact has been passed. ","")&amp;IF(AND(ISNUMBER($N130),$N130&gt;QC_CARBON_PCT_MAX),"Carbon above "&amp;QC_CARBON_PCT_MAX&amp;"% — check units; this may be organic matter rather than carbon. ","")&amp;IF(AND($L130&lt;&gt;"",$M130&lt;&gt;""),"Both LOI and measured carbon given — the measured value is used. ","")&amp;IF(AND($M130="",$L130&lt;&gt;"",OM_FACTOR_IS_LOCAL&lt;&gt;"Yes"),"Carbon derived from LOI using the default factor of "&amp;CARBON_FRACTION_OM&amp;", which has not been calibrated locally. See R1. Reference. ","")&amp;IF(AND(ISNUMBER($O130),$O130=0,ISNUMBER($E130)),"Section lies entirely below the reference depth — it counts to the full-profile stock only. ",""))</f>
        <v/>
      </c>
      <c r="U130" s="14" t="n"/>
    </row>
    <row r="131">
      <c r="A131" s="14" t="n"/>
      <c r="B131" s="14" t="n"/>
      <c r="C131" s="14" t="n"/>
      <c r="D131" s="14" t="n"/>
      <c r="E131" s="14" t="n"/>
      <c r="F131" s="14" t="n"/>
      <c r="G131" s="14">
        <f>IF(OR($E131="",$F131=""),"",$F131-$E131)</f>
        <v/>
      </c>
      <c r="H131" s="14" t="n"/>
      <c r="I131" s="14" t="n"/>
      <c r="J131" s="19" t="n"/>
      <c r="K131" s="19" t="n"/>
      <c r="L131" s="19" t="n"/>
      <c r="M131" s="19" t="n"/>
      <c r="N131" s="18">
        <f>IF($M131&lt;&gt;"",$M131,IF($L131&lt;&gt;"",$L131*CARBON_FRACTION_OM,""))</f>
        <v/>
      </c>
      <c r="O131" s="18">
        <f>IF(OR($E131="",$F131=""),"",MAX(0,MIN($F131,REFERENCE_DEPTH_CM)-MIN($E131,REFERENCE_DEPTH_CM)))</f>
        <v/>
      </c>
      <c r="P131" s="18">
        <f>IF(OR($J131="",$N131="",$G131=""),"",$J131*($N131/100)*$G131*10)</f>
        <v/>
      </c>
      <c r="Q131" s="18">
        <f>IF(OR($J131="",$N131="",$O131=""),"",$J131*($N131/100)*$O131*10)</f>
        <v/>
      </c>
      <c r="R131" s="18">
        <f>IF(OR(NOT(ISNUMBER($P131)),NOT(ISNUMBER($G131)),$G131=0),0,$P131/$G131)</f>
        <v/>
      </c>
      <c r="S131" s="18">
        <f>IF(OR($B131="",NOT(ISNUMBER($F131))),"",SUMIFS('3. Peat Data'!$P$5:$P$604,'3. Peat Data'!$B$5:$B$604,$B131,'3. Peat Data'!$F$5:$F$604,"&lt;="&amp;$F131))</f>
        <v/>
      </c>
      <c r="T131" s="18">
        <f>IF(AND($A131="",$B131="",$E131=""),"",IF(AND($B131&lt;&gt;"",COUNTIF('2. Core Log'!$A$5:$A$124,$B131)=0),"Core ID not in Core Log. ","")&amp;IF(AND($A131&lt;&gt;"",COUNTIF('1. Plot &amp; Site Log'!$A$5:$A$64,$A131)=0),"Plot ID not in Plot &amp; Site Log. ","")&amp;IF(AND(ISNUMBER($E131),ISNUMBER($F131),$F131&lt;=$E131),"Bottom depth is not below top depth. ","")&amp;IF($I131="","Say which bulk-density basis the lab reported. ","")&amp;IF(AND(ISNUMBER($J131),OR($J131&lt;QC_BD_MIN,$J131&gt;QC_BD_MAX)),"Bulk density outside "&amp;QC_BD_MIN&amp;"–"&amp;QC_BD_MAX&amp;" g/cm³ for peat. Above the top of that range usually means the mineral contact has been passed. ","")&amp;IF(AND(ISNUMBER($N131),$N131&gt;QC_CARBON_PCT_MAX),"Carbon above "&amp;QC_CARBON_PCT_MAX&amp;"% — check units; this may be organic matter rather than carbon. ","")&amp;IF(AND($L131&lt;&gt;"",$M131&lt;&gt;""),"Both LOI and measured carbon given — the measured value is used. ","")&amp;IF(AND($M131="",$L131&lt;&gt;"",OM_FACTOR_IS_LOCAL&lt;&gt;"Yes"),"Carbon derived from LOI using the default factor of "&amp;CARBON_FRACTION_OM&amp;", which has not been calibrated locally. See R1. Reference. ","")&amp;IF(AND(ISNUMBER($O131),$O131=0,ISNUMBER($E131)),"Section lies entirely below the reference depth — it counts to the full-profile stock only. ",""))</f>
        <v/>
      </c>
      <c r="U131" s="14" t="n"/>
    </row>
    <row r="132">
      <c r="A132" s="14" t="n"/>
      <c r="B132" s="14" t="n"/>
      <c r="C132" s="14" t="n"/>
      <c r="D132" s="14" t="n"/>
      <c r="E132" s="14" t="n"/>
      <c r="F132" s="14" t="n"/>
      <c r="G132" s="14">
        <f>IF(OR($E132="",$F132=""),"",$F132-$E132)</f>
        <v/>
      </c>
      <c r="H132" s="14" t="n"/>
      <c r="I132" s="14" t="n"/>
      <c r="J132" s="19" t="n"/>
      <c r="K132" s="19" t="n"/>
      <c r="L132" s="19" t="n"/>
      <c r="M132" s="19" t="n"/>
      <c r="N132" s="18">
        <f>IF($M132&lt;&gt;"",$M132,IF($L132&lt;&gt;"",$L132*CARBON_FRACTION_OM,""))</f>
        <v/>
      </c>
      <c r="O132" s="18">
        <f>IF(OR($E132="",$F132=""),"",MAX(0,MIN($F132,REFERENCE_DEPTH_CM)-MIN($E132,REFERENCE_DEPTH_CM)))</f>
        <v/>
      </c>
      <c r="P132" s="18">
        <f>IF(OR($J132="",$N132="",$G132=""),"",$J132*($N132/100)*$G132*10)</f>
        <v/>
      </c>
      <c r="Q132" s="18">
        <f>IF(OR($J132="",$N132="",$O132=""),"",$J132*($N132/100)*$O132*10)</f>
        <v/>
      </c>
      <c r="R132" s="18">
        <f>IF(OR(NOT(ISNUMBER($P132)),NOT(ISNUMBER($G132)),$G132=0),0,$P132/$G132)</f>
        <v/>
      </c>
      <c r="S132" s="18">
        <f>IF(OR($B132="",NOT(ISNUMBER($F132))),"",SUMIFS('3. Peat Data'!$P$5:$P$604,'3. Peat Data'!$B$5:$B$604,$B132,'3. Peat Data'!$F$5:$F$604,"&lt;="&amp;$F132))</f>
        <v/>
      </c>
      <c r="T132" s="18">
        <f>IF(AND($A132="",$B132="",$E132=""),"",IF(AND($B132&lt;&gt;"",COUNTIF('2. Core Log'!$A$5:$A$124,$B132)=0),"Core ID not in Core Log. ","")&amp;IF(AND($A132&lt;&gt;"",COUNTIF('1. Plot &amp; Site Log'!$A$5:$A$64,$A132)=0),"Plot ID not in Plot &amp; Site Log. ","")&amp;IF(AND(ISNUMBER($E132),ISNUMBER($F132),$F132&lt;=$E132),"Bottom depth is not below top depth. ","")&amp;IF($I132="","Say which bulk-density basis the lab reported. ","")&amp;IF(AND(ISNUMBER($J132),OR($J132&lt;QC_BD_MIN,$J132&gt;QC_BD_MAX)),"Bulk density outside "&amp;QC_BD_MIN&amp;"–"&amp;QC_BD_MAX&amp;" g/cm³ for peat. Above the top of that range usually means the mineral contact has been passed. ","")&amp;IF(AND(ISNUMBER($N132),$N132&gt;QC_CARBON_PCT_MAX),"Carbon above "&amp;QC_CARBON_PCT_MAX&amp;"% — check units; this may be organic matter rather than carbon. ","")&amp;IF(AND($L132&lt;&gt;"",$M132&lt;&gt;""),"Both LOI and measured carbon given — the measured value is used. ","")&amp;IF(AND($M132="",$L132&lt;&gt;"",OM_FACTOR_IS_LOCAL&lt;&gt;"Yes"),"Carbon derived from LOI using the default factor of "&amp;CARBON_FRACTION_OM&amp;", which has not been calibrated locally. See R1. Reference. ","")&amp;IF(AND(ISNUMBER($O132),$O132=0,ISNUMBER($E132)),"Section lies entirely below the reference depth — it counts to the full-profile stock only. ",""))</f>
        <v/>
      </c>
      <c r="U132" s="14" t="n"/>
    </row>
    <row r="133">
      <c r="A133" s="14" t="n"/>
      <c r="B133" s="14" t="n"/>
      <c r="C133" s="14" t="n"/>
      <c r="D133" s="14" t="n"/>
      <c r="E133" s="14" t="n"/>
      <c r="F133" s="14" t="n"/>
      <c r="G133" s="14">
        <f>IF(OR($E133="",$F133=""),"",$F133-$E133)</f>
        <v/>
      </c>
      <c r="H133" s="14" t="n"/>
      <c r="I133" s="14" t="n"/>
      <c r="J133" s="19" t="n"/>
      <c r="K133" s="19" t="n"/>
      <c r="L133" s="19" t="n"/>
      <c r="M133" s="19" t="n"/>
      <c r="N133" s="18">
        <f>IF($M133&lt;&gt;"",$M133,IF($L133&lt;&gt;"",$L133*CARBON_FRACTION_OM,""))</f>
        <v/>
      </c>
      <c r="O133" s="18">
        <f>IF(OR($E133="",$F133=""),"",MAX(0,MIN($F133,REFERENCE_DEPTH_CM)-MIN($E133,REFERENCE_DEPTH_CM)))</f>
        <v/>
      </c>
      <c r="P133" s="18">
        <f>IF(OR($J133="",$N133="",$G133=""),"",$J133*($N133/100)*$G133*10)</f>
        <v/>
      </c>
      <c r="Q133" s="18">
        <f>IF(OR($J133="",$N133="",$O133=""),"",$J133*($N133/100)*$O133*10)</f>
        <v/>
      </c>
      <c r="R133" s="18">
        <f>IF(OR(NOT(ISNUMBER($P133)),NOT(ISNUMBER($G133)),$G133=0),0,$P133/$G133)</f>
        <v/>
      </c>
      <c r="S133" s="18">
        <f>IF(OR($B133="",NOT(ISNUMBER($F133))),"",SUMIFS('3. Peat Data'!$P$5:$P$604,'3. Peat Data'!$B$5:$B$604,$B133,'3. Peat Data'!$F$5:$F$604,"&lt;="&amp;$F133))</f>
        <v/>
      </c>
      <c r="T133" s="18">
        <f>IF(AND($A133="",$B133="",$E133=""),"",IF(AND($B133&lt;&gt;"",COUNTIF('2. Core Log'!$A$5:$A$124,$B133)=0),"Core ID not in Core Log. ","")&amp;IF(AND($A133&lt;&gt;"",COUNTIF('1. Plot &amp; Site Log'!$A$5:$A$64,$A133)=0),"Plot ID not in Plot &amp; Site Log. ","")&amp;IF(AND(ISNUMBER($E133),ISNUMBER($F133),$F133&lt;=$E133),"Bottom depth is not below top depth. ","")&amp;IF($I133="","Say which bulk-density basis the lab reported. ","")&amp;IF(AND(ISNUMBER($J133),OR($J133&lt;QC_BD_MIN,$J133&gt;QC_BD_MAX)),"Bulk density outside "&amp;QC_BD_MIN&amp;"–"&amp;QC_BD_MAX&amp;" g/cm³ for peat. Above the top of that range usually means the mineral contact has been passed. ","")&amp;IF(AND(ISNUMBER($N133),$N133&gt;QC_CARBON_PCT_MAX),"Carbon above "&amp;QC_CARBON_PCT_MAX&amp;"% — check units; this may be organic matter rather than carbon. ","")&amp;IF(AND($L133&lt;&gt;"",$M133&lt;&gt;""),"Both LOI and measured carbon given — the measured value is used. ","")&amp;IF(AND($M133="",$L133&lt;&gt;"",OM_FACTOR_IS_LOCAL&lt;&gt;"Yes"),"Carbon derived from LOI using the default factor of "&amp;CARBON_FRACTION_OM&amp;", which has not been calibrated locally. See R1. Reference. ","")&amp;IF(AND(ISNUMBER($O133),$O133=0,ISNUMBER($E133)),"Section lies entirely below the reference depth — it counts to the full-profile stock only. ",""))</f>
        <v/>
      </c>
      <c r="U133" s="14" t="n"/>
    </row>
    <row r="134">
      <c r="A134" s="14" t="n"/>
      <c r="B134" s="14" t="n"/>
      <c r="C134" s="14" t="n"/>
      <c r="D134" s="14" t="n"/>
      <c r="E134" s="14" t="n"/>
      <c r="F134" s="14" t="n"/>
      <c r="G134" s="14">
        <f>IF(OR($E134="",$F134=""),"",$F134-$E134)</f>
        <v/>
      </c>
      <c r="H134" s="14" t="n"/>
      <c r="I134" s="14" t="n"/>
      <c r="J134" s="19" t="n"/>
      <c r="K134" s="19" t="n"/>
      <c r="L134" s="19" t="n"/>
      <c r="M134" s="19" t="n"/>
      <c r="N134" s="18">
        <f>IF($M134&lt;&gt;"",$M134,IF($L134&lt;&gt;"",$L134*CARBON_FRACTION_OM,""))</f>
        <v/>
      </c>
      <c r="O134" s="18">
        <f>IF(OR($E134="",$F134=""),"",MAX(0,MIN($F134,REFERENCE_DEPTH_CM)-MIN($E134,REFERENCE_DEPTH_CM)))</f>
        <v/>
      </c>
      <c r="P134" s="18">
        <f>IF(OR($J134="",$N134="",$G134=""),"",$J134*($N134/100)*$G134*10)</f>
        <v/>
      </c>
      <c r="Q134" s="18">
        <f>IF(OR($J134="",$N134="",$O134=""),"",$J134*($N134/100)*$O134*10)</f>
        <v/>
      </c>
      <c r="R134" s="18">
        <f>IF(OR(NOT(ISNUMBER($P134)),NOT(ISNUMBER($G134)),$G134=0),0,$P134/$G134)</f>
        <v/>
      </c>
      <c r="S134" s="18">
        <f>IF(OR($B134="",NOT(ISNUMBER($F134))),"",SUMIFS('3. Peat Data'!$P$5:$P$604,'3. Peat Data'!$B$5:$B$604,$B134,'3. Peat Data'!$F$5:$F$604,"&lt;="&amp;$F134))</f>
        <v/>
      </c>
      <c r="T134" s="18">
        <f>IF(AND($A134="",$B134="",$E134=""),"",IF(AND($B134&lt;&gt;"",COUNTIF('2. Core Log'!$A$5:$A$124,$B134)=0),"Core ID not in Core Log. ","")&amp;IF(AND($A134&lt;&gt;"",COUNTIF('1. Plot &amp; Site Log'!$A$5:$A$64,$A134)=0),"Plot ID not in Plot &amp; Site Log. ","")&amp;IF(AND(ISNUMBER($E134),ISNUMBER($F134),$F134&lt;=$E134),"Bottom depth is not below top depth. ","")&amp;IF($I134="","Say which bulk-density basis the lab reported. ","")&amp;IF(AND(ISNUMBER($J134),OR($J134&lt;QC_BD_MIN,$J134&gt;QC_BD_MAX)),"Bulk density outside "&amp;QC_BD_MIN&amp;"–"&amp;QC_BD_MAX&amp;" g/cm³ for peat. Above the top of that range usually means the mineral contact has been passed. ","")&amp;IF(AND(ISNUMBER($N134),$N134&gt;QC_CARBON_PCT_MAX),"Carbon above "&amp;QC_CARBON_PCT_MAX&amp;"% — check units; this may be organic matter rather than carbon. ","")&amp;IF(AND($L134&lt;&gt;"",$M134&lt;&gt;""),"Both LOI and measured carbon given — the measured value is used. ","")&amp;IF(AND($M134="",$L134&lt;&gt;"",OM_FACTOR_IS_LOCAL&lt;&gt;"Yes"),"Carbon derived from LOI using the default factor of "&amp;CARBON_FRACTION_OM&amp;", which has not been calibrated locally. See R1. Reference. ","")&amp;IF(AND(ISNUMBER($O134),$O134=0,ISNUMBER($E134)),"Section lies entirely below the reference depth — it counts to the full-profile stock only. ",""))</f>
        <v/>
      </c>
      <c r="U134" s="14" t="n"/>
    </row>
    <row r="135">
      <c r="A135" s="14" t="n"/>
      <c r="B135" s="14" t="n"/>
      <c r="C135" s="14" t="n"/>
      <c r="D135" s="14" t="n"/>
      <c r="E135" s="14" t="n"/>
      <c r="F135" s="14" t="n"/>
      <c r="G135" s="14">
        <f>IF(OR($E135="",$F135=""),"",$F135-$E135)</f>
        <v/>
      </c>
      <c r="H135" s="14" t="n"/>
      <c r="I135" s="14" t="n"/>
      <c r="J135" s="19" t="n"/>
      <c r="K135" s="19" t="n"/>
      <c r="L135" s="19" t="n"/>
      <c r="M135" s="19" t="n"/>
      <c r="N135" s="18">
        <f>IF($M135&lt;&gt;"",$M135,IF($L135&lt;&gt;"",$L135*CARBON_FRACTION_OM,""))</f>
        <v/>
      </c>
      <c r="O135" s="18">
        <f>IF(OR($E135="",$F135=""),"",MAX(0,MIN($F135,REFERENCE_DEPTH_CM)-MIN($E135,REFERENCE_DEPTH_CM)))</f>
        <v/>
      </c>
      <c r="P135" s="18">
        <f>IF(OR($J135="",$N135="",$G135=""),"",$J135*($N135/100)*$G135*10)</f>
        <v/>
      </c>
      <c r="Q135" s="18">
        <f>IF(OR($J135="",$N135="",$O135=""),"",$J135*($N135/100)*$O135*10)</f>
        <v/>
      </c>
      <c r="R135" s="18">
        <f>IF(OR(NOT(ISNUMBER($P135)),NOT(ISNUMBER($G135)),$G135=0),0,$P135/$G135)</f>
        <v/>
      </c>
      <c r="S135" s="18">
        <f>IF(OR($B135="",NOT(ISNUMBER($F135))),"",SUMIFS('3. Peat Data'!$P$5:$P$604,'3. Peat Data'!$B$5:$B$604,$B135,'3. Peat Data'!$F$5:$F$604,"&lt;="&amp;$F135))</f>
        <v/>
      </c>
      <c r="T135" s="18">
        <f>IF(AND($A135="",$B135="",$E135=""),"",IF(AND($B135&lt;&gt;"",COUNTIF('2. Core Log'!$A$5:$A$124,$B135)=0),"Core ID not in Core Log. ","")&amp;IF(AND($A135&lt;&gt;"",COUNTIF('1. Plot &amp; Site Log'!$A$5:$A$64,$A135)=0),"Plot ID not in Plot &amp; Site Log. ","")&amp;IF(AND(ISNUMBER($E135),ISNUMBER($F135),$F135&lt;=$E135),"Bottom depth is not below top depth. ","")&amp;IF($I135="","Say which bulk-density basis the lab reported. ","")&amp;IF(AND(ISNUMBER($J135),OR($J135&lt;QC_BD_MIN,$J135&gt;QC_BD_MAX)),"Bulk density outside "&amp;QC_BD_MIN&amp;"–"&amp;QC_BD_MAX&amp;" g/cm³ for peat. Above the top of that range usually means the mineral contact has been passed. ","")&amp;IF(AND(ISNUMBER($N135),$N135&gt;QC_CARBON_PCT_MAX),"Carbon above "&amp;QC_CARBON_PCT_MAX&amp;"% — check units; this may be organic matter rather than carbon. ","")&amp;IF(AND($L135&lt;&gt;"",$M135&lt;&gt;""),"Both LOI and measured carbon given — the measured value is used. ","")&amp;IF(AND($M135="",$L135&lt;&gt;"",OM_FACTOR_IS_LOCAL&lt;&gt;"Yes"),"Carbon derived from LOI using the default factor of "&amp;CARBON_FRACTION_OM&amp;", which has not been calibrated locally. See R1. Reference. ","")&amp;IF(AND(ISNUMBER($O135),$O135=0,ISNUMBER($E135)),"Section lies entirely below the reference depth — it counts to the full-profile stock only. ",""))</f>
        <v/>
      </c>
      <c r="U135" s="14" t="n"/>
    </row>
    <row r="136">
      <c r="A136" s="14" t="n"/>
      <c r="B136" s="14" t="n"/>
      <c r="C136" s="14" t="n"/>
      <c r="D136" s="14" t="n"/>
      <c r="E136" s="14" t="n"/>
      <c r="F136" s="14" t="n"/>
      <c r="G136" s="14">
        <f>IF(OR($E136="",$F136=""),"",$F136-$E136)</f>
        <v/>
      </c>
      <c r="H136" s="14" t="n"/>
      <c r="I136" s="14" t="n"/>
      <c r="J136" s="19" t="n"/>
      <c r="K136" s="19" t="n"/>
      <c r="L136" s="19" t="n"/>
      <c r="M136" s="19" t="n"/>
      <c r="N136" s="18">
        <f>IF($M136&lt;&gt;"",$M136,IF($L136&lt;&gt;"",$L136*CARBON_FRACTION_OM,""))</f>
        <v/>
      </c>
      <c r="O136" s="18">
        <f>IF(OR($E136="",$F136=""),"",MAX(0,MIN($F136,REFERENCE_DEPTH_CM)-MIN($E136,REFERENCE_DEPTH_CM)))</f>
        <v/>
      </c>
      <c r="P136" s="18">
        <f>IF(OR($J136="",$N136="",$G136=""),"",$J136*($N136/100)*$G136*10)</f>
        <v/>
      </c>
      <c r="Q136" s="18">
        <f>IF(OR($J136="",$N136="",$O136=""),"",$J136*($N136/100)*$O136*10)</f>
        <v/>
      </c>
      <c r="R136" s="18">
        <f>IF(OR(NOT(ISNUMBER($P136)),NOT(ISNUMBER($G136)),$G136=0),0,$P136/$G136)</f>
        <v/>
      </c>
      <c r="S136" s="18">
        <f>IF(OR($B136="",NOT(ISNUMBER($F136))),"",SUMIFS('3. Peat Data'!$P$5:$P$604,'3. Peat Data'!$B$5:$B$604,$B136,'3. Peat Data'!$F$5:$F$604,"&lt;="&amp;$F136))</f>
        <v/>
      </c>
      <c r="T136" s="18">
        <f>IF(AND($A136="",$B136="",$E136=""),"",IF(AND($B136&lt;&gt;"",COUNTIF('2. Core Log'!$A$5:$A$124,$B136)=0),"Core ID not in Core Log. ","")&amp;IF(AND($A136&lt;&gt;"",COUNTIF('1. Plot &amp; Site Log'!$A$5:$A$64,$A136)=0),"Plot ID not in Plot &amp; Site Log. ","")&amp;IF(AND(ISNUMBER($E136),ISNUMBER($F136),$F136&lt;=$E136),"Bottom depth is not below top depth. ","")&amp;IF($I136="","Say which bulk-density basis the lab reported. ","")&amp;IF(AND(ISNUMBER($J136),OR($J136&lt;QC_BD_MIN,$J136&gt;QC_BD_MAX)),"Bulk density outside "&amp;QC_BD_MIN&amp;"–"&amp;QC_BD_MAX&amp;" g/cm³ for peat. Above the top of that range usually means the mineral contact has been passed. ","")&amp;IF(AND(ISNUMBER($N136),$N136&gt;QC_CARBON_PCT_MAX),"Carbon above "&amp;QC_CARBON_PCT_MAX&amp;"% — check units; this may be organic matter rather than carbon. ","")&amp;IF(AND($L136&lt;&gt;"",$M136&lt;&gt;""),"Both LOI and measured carbon given — the measured value is used. ","")&amp;IF(AND($M136="",$L136&lt;&gt;"",OM_FACTOR_IS_LOCAL&lt;&gt;"Yes"),"Carbon derived from LOI using the default factor of "&amp;CARBON_FRACTION_OM&amp;", which has not been calibrated locally. See R1. Reference. ","")&amp;IF(AND(ISNUMBER($O136),$O136=0,ISNUMBER($E136)),"Section lies entirely below the reference depth — it counts to the full-profile stock only. ",""))</f>
        <v/>
      </c>
      <c r="U136" s="14" t="n"/>
    </row>
    <row r="137">
      <c r="A137" s="14" t="n"/>
      <c r="B137" s="14" t="n"/>
      <c r="C137" s="14" t="n"/>
      <c r="D137" s="14" t="n"/>
      <c r="E137" s="14" t="n"/>
      <c r="F137" s="14" t="n"/>
      <c r="G137" s="14">
        <f>IF(OR($E137="",$F137=""),"",$F137-$E137)</f>
        <v/>
      </c>
      <c r="H137" s="14" t="n"/>
      <c r="I137" s="14" t="n"/>
      <c r="J137" s="19" t="n"/>
      <c r="K137" s="19" t="n"/>
      <c r="L137" s="19" t="n"/>
      <c r="M137" s="19" t="n"/>
      <c r="N137" s="18">
        <f>IF($M137&lt;&gt;"",$M137,IF($L137&lt;&gt;"",$L137*CARBON_FRACTION_OM,""))</f>
        <v/>
      </c>
      <c r="O137" s="18">
        <f>IF(OR($E137="",$F137=""),"",MAX(0,MIN($F137,REFERENCE_DEPTH_CM)-MIN($E137,REFERENCE_DEPTH_CM)))</f>
        <v/>
      </c>
      <c r="P137" s="18">
        <f>IF(OR($J137="",$N137="",$G137=""),"",$J137*($N137/100)*$G137*10)</f>
        <v/>
      </c>
      <c r="Q137" s="18">
        <f>IF(OR($J137="",$N137="",$O137=""),"",$J137*($N137/100)*$O137*10)</f>
        <v/>
      </c>
      <c r="R137" s="18">
        <f>IF(OR(NOT(ISNUMBER($P137)),NOT(ISNUMBER($G137)),$G137=0),0,$P137/$G137)</f>
        <v/>
      </c>
      <c r="S137" s="18">
        <f>IF(OR($B137="",NOT(ISNUMBER($F137))),"",SUMIFS('3. Peat Data'!$P$5:$P$604,'3. Peat Data'!$B$5:$B$604,$B137,'3. Peat Data'!$F$5:$F$604,"&lt;="&amp;$F137))</f>
        <v/>
      </c>
      <c r="T137" s="18">
        <f>IF(AND($A137="",$B137="",$E137=""),"",IF(AND($B137&lt;&gt;"",COUNTIF('2. Core Log'!$A$5:$A$124,$B137)=0),"Core ID not in Core Log. ","")&amp;IF(AND($A137&lt;&gt;"",COUNTIF('1. Plot &amp; Site Log'!$A$5:$A$64,$A137)=0),"Plot ID not in Plot &amp; Site Log. ","")&amp;IF(AND(ISNUMBER($E137),ISNUMBER($F137),$F137&lt;=$E137),"Bottom depth is not below top depth. ","")&amp;IF($I137="","Say which bulk-density basis the lab reported. ","")&amp;IF(AND(ISNUMBER($J137),OR($J137&lt;QC_BD_MIN,$J137&gt;QC_BD_MAX)),"Bulk density outside "&amp;QC_BD_MIN&amp;"–"&amp;QC_BD_MAX&amp;" g/cm³ for peat. Above the top of that range usually means the mineral contact has been passed. ","")&amp;IF(AND(ISNUMBER($N137),$N137&gt;QC_CARBON_PCT_MAX),"Carbon above "&amp;QC_CARBON_PCT_MAX&amp;"% — check units; this may be organic matter rather than carbon. ","")&amp;IF(AND($L137&lt;&gt;"",$M137&lt;&gt;""),"Both LOI and measured carbon given — the measured value is used. ","")&amp;IF(AND($M137="",$L137&lt;&gt;"",OM_FACTOR_IS_LOCAL&lt;&gt;"Yes"),"Carbon derived from LOI using the default factor of "&amp;CARBON_FRACTION_OM&amp;", which has not been calibrated locally. See R1. Reference. ","")&amp;IF(AND(ISNUMBER($O137),$O137=0,ISNUMBER($E137)),"Section lies entirely below the reference depth — it counts to the full-profile stock only. ",""))</f>
        <v/>
      </c>
      <c r="U137" s="14" t="n"/>
    </row>
    <row r="138">
      <c r="A138" s="14" t="n"/>
      <c r="B138" s="14" t="n"/>
      <c r="C138" s="14" t="n"/>
      <c r="D138" s="14" t="n"/>
      <c r="E138" s="14" t="n"/>
      <c r="F138" s="14" t="n"/>
      <c r="G138" s="14">
        <f>IF(OR($E138="",$F138=""),"",$F138-$E138)</f>
        <v/>
      </c>
      <c r="H138" s="14" t="n"/>
      <c r="I138" s="14" t="n"/>
      <c r="J138" s="19" t="n"/>
      <c r="K138" s="19" t="n"/>
      <c r="L138" s="19" t="n"/>
      <c r="M138" s="19" t="n"/>
      <c r="N138" s="18">
        <f>IF($M138&lt;&gt;"",$M138,IF($L138&lt;&gt;"",$L138*CARBON_FRACTION_OM,""))</f>
        <v/>
      </c>
      <c r="O138" s="18">
        <f>IF(OR($E138="",$F138=""),"",MAX(0,MIN($F138,REFERENCE_DEPTH_CM)-MIN($E138,REFERENCE_DEPTH_CM)))</f>
        <v/>
      </c>
      <c r="P138" s="18">
        <f>IF(OR($J138="",$N138="",$G138=""),"",$J138*($N138/100)*$G138*10)</f>
        <v/>
      </c>
      <c r="Q138" s="18">
        <f>IF(OR($J138="",$N138="",$O138=""),"",$J138*($N138/100)*$O138*10)</f>
        <v/>
      </c>
      <c r="R138" s="18">
        <f>IF(OR(NOT(ISNUMBER($P138)),NOT(ISNUMBER($G138)),$G138=0),0,$P138/$G138)</f>
        <v/>
      </c>
      <c r="S138" s="18">
        <f>IF(OR($B138="",NOT(ISNUMBER($F138))),"",SUMIFS('3. Peat Data'!$P$5:$P$604,'3. Peat Data'!$B$5:$B$604,$B138,'3. Peat Data'!$F$5:$F$604,"&lt;="&amp;$F138))</f>
        <v/>
      </c>
      <c r="T138" s="18">
        <f>IF(AND($A138="",$B138="",$E138=""),"",IF(AND($B138&lt;&gt;"",COUNTIF('2. Core Log'!$A$5:$A$124,$B138)=0),"Core ID not in Core Log. ","")&amp;IF(AND($A138&lt;&gt;"",COUNTIF('1. Plot &amp; Site Log'!$A$5:$A$64,$A138)=0),"Plot ID not in Plot &amp; Site Log. ","")&amp;IF(AND(ISNUMBER($E138),ISNUMBER($F138),$F138&lt;=$E138),"Bottom depth is not below top depth. ","")&amp;IF($I138="","Say which bulk-density basis the lab reported. ","")&amp;IF(AND(ISNUMBER($J138),OR($J138&lt;QC_BD_MIN,$J138&gt;QC_BD_MAX)),"Bulk density outside "&amp;QC_BD_MIN&amp;"–"&amp;QC_BD_MAX&amp;" g/cm³ for peat. Above the top of that range usually means the mineral contact has been passed. ","")&amp;IF(AND(ISNUMBER($N138),$N138&gt;QC_CARBON_PCT_MAX),"Carbon above "&amp;QC_CARBON_PCT_MAX&amp;"% — check units; this may be organic matter rather than carbon. ","")&amp;IF(AND($L138&lt;&gt;"",$M138&lt;&gt;""),"Both LOI and measured carbon given — the measured value is used. ","")&amp;IF(AND($M138="",$L138&lt;&gt;"",OM_FACTOR_IS_LOCAL&lt;&gt;"Yes"),"Carbon derived from LOI using the default factor of "&amp;CARBON_FRACTION_OM&amp;", which has not been calibrated locally. See R1. Reference. ","")&amp;IF(AND(ISNUMBER($O138),$O138=0,ISNUMBER($E138)),"Section lies entirely below the reference depth — it counts to the full-profile stock only. ",""))</f>
        <v/>
      </c>
      <c r="U138" s="14" t="n"/>
    </row>
    <row r="139">
      <c r="A139" s="14" t="n"/>
      <c r="B139" s="14" t="n"/>
      <c r="C139" s="14" t="n"/>
      <c r="D139" s="14" t="n"/>
      <c r="E139" s="14" t="n"/>
      <c r="F139" s="14" t="n"/>
      <c r="G139" s="14">
        <f>IF(OR($E139="",$F139=""),"",$F139-$E139)</f>
        <v/>
      </c>
      <c r="H139" s="14" t="n"/>
      <c r="I139" s="14" t="n"/>
      <c r="J139" s="19" t="n"/>
      <c r="K139" s="19" t="n"/>
      <c r="L139" s="19" t="n"/>
      <c r="M139" s="19" t="n"/>
      <c r="N139" s="18">
        <f>IF($M139&lt;&gt;"",$M139,IF($L139&lt;&gt;"",$L139*CARBON_FRACTION_OM,""))</f>
        <v/>
      </c>
      <c r="O139" s="18">
        <f>IF(OR($E139="",$F139=""),"",MAX(0,MIN($F139,REFERENCE_DEPTH_CM)-MIN($E139,REFERENCE_DEPTH_CM)))</f>
        <v/>
      </c>
      <c r="P139" s="18">
        <f>IF(OR($J139="",$N139="",$G139=""),"",$J139*($N139/100)*$G139*10)</f>
        <v/>
      </c>
      <c r="Q139" s="18">
        <f>IF(OR($J139="",$N139="",$O139=""),"",$J139*($N139/100)*$O139*10)</f>
        <v/>
      </c>
      <c r="R139" s="18">
        <f>IF(OR(NOT(ISNUMBER($P139)),NOT(ISNUMBER($G139)),$G139=0),0,$P139/$G139)</f>
        <v/>
      </c>
      <c r="S139" s="18">
        <f>IF(OR($B139="",NOT(ISNUMBER($F139))),"",SUMIFS('3. Peat Data'!$P$5:$P$604,'3. Peat Data'!$B$5:$B$604,$B139,'3. Peat Data'!$F$5:$F$604,"&lt;="&amp;$F139))</f>
        <v/>
      </c>
      <c r="T139" s="18">
        <f>IF(AND($A139="",$B139="",$E139=""),"",IF(AND($B139&lt;&gt;"",COUNTIF('2. Core Log'!$A$5:$A$124,$B139)=0),"Core ID not in Core Log. ","")&amp;IF(AND($A139&lt;&gt;"",COUNTIF('1. Plot &amp; Site Log'!$A$5:$A$64,$A139)=0),"Plot ID not in Plot &amp; Site Log. ","")&amp;IF(AND(ISNUMBER($E139),ISNUMBER($F139),$F139&lt;=$E139),"Bottom depth is not below top depth. ","")&amp;IF($I139="","Say which bulk-density basis the lab reported. ","")&amp;IF(AND(ISNUMBER($J139),OR($J139&lt;QC_BD_MIN,$J139&gt;QC_BD_MAX)),"Bulk density outside "&amp;QC_BD_MIN&amp;"–"&amp;QC_BD_MAX&amp;" g/cm³ for peat. Above the top of that range usually means the mineral contact has been passed. ","")&amp;IF(AND(ISNUMBER($N139),$N139&gt;QC_CARBON_PCT_MAX),"Carbon above "&amp;QC_CARBON_PCT_MAX&amp;"% — check units; this may be organic matter rather than carbon. ","")&amp;IF(AND($L139&lt;&gt;"",$M139&lt;&gt;""),"Both LOI and measured carbon given — the measured value is used. ","")&amp;IF(AND($M139="",$L139&lt;&gt;"",OM_FACTOR_IS_LOCAL&lt;&gt;"Yes"),"Carbon derived from LOI using the default factor of "&amp;CARBON_FRACTION_OM&amp;", which has not been calibrated locally. See R1. Reference. ","")&amp;IF(AND(ISNUMBER($O139),$O139=0,ISNUMBER($E139)),"Section lies entirely below the reference depth — it counts to the full-profile stock only. ",""))</f>
        <v/>
      </c>
      <c r="U139" s="14" t="n"/>
    </row>
    <row r="140">
      <c r="A140" s="14" t="n"/>
      <c r="B140" s="14" t="n"/>
      <c r="C140" s="14" t="n"/>
      <c r="D140" s="14" t="n"/>
      <c r="E140" s="14" t="n"/>
      <c r="F140" s="14" t="n"/>
      <c r="G140" s="14">
        <f>IF(OR($E140="",$F140=""),"",$F140-$E140)</f>
        <v/>
      </c>
      <c r="H140" s="14" t="n"/>
      <c r="I140" s="14" t="n"/>
      <c r="J140" s="19" t="n"/>
      <c r="K140" s="19" t="n"/>
      <c r="L140" s="19" t="n"/>
      <c r="M140" s="19" t="n"/>
      <c r="N140" s="18">
        <f>IF($M140&lt;&gt;"",$M140,IF($L140&lt;&gt;"",$L140*CARBON_FRACTION_OM,""))</f>
        <v/>
      </c>
      <c r="O140" s="18">
        <f>IF(OR($E140="",$F140=""),"",MAX(0,MIN($F140,REFERENCE_DEPTH_CM)-MIN($E140,REFERENCE_DEPTH_CM)))</f>
        <v/>
      </c>
      <c r="P140" s="18">
        <f>IF(OR($J140="",$N140="",$G140=""),"",$J140*($N140/100)*$G140*10)</f>
        <v/>
      </c>
      <c r="Q140" s="18">
        <f>IF(OR($J140="",$N140="",$O140=""),"",$J140*($N140/100)*$O140*10)</f>
        <v/>
      </c>
      <c r="R140" s="18">
        <f>IF(OR(NOT(ISNUMBER($P140)),NOT(ISNUMBER($G140)),$G140=0),0,$P140/$G140)</f>
        <v/>
      </c>
      <c r="S140" s="18">
        <f>IF(OR($B140="",NOT(ISNUMBER($F140))),"",SUMIFS('3. Peat Data'!$P$5:$P$604,'3. Peat Data'!$B$5:$B$604,$B140,'3. Peat Data'!$F$5:$F$604,"&lt;="&amp;$F140))</f>
        <v/>
      </c>
      <c r="T140" s="18">
        <f>IF(AND($A140="",$B140="",$E140=""),"",IF(AND($B140&lt;&gt;"",COUNTIF('2. Core Log'!$A$5:$A$124,$B140)=0),"Core ID not in Core Log. ","")&amp;IF(AND($A140&lt;&gt;"",COUNTIF('1. Plot &amp; Site Log'!$A$5:$A$64,$A140)=0),"Plot ID not in Plot &amp; Site Log. ","")&amp;IF(AND(ISNUMBER($E140),ISNUMBER($F140),$F140&lt;=$E140),"Bottom depth is not below top depth. ","")&amp;IF($I140="","Say which bulk-density basis the lab reported. ","")&amp;IF(AND(ISNUMBER($J140),OR($J140&lt;QC_BD_MIN,$J140&gt;QC_BD_MAX)),"Bulk density outside "&amp;QC_BD_MIN&amp;"–"&amp;QC_BD_MAX&amp;" g/cm³ for peat. Above the top of that range usually means the mineral contact has been passed. ","")&amp;IF(AND(ISNUMBER($N140),$N140&gt;QC_CARBON_PCT_MAX),"Carbon above "&amp;QC_CARBON_PCT_MAX&amp;"% — check units; this may be organic matter rather than carbon. ","")&amp;IF(AND($L140&lt;&gt;"",$M140&lt;&gt;""),"Both LOI and measured carbon given — the measured value is used. ","")&amp;IF(AND($M140="",$L140&lt;&gt;"",OM_FACTOR_IS_LOCAL&lt;&gt;"Yes"),"Carbon derived from LOI using the default factor of "&amp;CARBON_FRACTION_OM&amp;", which has not been calibrated locally. See R1. Reference. ","")&amp;IF(AND(ISNUMBER($O140),$O140=0,ISNUMBER($E140)),"Section lies entirely below the reference depth — it counts to the full-profile stock only. ",""))</f>
        <v/>
      </c>
      <c r="U140" s="14" t="n"/>
    </row>
    <row r="141">
      <c r="A141" s="14" t="n"/>
      <c r="B141" s="14" t="n"/>
      <c r="C141" s="14" t="n"/>
      <c r="D141" s="14" t="n"/>
      <c r="E141" s="14" t="n"/>
      <c r="F141" s="14" t="n"/>
      <c r="G141" s="14">
        <f>IF(OR($E141="",$F141=""),"",$F141-$E141)</f>
        <v/>
      </c>
      <c r="H141" s="14" t="n"/>
      <c r="I141" s="14" t="n"/>
      <c r="J141" s="19" t="n"/>
      <c r="K141" s="19" t="n"/>
      <c r="L141" s="19" t="n"/>
      <c r="M141" s="19" t="n"/>
      <c r="N141" s="18">
        <f>IF($M141&lt;&gt;"",$M141,IF($L141&lt;&gt;"",$L141*CARBON_FRACTION_OM,""))</f>
        <v/>
      </c>
      <c r="O141" s="18">
        <f>IF(OR($E141="",$F141=""),"",MAX(0,MIN($F141,REFERENCE_DEPTH_CM)-MIN($E141,REFERENCE_DEPTH_CM)))</f>
        <v/>
      </c>
      <c r="P141" s="18">
        <f>IF(OR($J141="",$N141="",$G141=""),"",$J141*($N141/100)*$G141*10)</f>
        <v/>
      </c>
      <c r="Q141" s="18">
        <f>IF(OR($J141="",$N141="",$O141=""),"",$J141*($N141/100)*$O141*10)</f>
        <v/>
      </c>
      <c r="R141" s="18">
        <f>IF(OR(NOT(ISNUMBER($P141)),NOT(ISNUMBER($G141)),$G141=0),0,$P141/$G141)</f>
        <v/>
      </c>
      <c r="S141" s="18">
        <f>IF(OR($B141="",NOT(ISNUMBER($F141))),"",SUMIFS('3. Peat Data'!$P$5:$P$604,'3. Peat Data'!$B$5:$B$604,$B141,'3. Peat Data'!$F$5:$F$604,"&lt;="&amp;$F141))</f>
        <v/>
      </c>
      <c r="T141" s="18">
        <f>IF(AND($A141="",$B141="",$E141=""),"",IF(AND($B141&lt;&gt;"",COUNTIF('2. Core Log'!$A$5:$A$124,$B141)=0),"Core ID not in Core Log. ","")&amp;IF(AND($A141&lt;&gt;"",COUNTIF('1. Plot &amp; Site Log'!$A$5:$A$64,$A141)=0),"Plot ID not in Plot &amp; Site Log. ","")&amp;IF(AND(ISNUMBER($E141),ISNUMBER($F141),$F141&lt;=$E141),"Bottom depth is not below top depth. ","")&amp;IF($I141="","Say which bulk-density basis the lab reported. ","")&amp;IF(AND(ISNUMBER($J141),OR($J141&lt;QC_BD_MIN,$J141&gt;QC_BD_MAX)),"Bulk density outside "&amp;QC_BD_MIN&amp;"–"&amp;QC_BD_MAX&amp;" g/cm³ for peat. Above the top of that range usually means the mineral contact has been passed. ","")&amp;IF(AND(ISNUMBER($N141),$N141&gt;QC_CARBON_PCT_MAX),"Carbon above "&amp;QC_CARBON_PCT_MAX&amp;"% — check units; this may be organic matter rather than carbon. ","")&amp;IF(AND($L141&lt;&gt;"",$M141&lt;&gt;""),"Both LOI and measured carbon given — the measured value is used. ","")&amp;IF(AND($M141="",$L141&lt;&gt;"",OM_FACTOR_IS_LOCAL&lt;&gt;"Yes"),"Carbon derived from LOI using the default factor of "&amp;CARBON_FRACTION_OM&amp;", which has not been calibrated locally. See R1. Reference. ","")&amp;IF(AND(ISNUMBER($O141),$O141=0,ISNUMBER($E141)),"Section lies entirely below the reference depth — it counts to the full-profile stock only. ",""))</f>
        <v/>
      </c>
      <c r="U141" s="14" t="n"/>
    </row>
    <row r="142">
      <c r="A142" s="14" t="n"/>
      <c r="B142" s="14" t="n"/>
      <c r="C142" s="14" t="n"/>
      <c r="D142" s="14" t="n"/>
      <c r="E142" s="14" t="n"/>
      <c r="F142" s="14" t="n"/>
      <c r="G142" s="14">
        <f>IF(OR($E142="",$F142=""),"",$F142-$E142)</f>
        <v/>
      </c>
      <c r="H142" s="14" t="n"/>
      <c r="I142" s="14" t="n"/>
      <c r="J142" s="19" t="n"/>
      <c r="K142" s="19" t="n"/>
      <c r="L142" s="19" t="n"/>
      <c r="M142" s="19" t="n"/>
      <c r="N142" s="18">
        <f>IF($M142&lt;&gt;"",$M142,IF($L142&lt;&gt;"",$L142*CARBON_FRACTION_OM,""))</f>
        <v/>
      </c>
      <c r="O142" s="18">
        <f>IF(OR($E142="",$F142=""),"",MAX(0,MIN($F142,REFERENCE_DEPTH_CM)-MIN($E142,REFERENCE_DEPTH_CM)))</f>
        <v/>
      </c>
      <c r="P142" s="18">
        <f>IF(OR($J142="",$N142="",$G142=""),"",$J142*($N142/100)*$G142*10)</f>
        <v/>
      </c>
      <c r="Q142" s="18">
        <f>IF(OR($J142="",$N142="",$O142=""),"",$J142*($N142/100)*$O142*10)</f>
        <v/>
      </c>
      <c r="R142" s="18">
        <f>IF(OR(NOT(ISNUMBER($P142)),NOT(ISNUMBER($G142)),$G142=0),0,$P142/$G142)</f>
        <v/>
      </c>
      <c r="S142" s="18">
        <f>IF(OR($B142="",NOT(ISNUMBER($F142))),"",SUMIFS('3. Peat Data'!$P$5:$P$604,'3. Peat Data'!$B$5:$B$604,$B142,'3. Peat Data'!$F$5:$F$604,"&lt;="&amp;$F142))</f>
        <v/>
      </c>
      <c r="T142" s="18">
        <f>IF(AND($A142="",$B142="",$E142=""),"",IF(AND($B142&lt;&gt;"",COUNTIF('2. Core Log'!$A$5:$A$124,$B142)=0),"Core ID not in Core Log. ","")&amp;IF(AND($A142&lt;&gt;"",COUNTIF('1. Plot &amp; Site Log'!$A$5:$A$64,$A142)=0),"Plot ID not in Plot &amp; Site Log. ","")&amp;IF(AND(ISNUMBER($E142),ISNUMBER($F142),$F142&lt;=$E142),"Bottom depth is not below top depth. ","")&amp;IF($I142="","Say which bulk-density basis the lab reported. ","")&amp;IF(AND(ISNUMBER($J142),OR($J142&lt;QC_BD_MIN,$J142&gt;QC_BD_MAX)),"Bulk density outside "&amp;QC_BD_MIN&amp;"–"&amp;QC_BD_MAX&amp;" g/cm³ for peat. Above the top of that range usually means the mineral contact has been passed. ","")&amp;IF(AND(ISNUMBER($N142),$N142&gt;QC_CARBON_PCT_MAX),"Carbon above "&amp;QC_CARBON_PCT_MAX&amp;"% — check units; this may be organic matter rather than carbon. ","")&amp;IF(AND($L142&lt;&gt;"",$M142&lt;&gt;""),"Both LOI and measured carbon given — the measured value is used. ","")&amp;IF(AND($M142="",$L142&lt;&gt;"",OM_FACTOR_IS_LOCAL&lt;&gt;"Yes"),"Carbon derived from LOI using the default factor of "&amp;CARBON_FRACTION_OM&amp;", which has not been calibrated locally. See R1. Reference. ","")&amp;IF(AND(ISNUMBER($O142),$O142=0,ISNUMBER($E142)),"Section lies entirely below the reference depth — it counts to the full-profile stock only. ",""))</f>
        <v/>
      </c>
      <c r="U142" s="14" t="n"/>
    </row>
    <row r="143">
      <c r="A143" s="14" t="n"/>
      <c r="B143" s="14" t="n"/>
      <c r="C143" s="14" t="n"/>
      <c r="D143" s="14" t="n"/>
      <c r="E143" s="14" t="n"/>
      <c r="F143" s="14" t="n"/>
      <c r="G143" s="14">
        <f>IF(OR($E143="",$F143=""),"",$F143-$E143)</f>
        <v/>
      </c>
      <c r="H143" s="14" t="n"/>
      <c r="I143" s="14" t="n"/>
      <c r="J143" s="19" t="n"/>
      <c r="K143" s="19" t="n"/>
      <c r="L143" s="19" t="n"/>
      <c r="M143" s="19" t="n"/>
      <c r="N143" s="18">
        <f>IF($M143&lt;&gt;"",$M143,IF($L143&lt;&gt;"",$L143*CARBON_FRACTION_OM,""))</f>
        <v/>
      </c>
      <c r="O143" s="18">
        <f>IF(OR($E143="",$F143=""),"",MAX(0,MIN($F143,REFERENCE_DEPTH_CM)-MIN($E143,REFERENCE_DEPTH_CM)))</f>
        <v/>
      </c>
      <c r="P143" s="18">
        <f>IF(OR($J143="",$N143="",$G143=""),"",$J143*($N143/100)*$G143*10)</f>
        <v/>
      </c>
      <c r="Q143" s="18">
        <f>IF(OR($J143="",$N143="",$O143=""),"",$J143*($N143/100)*$O143*10)</f>
        <v/>
      </c>
      <c r="R143" s="18">
        <f>IF(OR(NOT(ISNUMBER($P143)),NOT(ISNUMBER($G143)),$G143=0),0,$P143/$G143)</f>
        <v/>
      </c>
      <c r="S143" s="18">
        <f>IF(OR($B143="",NOT(ISNUMBER($F143))),"",SUMIFS('3. Peat Data'!$P$5:$P$604,'3. Peat Data'!$B$5:$B$604,$B143,'3. Peat Data'!$F$5:$F$604,"&lt;="&amp;$F143))</f>
        <v/>
      </c>
      <c r="T143" s="18">
        <f>IF(AND($A143="",$B143="",$E143=""),"",IF(AND($B143&lt;&gt;"",COUNTIF('2. Core Log'!$A$5:$A$124,$B143)=0),"Core ID not in Core Log. ","")&amp;IF(AND($A143&lt;&gt;"",COUNTIF('1. Plot &amp; Site Log'!$A$5:$A$64,$A143)=0),"Plot ID not in Plot &amp; Site Log. ","")&amp;IF(AND(ISNUMBER($E143),ISNUMBER($F143),$F143&lt;=$E143),"Bottom depth is not below top depth. ","")&amp;IF($I143="","Say which bulk-density basis the lab reported. ","")&amp;IF(AND(ISNUMBER($J143),OR($J143&lt;QC_BD_MIN,$J143&gt;QC_BD_MAX)),"Bulk density outside "&amp;QC_BD_MIN&amp;"–"&amp;QC_BD_MAX&amp;" g/cm³ for peat. Above the top of that range usually means the mineral contact has been passed. ","")&amp;IF(AND(ISNUMBER($N143),$N143&gt;QC_CARBON_PCT_MAX),"Carbon above "&amp;QC_CARBON_PCT_MAX&amp;"% — check units; this may be organic matter rather than carbon. ","")&amp;IF(AND($L143&lt;&gt;"",$M143&lt;&gt;""),"Both LOI and measured carbon given — the measured value is used. ","")&amp;IF(AND($M143="",$L143&lt;&gt;"",OM_FACTOR_IS_LOCAL&lt;&gt;"Yes"),"Carbon derived from LOI using the default factor of "&amp;CARBON_FRACTION_OM&amp;", which has not been calibrated locally. See R1. Reference. ","")&amp;IF(AND(ISNUMBER($O143),$O143=0,ISNUMBER($E143)),"Section lies entirely below the reference depth — it counts to the full-profile stock only. ",""))</f>
        <v/>
      </c>
      <c r="U143" s="14" t="n"/>
    </row>
    <row r="144">
      <c r="A144" s="14" t="n"/>
      <c r="B144" s="14" t="n"/>
      <c r="C144" s="14" t="n"/>
      <c r="D144" s="14" t="n"/>
      <c r="E144" s="14" t="n"/>
      <c r="F144" s="14" t="n"/>
      <c r="G144" s="14">
        <f>IF(OR($E144="",$F144=""),"",$F144-$E144)</f>
        <v/>
      </c>
      <c r="H144" s="14" t="n"/>
      <c r="I144" s="14" t="n"/>
      <c r="J144" s="19" t="n"/>
      <c r="K144" s="19" t="n"/>
      <c r="L144" s="19" t="n"/>
      <c r="M144" s="19" t="n"/>
      <c r="N144" s="18">
        <f>IF($M144&lt;&gt;"",$M144,IF($L144&lt;&gt;"",$L144*CARBON_FRACTION_OM,""))</f>
        <v/>
      </c>
      <c r="O144" s="18">
        <f>IF(OR($E144="",$F144=""),"",MAX(0,MIN($F144,REFERENCE_DEPTH_CM)-MIN($E144,REFERENCE_DEPTH_CM)))</f>
        <v/>
      </c>
      <c r="P144" s="18">
        <f>IF(OR($J144="",$N144="",$G144=""),"",$J144*($N144/100)*$G144*10)</f>
        <v/>
      </c>
      <c r="Q144" s="18">
        <f>IF(OR($J144="",$N144="",$O144=""),"",$J144*($N144/100)*$O144*10)</f>
        <v/>
      </c>
      <c r="R144" s="18">
        <f>IF(OR(NOT(ISNUMBER($P144)),NOT(ISNUMBER($G144)),$G144=0),0,$P144/$G144)</f>
        <v/>
      </c>
      <c r="S144" s="18">
        <f>IF(OR($B144="",NOT(ISNUMBER($F144))),"",SUMIFS('3. Peat Data'!$P$5:$P$604,'3. Peat Data'!$B$5:$B$604,$B144,'3. Peat Data'!$F$5:$F$604,"&lt;="&amp;$F144))</f>
        <v/>
      </c>
      <c r="T144" s="18">
        <f>IF(AND($A144="",$B144="",$E144=""),"",IF(AND($B144&lt;&gt;"",COUNTIF('2. Core Log'!$A$5:$A$124,$B144)=0),"Core ID not in Core Log. ","")&amp;IF(AND($A144&lt;&gt;"",COUNTIF('1. Plot &amp; Site Log'!$A$5:$A$64,$A144)=0),"Plot ID not in Plot &amp; Site Log. ","")&amp;IF(AND(ISNUMBER($E144),ISNUMBER($F144),$F144&lt;=$E144),"Bottom depth is not below top depth. ","")&amp;IF($I144="","Say which bulk-density basis the lab reported. ","")&amp;IF(AND(ISNUMBER($J144),OR($J144&lt;QC_BD_MIN,$J144&gt;QC_BD_MAX)),"Bulk density outside "&amp;QC_BD_MIN&amp;"–"&amp;QC_BD_MAX&amp;" g/cm³ for peat. Above the top of that range usually means the mineral contact has been passed. ","")&amp;IF(AND(ISNUMBER($N144),$N144&gt;QC_CARBON_PCT_MAX),"Carbon above "&amp;QC_CARBON_PCT_MAX&amp;"% — check units; this may be organic matter rather than carbon. ","")&amp;IF(AND($L144&lt;&gt;"",$M144&lt;&gt;""),"Both LOI and measured carbon given — the measured value is used. ","")&amp;IF(AND($M144="",$L144&lt;&gt;"",OM_FACTOR_IS_LOCAL&lt;&gt;"Yes"),"Carbon derived from LOI using the default factor of "&amp;CARBON_FRACTION_OM&amp;", which has not been calibrated locally. See R1. Reference. ","")&amp;IF(AND(ISNUMBER($O144),$O144=0,ISNUMBER($E144)),"Section lies entirely below the reference depth — it counts to the full-profile stock only. ",""))</f>
        <v/>
      </c>
      <c r="U144" s="14" t="n"/>
    </row>
    <row r="145">
      <c r="A145" s="14" t="n"/>
      <c r="B145" s="14" t="n"/>
      <c r="C145" s="14" t="n"/>
      <c r="D145" s="14" t="n"/>
      <c r="E145" s="14" t="n"/>
      <c r="F145" s="14" t="n"/>
      <c r="G145" s="14">
        <f>IF(OR($E145="",$F145=""),"",$F145-$E145)</f>
        <v/>
      </c>
      <c r="H145" s="14" t="n"/>
      <c r="I145" s="14" t="n"/>
      <c r="J145" s="19" t="n"/>
      <c r="K145" s="19" t="n"/>
      <c r="L145" s="19" t="n"/>
      <c r="M145" s="19" t="n"/>
      <c r="N145" s="18">
        <f>IF($M145&lt;&gt;"",$M145,IF($L145&lt;&gt;"",$L145*CARBON_FRACTION_OM,""))</f>
        <v/>
      </c>
      <c r="O145" s="18">
        <f>IF(OR($E145="",$F145=""),"",MAX(0,MIN($F145,REFERENCE_DEPTH_CM)-MIN($E145,REFERENCE_DEPTH_CM)))</f>
        <v/>
      </c>
      <c r="P145" s="18">
        <f>IF(OR($J145="",$N145="",$G145=""),"",$J145*($N145/100)*$G145*10)</f>
        <v/>
      </c>
      <c r="Q145" s="18">
        <f>IF(OR($J145="",$N145="",$O145=""),"",$J145*($N145/100)*$O145*10)</f>
        <v/>
      </c>
      <c r="R145" s="18">
        <f>IF(OR(NOT(ISNUMBER($P145)),NOT(ISNUMBER($G145)),$G145=0),0,$P145/$G145)</f>
        <v/>
      </c>
      <c r="S145" s="18">
        <f>IF(OR($B145="",NOT(ISNUMBER($F145))),"",SUMIFS('3. Peat Data'!$P$5:$P$604,'3. Peat Data'!$B$5:$B$604,$B145,'3. Peat Data'!$F$5:$F$604,"&lt;="&amp;$F145))</f>
        <v/>
      </c>
      <c r="T145" s="18">
        <f>IF(AND($A145="",$B145="",$E145=""),"",IF(AND($B145&lt;&gt;"",COUNTIF('2. Core Log'!$A$5:$A$124,$B145)=0),"Core ID not in Core Log. ","")&amp;IF(AND($A145&lt;&gt;"",COUNTIF('1. Plot &amp; Site Log'!$A$5:$A$64,$A145)=0),"Plot ID not in Plot &amp; Site Log. ","")&amp;IF(AND(ISNUMBER($E145),ISNUMBER($F145),$F145&lt;=$E145),"Bottom depth is not below top depth. ","")&amp;IF($I145="","Say which bulk-density basis the lab reported. ","")&amp;IF(AND(ISNUMBER($J145),OR($J145&lt;QC_BD_MIN,$J145&gt;QC_BD_MAX)),"Bulk density outside "&amp;QC_BD_MIN&amp;"–"&amp;QC_BD_MAX&amp;" g/cm³ for peat. Above the top of that range usually means the mineral contact has been passed. ","")&amp;IF(AND(ISNUMBER($N145),$N145&gt;QC_CARBON_PCT_MAX),"Carbon above "&amp;QC_CARBON_PCT_MAX&amp;"% — check units; this may be organic matter rather than carbon. ","")&amp;IF(AND($L145&lt;&gt;"",$M145&lt;&gt;""),"Both LOI and measured carbon given — the measured value is used. ","")&amp;IF(AND($M145="",$L145&lt;&gt;"",OM_FACTOR_IS_LOCAL&lt;&gt;"Yes"),"Carbon derived from LOI using the default factor of "&amp;CARBON_FRACTION_OM&amp;", which has not been calibrated locally. See R1. Reference. ","")&amp;IF(AND(ISNUMBER($O145),$O145=0,ISNUMBER($E145)),"Section lies entirely below the reference depth — it counts to the full-profile stock only. ",""))</f>
        <v/>
      </c>
      <c r="U145" s="14" t="n"/>
    </row>
    <row r="146">
      <c r="A146" s="14" t="n"/>
      <c r="B146" s="14" t="n"/>
      <c r="C146" s="14" t="n"/>
      <c r="D146" s="14" t="n"/>
      <c r="E146" s="14" t="n"/>
      <c r="F146" s="14" t="n"/>
      <c r="G146" s="14">
        <f>IF(OR($E146="",$F146=""),"",$F146-$E146)</f>
        <v/>
      </c>
      <c r="H146" s="14" t="n"/>
      <c r="I146" s="14" t="n"/>
      <c r="J146" s="19" t="n"/>
      <c r="K146" s="19" t="n"/>
      <c r="L146" s="19" t="n"/>
      <c r="M146" s="19" t="n"/>
      <c r="N146" s="18">
        <f>IF($M146&lt;&gt;"",$M146,IF($L146&lt;&gt;"",$L146*CARBON_FRACTION_OM,""))</f>
        <v/>
      </c>
      <c r="O146" s="18">
        <f>IF(OR($E146="",$F146=""),"",MAX(0,MIN($F146,REFERENCE_DEPTH_CM)-MIN($E146,REFERENCE_DEPTH_CM)))</f>
        <v/>
      </c>
      <c r="P146" s="18">
        <f>IF(OR($J146="",$N146="",$G146=""),"",$J146*($N146/100)*$G146*10)</f>
        <v/>
      </c>
      <c r="Q146" s="18">
        <f>IF(OR($J146="",$N146="",$O146=""),"",$J146*($N146/100)*$O146*10)</f>
        <v/>
      </c>
      <c r="R146" s="18">
        <f>IF(OR(NOT(ISNUMBER($P146)),NOT(ISNUMBER($G146)),$G146=0),0,$P146/$G146)</f>
        <v/>
      </c>
      <c r="S146" s="18">
        <f>IF(OR($B146="",NOT(ISNUMBER($F146))),"",SUMIFS('3. Peat Data'!$P$5:$P$604,'3. Peat Data'!$B$5:$B$604,$B146,'3. Peat Data'!$F$5:$F$604,"&lt;="&amp;$F146))</f>
        <v/>
      </c>
      <c r="T146" s="18">
        <f>IF(AND($A146="",$B146="",$E146=""),"",IF(AND($B146&lt;&gt;"",COUNTIF('2. Core Log'!$A$5:$A$124,$B146)=0),"Core ID not in Core Log. ","")&amp;IF(AND($A146&lt;&gt;"",COUNTIF('1. Plot &amp; Site Log'!$A$5:$A$64,$A146)=0),"Plot ID not in Plot &amp; Site Log. ","")&amp;IF(AND(ISNUMBER($E146),ISNUMBER($F146),$F146&lt;=$E146),"Bottom depth is not below top depth. ","")&amp;IF($I146="","Say which bulk-density basis the lab reported. ","")&amp;IF(AND(ISNUMBER($J146),OR($J146&lt;QC_BD_MIN,$J146&gt;QC_BD_MAX)),"Bulk density outside "&amp;QC_BD_MIN&amp;"–"&amp;QC_BD_MAX&amp;" g/cm³ for peat. Above the top of that range usually means the mineral contact has been passed. ","")&amp;IF(AND(ISNUMBER($N146),$N146&gt;QC_CARBON_PCT_MAX),"Carbon above "&amp;QC_CARBON_PCT_MAX&amp;"% — check units; this may be organic matter rather than carbon. ","")&amp;IF(AND($L146&lt;&gt;"",$M146&lt;&gt;""),"Both LOI and measured carbon given — the measured value is used. ","")&amp;IF(AND($M146="",$L146&lt;&gt;"",OM_FACTOR_IS_LOCAL&lt;&gt;"Yes"),"Carbon derived from LOI using the default factor of "&amp;CARBON_FRACTION_OM&amp;", which has not been calibrated locally. See R1. Reference. ","")&amp;IF(AND(ISNUMBER($O146),$O146=0,ISNUMBER($E146)),"Section lies entirely below the reference depth — it counts to the full-profile stock only. ",""))</f>
        <v/>
      </c>
      <c r="U146" s="14" t="n"/>
    </row>
    <row r="147">
      <c r="A147" s="14" t="n"/>
      <c r="B147" s="14" t="n"/>
      <c r="C147" s="14" t="n"/>
      <c r="D147" s="14" t="n"/>
      <c r="E147" s="14" t="n"/>
      <c r="F147" s="14" t="n"/>
      <c r="G147" s="14">
        <f>IF(OR($E147="",$F147=""),"",$F147-$E147)</f>
        <v/>
      </c>
      <c r="H147" s="14" t="n"/>
      <c r="I147" s="14" t="n"/>
      <c r="J147" s="19" t="n"/>
      <c r="K147" s="19" t="n"/>
      <c r="L147" s="19" t="n"/>
      <c r="M147" s="19" t="n"/>
      <c r="N147" s="18">
        <f>IF($M147&lt;&gt;"",$M147,IF($L147&lt;&gt;"",$L147*CARBON_FRACTION_OM,""))</f>
        <v/>
      </c>
      <c r="O147" s="18">
        <f>IF(OR($E147="",$F147=""),"",MAX(0,MIN($F147,REFERENCE_DEPTH_CM)-MIN($E147,REFERENCE_DEPTH_CM)))</f>
        <v/>
      </c>
      <c r="P147" s="18">
        <f>IF(OR($J147="",$N147="",$G147=""),"",$J147*($N147/100)*$G147*10)</f>
        <v/>
      </c>
      <c r="Q147" s="18">
        <f>IF(OR($J147="",$N147="",$O147=""),"",$J147*($N147/100)*$O147*10)</f>
        <v/>
      </c>
      <c r="R147" s="18">
        <f>IF(OR(NOT(ISNUMBER($P147)),NOT(ISNUMBER($G147)),$G147=0),0,$P147/$G147)</f>
        <v/>
      </c>
      <c r="S147" s="18">
        <f>IF(OR($B147="",NOT(ISNUMBER($F147))),"",SUMIFS('3. Peat Data'!$P$5:$P$604,'3. Peat Data'!$B$5:$B$604,$B147,'3. Peat Data'!$F$5:$F$604,"&lt;="&amp;$F147))</f>
        <v/>
      </c>
      <c r="T147" s="18">
        <f>IF(AND($A147="",$B147="",$E147=""),"",IF(AND($B147&lt;&gt;"",COUNTIF('2. Core Log'!$A$5:$A$124,$B147)=0),"Core ID not in Core Log. ","")&amp;IF(AND($A147&lt;&gt;"",COUNTIF('1. Plot &amp; Site Log'!$A$5:$A$64,$A147)=0),"Plot ID not in Plot &amp; Site Log. ","")&amp;IF(AND(ISNUMBER($E147),ISNUMBER($F147),$F147&lt;=$E147),"Bottom depth is not below top depth. ","")&amp;IF($I147="","Say which bulk-density basis the lab reported. ","")&amp;IF(AND(ISNUMBER($J147),OR($J147&lt;QC_BD_MIN,$J147&gt;QC_BD_MAX)),"Bulk density outside "&amp;QC_BD_MIN&amp;"–"&amp;QC_BD_MAX&amp;" g/cm³ for peat. Above the top of that range usually means the mineral contact has been passed. ","")&amp;IF(AND(ISNUMBER($N147),$N147&gt;QC_CARBON_PCT_MAX),"Carbon above "&amp;QC_CARBON_PCT_MAX&amp;"% — check units; this may be organic matter rather than carbon. ","")&amp;IF(AND($L147&lt;&gt;"",$M147&lt;&gt;""),"Both LOI and measured carbon given — the measured value is used. ","")&amp;IF(AND($M147="",$L147&lt;&gt;"",OM_FACTOR_IS_LOCAL&lt;&gt;"Yes"),"Carbon derived from LOI using the default factor of "&amp;CARBON_FRACTION_OM&amp;", which has not been calibrated locally. See R1. Reference. ","")&amp;IF(AND(ISNUMBER($O147),$O147=0,ISNUMBER($E147)),"Section lies entirely below the reference depth — it counts to the full-profile stock only. ",""))</f>
        <v/>
      </c>
      <c r="U147" s="14" t="n"/>
    </row>
    <row r="148">
      <c r="A148" s="14" t="n"/>
      <c r="B148" s="14" t="n"/>
      <c r="C148" s="14" t="n"/>
      <c r="D148" s="14" t="n"/>
      <c r="E148" s="14" t="n"/>
      <c r="F148" s="14" t="n"/>
      <c r="G148" s="14">
        <f>IF(OR($E148="",$F148=""),"",$F148-$E148)</f>
        <v/>
      </c>
      <c r="H148" s="14" t="n"/>
      <c r="I148" s="14" t="n"/>
      <c r="J148" s="19" t="n"/>
      <c r="K148" s="19" t="n"/>
      <c r="L148" s="19" t="n"/>
      <c r="M148" s="19" t="n"/>
      <c r="N148" s="18">
        <f>IF($M148&lt;&gt;"",$M148,IF($L148&lt;&gt;"",$L148*CARBON_FRACTION_OM,""))</f>
        <v/>
      </c>
      <c r="O148" s="18">
        <f>IF(OR($E148="",$F148=""),"",MAX(0,MIN($F148,REFERENCE_DEPTH_CM)-MIN($E148,REFERENCE_DEPTH_CM)))</f>
        <v/>
      </c>
      <c r="P148" s="18">
        <f>IF(OR($J148="",$N148="",$G148=""),"",$J148*($N148/100)*$G148*10)</f>
        <v/>
      </c>
      <c r="Q148" s="18">
        <f>IF(OR($J148="",$N148="",$O148=""),"",$J148*($N148/100)*$O148*10)</f>
        <v/>
      </c>
      <c r="R148" s="18">
        <f>IF(OR(NOT(ISNUMBER($P148)),NOT(ISNUMBER($G148)),$G148=0),0,$P148/$G148)</f>
        <v/>
      </c>
      <c r="S148" s="18">
        <f>IF(OR($B148="",NOT(ISNUMBER($F148))),"",SUMIFS('3. Peat Data'!$P$5:$P$604,'3. Peat Data'!$B$5:$B$604,$B148,'3. Peat Data'!$F$5:$F$604,"&lt;="&amp;$F148))</f>
        <v/>
      </c>
      <c r="T148" s="18">
        <f>IF(AND($A148="",$B148="",$E148=""),"",IF(AND($B148&lt;&gt;"",COUNTIF('2. Core Log'!$A$5:$A$124,$B148)=0),"Core ID not in Core Log. ","")&amp;IF(AND($A148&lt;&gt;"",COUNTIF('1. Plot &amp; Site Log'!$A$5:$A$64,$A148)=0),"Plot ID not in Plot &amp; Site Log. ","")&amp;IF(AND(ISNUMBER($E148),ISNUMBER($F148),$F148&lt;=$E148),"Bottom depth is not below top depth. ","")&amp;IF($I148="","Say which bulk-density basis the lab reported. ","")&amp;IF(AND(ISNUMBER($J148),OR($J148&lt;QC_BD_MIN,$J148&gt;QC_BD_MAX)),"Bulk density outside "&amp;QC_BD_MIN&amp;"–"&amp;QC_BD_MAX&amp;" g/cm³ for peat. Above the top of that range usually means the mineral contact has been passed. ","")&amp;IF(AND(ISNUMBER($N148),$N148&gt;QC_CARBON_PCT_MAX),"Carbon above "&amp;QC_CARBON_PCT_MAX&amp;"% — check units; this may be organic matter rather than carbon. ","")&amp;IF(AND($L148&lt;&gt;"",$M148&lt;&gt;""),"Both LOI and measured carbon given — the measured value is used. ","")&amp;IF(AND($M148="",$L148&lt;&gt;"",OM_FACTOR_IS_LOCAL&lt;&gt;"Yes"),"Carbon derived from LOI using the default factor of "&amp;CARBON_FRACTION_OM&amp;", which has not been calibrated locally. See R1. Reference. ","")&amp;IF(AND(ISNUMBER($O148),$O148=0,ISNUMBER($E148)),"Section lies entirely below the reference depth — it counts to the full-profile stock only. ",""))</f>
        <v/>
      </c>
      <c r="U148" s="14" t="n"/>
    </row>
    <row r="149">
      <c r="A149" s="14" t="n"/>
      <c r="B149" s="14" t="n"/>
      <c r="C149" s="14" t="n"/>
      <c r="D149" s="14" t="n"/>
      <c r="E149" s="14" t="n"/>
      <c r="F149" s="14" t="n"/>
      <c r="G149" s="14">
        <f>IF(OR($E149="",$F149=""),"",$F149-$E149)</f>
        <v/>
      </c>
      <c r="H149" s="14" t="n"/>
      <c r="I149" s="14" t="n"/>
      <c r="J149" s="19" t="n"/>
      <c r="K149" s="19" t="n"/>
      <c r="L149" s="19" t="n"/>
      <c r="M149" s="19" t="n"/>
      <c r="N149" s="18">
        <f>IF($M149&lt;&gt;"",$M149,IF($L149&lt;&gt;"",$L149*CARBON_FRACTION_OM,""))</f>
        <v/>
      </c>
      <c r="O149" s="18">
        <f>IF(OR($E149="",$F149=""),"",MAX(0,MIN($F149,REFERENCE_DEPTH_CM)-MIN($E149,REFERENCE_DEPTH_CM)))</f>
        <v/>
      </c>
      <c r="P149" s="18">
        <f>IF(OR($J149="",$N149="",$G149=""),"",$J149*($N149/100)*$G149*10)</f>
        <v/>
      </c>
      <c r="Q149" s="18">
        <f>IF(OR($J149="",$N149="",$O149=""),"",$J149*($N149/100)*$O149*10)</f>
        <v/>
      </c>
      <c r="R149" s="18">
        <f>IF(OR(NOT(ISNUMBER($P149)),NOT(ISNUMBER($G149)),$G149=0),0,$P149/$G149)</f>
        <v/>
      </c>
      <c r="S149" s="18">
        <f>IF(OR($B149="",NOT(ISNUMBER($F149))),"",SUMIFS('3. Peat Data'!$P$5:$P$604,'3. Peat Data'!$B$5:$B$604,$B149,'3. Peat Data'!$F$5:$F$604,"&lt;="&amp;$F149))</f>
        <v/>
      </c>
      <c r="T149" s="18">
        <f>IF(AND($A149="",$B149="",$E149=""),"",IF(AND($B149&lt;&gt;"",COUNTIF('2. Core Log'!$A$5:$A$124,$B149)=0),"Core ID not in Core Log. ","")&amp;IF(AND($A149&lt;&gt;"",COUNTIF('1. Plot &amp; Site Log'!$A$5:$A$64,$A149)=0),"Plot ID not in Plot &amp; Site Log. ","")&amp;IF(AND(ISNUMBER($E149),ISNUMBER($F149),$F149&lt;=$E149),"Bottom depth is not below top depth. ","")&amp;IF($I149="","Say which bulk-density basis the lab reported. ","")&amp;IF(AND(ISNUMBER($J149),OR($J149&lt;QC_BD_MIN,$J149&gt;QC_BD_MAX)),"Bulk density outside "&amp;QC_BD_MIN&amp;"–"&amp;QC_BD_MAX&amp;" g/cm³ for peat. Above the top of that range usually means the mineral contact has been passed. ","")&amp;IF(AND(ISNUMBER($N149),$N149&gt;QC_CARBON_PCT_MAX),"Carbon above "&amp;QC_CARBON_PCT_MAX&amp;"% — check units; this may be organic matter rather than carbon. ","")&amp;IF(AND($L149&lt;&gt;"",$M149&lt;&gt;""),"Both LOI and measured carbon given — the measured value is used. ","")&amp;IF(AND($M149="",$L149&lt;&gt;"",OM_FACTOR_IS_LOCAL&lt;&gt;"Yes"),"Carbon derived from LOI using the default factor of "&amp;CARBON_FRACTION_OM&amp;", which has not been calibrated locally. See R1. Reference. ","")&amp;IF(AND(ISNUMBER($O149),$O149=0,ISNUMBER($E149)),"Section lies entirely below the reference depth — it counts to the full-profile stock only. ",""))</f>
        <v/>
      </c>
      <c r="U149" s="14" t="n"/>
    </row>
    <row r="150">
      <c r="A150" s="14" t="n"/>
      <c r="B150" s="14" t="n"/>
      <c r="C150" s="14" t="n"/>
      <c r="D150" s="14" t="n"/>
      <c r="E150" s="14" t="n"/>
      <c r="F150" s="14" t="n"/>
      <c r="G150" s="14">
        <f>IF(OR($E150="",$F150=""),"",$F150-$E150)</f>
        <v/>
      </c>
      <c r="H150" s="14" t="n"/>
      <c r="I150" s="14" t="n"/>
      <c r="J150" s="19" t="n"/>
      <c r="K150" s="19" t="n"/>
      <c r="L150" s="19" t="n"/>
      <c r="M150" s="19" t="n"/>
      <c r="N150" s="18">
        <f>IF($M150&lt;&gt;"",$M150,IF($L150&lt;&gt;"",$L150*CARBON_FRACTION_OM,""))</f>
        <v/>
      </c>
      <c r="O150" s="18">
        <f>IF(OR($E150="",$F150=""),"",MAX(0,MIN($F150,REFERENCE_DEPTH_CM)-MIN($E150,REFERENCE_DEPTH_CM)))</f>
        <v/>
      </c>
      <c r="P150" s="18">
        <f>IF(OR($J150="",$N150="",$G150=""),"",$J150*($N150/100)*$G150*10)</f>
        <v/>
      </c>
      <c r="Q150" s="18">
        <f>IF(OR($J150="",$N150="",$O150=""),"",$J150*($N150/100)*$O150*10)</f>
        <v/>
      </c>
      <c r="R150" s="18">
        <f>IF(OR(NOT(ISNUMBER($P150)),NOT(ISNUMBER($G150)),$G150=0),0,$P150/$G150)</f>
        <v/>
      </c>
      <c r="S150" s="18">
        <f>IF(OR($B150="",NOT(ISNUMBER($F150))),"",SUMIFS('3. Peat Data'!$P$5:$P$604,'3. Peat Data'!$B$5:$B$604,$B150,'3. Peat Data'!$F$5:$F$604,"&lt;="&amp;$F150))</f>
        <v/>
      </c>
      <c r="T150" s="18">
        <f>IF(AND($A150="",$B150="",$E150=""),"",IF(AND($B150&lt;&gt;"",COUNTIF('2. Core Log'!$A$5:$A$124,$B150)=0),"Core ID not in Core Log. ","")&amp;IF(AND($A150&lt;&gt;"",COUNTIF('1. Plot &amp; Site Log'!$A$5:$A$64,$A150)=0),"Plot ID not in Plot &amp; Site Log. ","")&amp;IF(AND(ISNUMBER($E150),ISNUMBER($F150),$F150&lt;=$E150),"Bottom depth is not below top depth. ","")&amp;IF($I150="","Say which bulk-density basis the lab reported. ","")&amp;IF(AND(ISNUMBER($J150),OR($J150&lt;QC_BD_MIN,$J150&gt;QC_BD_MAX)),"Bulk density outside "&amp;QC_BD_MIN&amp;"–"&amp;QC_BD_MAX&amp;" g/cm³ for peat. Above the top of that range usually means the mineral contact has been passed. ","")&amp;IF(AND(ISNUMBER($N150),$N150&gt;QC_CARBON_PCT_MAX),"Carbon above "&amp;QC_CARBON_PCT_MAX&amp;"% — check units; this may be organic matter rather than carbon. ","")&amp;IF(AND($L150&lt;&gt;"",$M150&lt;&gt;""),"Both LOI and measured carbon given — the measured value is used. ","")&amp;IF(AND($M150="",$L150&lt;&gt;"",OM_FACTOR_IS_LOCAL&lt;&gt;"Yes"),"Carbon derived from LOI using the default factor of "&amp;CARBON_FRACTION_OM&amp;", which has not been calibrated locally. See R1. Reference. ","")&amp;IF(AND(ISNUMBER($O150),$O150=0,ISNUMBER($E150)),"Section lies entirely below the reference depth — it counts to the full-profile stock only. ",""))</f>
        <v/>
      </c>
      <c r="U150" s="14" t="n"/>
    </row>
    <row r="151">
      <c r="A151" s="14" t="n"/>
      <c r="B151" s="14" t="n"/>
      <c r="C151" s="14" t="n"/>
      <c r="D151" s="14" t="n"/>
      <c r="E151" s="14" t="n"/>
      <c r="F151" s="14" t="n"/>
      <c r="G151" s="14">
        <f>IF(OR($E151="",$F151=""),"",$F151-$E151)</f>
        <v/>
      </c>
      <c r="H151" s="14" t="n"/>
      <c r="I151" s="14" t="n"/>
      <c r="J151" s="19" t="n"/>
      <c r="K151" s="19" t="n"/>
      <c r="L151" s="19" t="n"/>
      <c r="M151" s="19" t="n"/>
      <c r="N151" s="18">
        <f>IF($M151&lt;&gt;"",$M151,IF($L151&lt;&gt;"",$L151*CARBON_FRACTION_OM,""))</f>
        <v/>
      </c>
      <c r="O151" s="18">
        <f>IF(OR($E151="",$F151=""),"",MAX(0,MIN($F151,REFERENCE_DEPTH_CM)-MIN($E151,REFERENCE_DEPTH_CM)))</f>
        <v/>
      </c>
      <c r="P151" s="18">
        <f>IF(OR($J151="",$N151="",$G151=""),"",$J151*($N151/100)*$G151*10)</f>
        <v/>
      </c>
      <c r="Q151" s="18">
        <f>IF(OR($J151="",$N151="",$O151=""),"",$J151*($N151/100)*$O151*10)</f>
        <v/>
      </c>
      <c r="R151" s="18">
        <f>IF(OR(NOT(ISNUMBER($P151)),NOT(ISNUMBER($G151)),$G151=0),0,$P151/$G151)</f>
        <v/>
      </c>
      <c r="S151" s="18">
        <f>IF(OR($B151="",NOT(ISNUMBER($F151))),"",SUMIFS('3. Peat Data'!$P$5:$P$604,'3. Peat Data'!$B$5:$B$604,$B151,'3. Peat Data'!$F$5:$F$604,"&lt;="&amp;$F151))</f>
        <v/>
      </c>
      <c r="T151" s="18">
        <f>IF(AND($A151="",$B151="",$E151=""),"",IF(AND($B151&lt;&gt;"",COUNTIF('2. Core Log'!$A$5:$A$124,$B151)=0),"Core ID not in Core Log. ","")&amp;IF(AND($A151&lt;&gt;"",COUNTIF('1. Plot &amp; Site Log'!$A$5:$A$64,$A151)=0),"Plot ID not in Plot &amp; Site Log. ","")&amp;IF(AND(ISNUMBER($E151),ISNUMBER($F151),$F151&lt;=$E151),"Bottom depth is not below top depth. ","")&amp;IF($I151="","Say which bulk-density basis the lab reported. ","")&amp;IF(AND(ISNUMBER($J151),OR($J151&lt;QC_BD_MIN,$J151&gt;QC_BD_MAX)),"Bulk density outside "&amp;QC_BD_MIN&amp;"–"&amp;QC_BD_MAX&amp;" g/cm³ for peat. Above the top of that range usually means the mineral contact has been passed. ","")&amp;IF(AND(ISNUMBER($N151),$N151&gt;QC_CARBON_PCT_MAX),"Carbon above "&amp;QC_CARBON_PCT_MAX&amp;"% — check units; this may be organic matter rather than carbon. ","")&amp;IF(AND($L151&lt;&gt;"",$M151&lt;&gt;""),"Both LOI and measured carbon given — the measured value is used. ","")&amp;IF(AND($M151="",$L151&lt;&gt;"",OM_FACTOR_IS_LOCAL&lt;&gt;"Yes"),"Carbon derived from LOI using the default factor of "&amp;CARBON_FRACTION_OM&amp;", which has not been calibrated locally. See R1. Reference. ","")&amp;IF(AND(ISNUMBER($O151),$O151=0,ISNUMBER($E151)),"Section lies entirely below the reference depth — it counts to the full-profile stock only. ",""))</f>
        <v/>
      </c>
      <c r="U151" s="14" t="n"/>
    </row>
    <row r="152">
      <c r="A152" s="14" t="n"/>
      <c r="B152" s="14" t="n"/>
      <c r="C152" s="14" t="n"/>
      <c r="D152" s="14" t="n"/>
      <c r="E152" s="14" t="n"/>
      <c r="F152" s="14" t="n"/>
      <c r="G152" s="14">
        <f>IF(OR($E152="",$F152=""),"",$F152-$E152)</f>
        <v/>
      </c>
      <c r="H152" s="14" t="n"/>
      <c r="I152" s="14" t="n"/>
      <c r="J152" s="19" t="n"/>
      <c r="K152" s="19" t="n"/>
      <c r="L152" s="19" t="n"/>
      <c r="M152" s="19" t="n"/>
      <c r="N152" s="18">
        <f>IF($M152&lt;&gt;"",$M152,IF($L152&lt;&gt;"",$L152*CARBON_FRACTION_OM,""))</f>
        <v/>
      </c>
      <c r="O152" s="18">
        <f>IF(OR($E152="",$F152=""),"",MAX(0,MIN($F152,REFERENCE_DEPTH_CM)-MIN($E152,REFERENCE_DEPTH_CM)))</f>
        <v/>
      </c>
      <c r="P152" s="18">
        <f>IF(OR($J152="",$N152="",$G152=""),"",$J152*($N152/100)*$G152*10)</f>
        <v/>
      </c>
      <c r="Q152" s="18">
        <f>IF(OR($J152="",$N152="",$O152=""),"",$J152*($N152/100)*$O152*10)</f>
        <v/>
      </c>
      <c r="R152" s="18">
        <f>IF(OR(NOT(ISNUMBER($P152)),NOT(ISNUMBER($G152)),$G152=0),0,$P152/$G152)</f>
        <v/>
      </c>
      <c r="S152" s="18">
        <f>IF(OR($B152="",NOT(ISNUMBER($F152))),"",SUMIFS('3. Peat Data'!$P$5:$P$604,'3. Peat Data'!$B$5:$B$604,$B152,'3. Peat Data'!$F$5:$F$604,"&lt;="&amp;$F152))</f>
        <v/>
      </c>
      <c r="T152" s="18">
        <f>IF(AND($A152="",$B152="",$E152=""),"",IF(AND($B152&lt;&gt;"",COUNTIF('2. Core Log'!$A$5:$A$124,$B152)=0),"Core ID not in Core Log. ","")&amp;IF(AND($A152&lt;&gt;"",COUNTIF('1. Plot &amp; Site Log'!$A$5:$A$64,$A152)=0),"Plot ID not in Plot &amp; Site Log. ","")&amp;IF(AND(ISNUMBER($E152),ISNUMBER($F152),$F152&lt;=$E152),"Bottom depth is not below top depth. ","")&amp;IF($I152="","Say which bulk-density basis the lab reported. ","")&amp;IF(AND(ISNUMBER($J152),OR($J152&lt;QC_BD_MIN,$J152&gt;QC_BD_MAX)),"Bulk density outside "&amp;QC_BD_MIN&amp;"–"&amp;QC_BD_MAX&amp;" g/cm³ for peat. Above the top of that range usually means the mineral contact has been passed. ","")&amp;IF(AND(ISNUMBER($N152),$N152&gt;QC_CARBON_PCT_MAX),"Carbon above "&amp;QC_CARBON_PCT_MAX&amp;"% — check units; this may be organic matter rather than carbon. ","")&amp;IF(AND($L152&lt;&gt;"",$M152&lt;&gt;""),"Both LOI and measured carbon given — the measured value is used. ","")&amp;IF(AND($M152="",$L152&lt;&gt;"",OM_FACTOR_IS_LOCAL&lt;&gt;"Yes"),"Carbon derived from LOI using the default factor of "&amp;CARBON_FRACTION_OM&amp;", which has not been calibrated locally. See R1. Reference. ","")&amp;IF(AND(ISNUMBER($O152),$O152=0,ISNUMBER($E152)),"Section lies entirely below the reference depth — it counts to the full-profile stock only. ",""))</f>
        <v/>
      </c>
      <c r="U152" s="14" t="n"/>
    </row>
    <row r="153">
      <c r="A153" s="14" t="n"/>
      <c r="B153" s="14" t="n"/>
      <c r="C153" s="14" t="n"/>
      <c r="D153" s="14" t="n"/>
      <c r="E153" s="14" t="n"/>
      <c r="F153" s="14" t="n"/>
      <c r="G153" s="14">
        <f>IF(OR($E153="",$F153=""),"",$F153-$E153)</f>
        <v/>
      </c>
      <c r="H153" s="14" t="n"/>
      <c r="I153" s="14" t="n"/>
      <c r="J153" s="19" t="n"/>
      <c r="K153" s="19" t="n"/>
      <c r="L153" s="19" t="n"/>
      <c r="M153" s="19" t="n"/>
      <c r="N153" s="18">
        <f>IF($M153&lt;&gt;"",$M153,IF($L153&lt;&gt;"",$L153*CARBON_FRACTION_OM,""))</f>
        <v/>
      </c>
      <c r="O153" s="18">
        <f>IF(OR($E153="",$F153=""),"",MAX(0,MIN($F153,REFERENCE_DEPTH_CM)-MIN($E153,REFERENCE_DEPTH_CM)))</f>
        <v/>
      </c>
      <c r="P153" s="18">
        <f>IF(OR($J153="",$N153="",$G153=""),"",$J153*($N153/100)*$G153*10)</f>
        <v/>
      </c>
      <c r="Q153" s="18">
        <f>IF(OR($J153="",$N153="",$O153=""),"",$J153*($N153/100)*$O153*10)</f>
        <v/>
      </c>
      <c r="R153" s="18">
        <f>IF(OR(NOT(ISNUMBER($P153)),NOT(ISNUMBER($G153)),$G153=0),0,$P153/$G153)</f>
        <v/>
      </c>
      <c r="S153" s="18">
        <f>IF(OR($B153="",NOT(ISNUMBER($F153))),"",SUMIFS('3. Peat Data'!$P$5:$P$604,'3. Peat Data'!$B$5:$B$604,$B153,'3. Peat Data'!$F$5:$F$604,"&lt;="&amp;$F153))</f>
        <v/>
      </c>
      <c r="T153" s="18">
        <f>IF(AND($A153="",$B153="",$E153=""),"",IF(AND($B153&lt;&gt;"",COUNTIF('2. Core Log'!$A$5:$A$124,$B153)=0),"Core ID not in Core Log. ","")&amp;IF(AND($A153&lt;&gt;"",COUNTIF('1. Plot &amp; Site Log'!$A$5:$A$64,$A153)=0),"Plot ID not in Plot &amp; Site Log. ","")&amp;IF(AND(ISNUMBER($E153),ISNUMBER($F153),$F153&lt;=$E153),"Bottom depth is not below top depth. ","")&amp;IF($I153="","Say which bulk-density basis the lab reported. ","")&amp;IF(AND(ISNUMBER($J153),OR($J153&lt;QC_BD_MIN,$J153&gt;QC_BD_MAX)),"Bulk density outside "&amp;QC_BD_MIN&amp;"–"&amp;QC_BD_MAX&amp;" g/cm³ for peat. Above the top of that range usually means the mineral contact has been passed. ","")&amp;IF(AND(ISNUMBER($N153),$N153&gt;QC_CARBON_PCT_MAX),"Carbon above "&amp;QC_CARBON_PCT_MAX&amp;"% — check units; this may be organic matter rather than carbon. ","")&amp;IF(AND($L153&lt;&gt;"",$M153&lt;&gt;""),"Both LOI and measured carbon given — the measured value is used. ","")&amp;IF(AND($M153="",$L153&lt;&gt;"",OM_FACTOR_IS_LOCAL&lt;&gt;"Yes"),"Carbon derived from LOI using the default factor of "&amp;CARBON_FRACTION_OM&amp;", which has not been calibrated locally. See R1. Reference. ","")&amp;IF(AND(ISNUMBER($O153),$O153=0,ISNUMBER($E153)),"Section lies entirely below the reference depth — it counts to the full-profile stock only. ",""))</f>
        <v/>
      </c>
      <c r="U153" s="14" t="n"/>
    </row>
    <row r="154">
      <c r="A154" s="14" t="n"/>
      <c r="B154" s="14" t="n"/>
      <c r="C154" s="14" t="n"/>
      <c r="D154" s="14" t="n"/>
      <c r="E154" s="14" t="n"/>
      <c r="F154" s="14" t="n"/>
      <c r="G154" s="14">
        <f>IF(OR($E154="",$F154=""),"",$F154-$E154)</f>
        <v/>
      </c>
      <c r="H154" s="14" t="n"/>
      <c r="I154" s="14" t="n"/>
      <c r="J154" s="19" t="n"/>
      <c r="K154" s="19" t="n"/>
      <c r="L154" s="19" t="n"/>
      <c r="M154" s="19" t="n"/>
      <c r="N154" s="18">
        <f>IF($M154&lt;&gt;"",$M154,IF($L154&lt;&gt;"",$L154*CARBON_FRACTION_OM,""))</f>
        <v/>
      </c>
      <c r="O154" s="18">
        <f>IF(OR($E154="",$F154=""),"",MAX(0,MIN($F154,REFERENCE_DEPTH_CM)-MIN($E154,REFERENCE_DEPTH_CM)))</f>
        <v/>
      </c>
      <c r="P154" s="18">
        <f>IF(OR($J154="",$N154="",$G154=""),"",$J154*($N154/100)*$G154*10)</f>
        <v/>
      </c>
      <c r="Q154" s="18">
        <f>IF(OR($J154="",$N154="",$O154=""),"",$J154*($N154/100)*$O154*10)</f>
        <v/>
      </c>
      <c r="R154" s="18">
        <f>IF(OR(NOT(ISNUMBER($P154)),NOT(ISNUMBER($G154)),$G154=0),0,$P154/$G154)</f>
        <v/>
      </c>
      <c r="S154" s="18">
        <f>IF(OR($B154="",NOT(ISNUMBER($F154))),"",SUMIFS('3. Peat Data'!$P$5:$P$604,'3. Peat Data'!$B$5:$B$604,$B154,'3. Peat Data'!$F$5:$F$604,"&lt;="&amp;$F154))</f>
        <v/>
      </c>
      <c r="T154" s="18">
        <f>IF(AND($A154="",$B154="",$E154=""),"",IF(AND($B154&lt;&gt;"",COUNTIF('2. Core Log'!$A$5:$A$124,$B154)=0),"Core ID not in Core Log. ","")&amp;IF(AND($A154&lt;&gt;"",COUNTIF('1. Plot &amp; Site Log'!$A$5:$A$64,$A154)=0),"Plot ID not in Plot &amp; Site Log. ","")&amp;IF(AND(ISNUMBER($E154),ISNUMBER($F154),$F154&lt;=$E154),"Bottom depth is not below top depth. ","")&amp;IF($I154="","Say which bulk-density basis the lab reported. ","")&amp;IF(AND(ISNUMBER($J154),OR($J154&lt;QC_BD_MIN,$J154&gt;QC_BD_MAX)),"Bulk density outside "&amp;QC_BD_MIN&amp;"–"&amp;QC_BD_MAX&amp;" g/cm³ for peat. Above the top of that range usually means the mineral contact has been passed. ","")&amp;IF(AND(ISNUMBER($N154),$N154&gt;QC_CARBON_PCT_MAX),"Carbon above "&amp;QC_CARBON_PCT_MAX&amp;"% — check units; this may be organic matter rather than carbon. ","")&amp;IF(AND($L154&lt;&gt;"",$M154&lt;&gt;""),"Both LOI and measured carbon given — the measured value is used. ","")&amp;IF(AND($M154="",$L154&lt;&gt;"",OM_FACTOR_IS_LOCAL&lt;&gt;"Yes"),"Carbon derived from LOI using the default factor of "&amp;CARBON_FRACTION_OM&amp;", which has not been calibrated locally. See R1. Reference. ","")&amp;IF(AND(ISNUMBER($O154),$O154=0,ISNUMBER($E154)),"Section lies entirely below the reference depth — it counts to the full-profile stock only. ",""))</f>
        <v/>
      </c>
      <c r="U154" s="14" t="n"/>
    </row>
    <row r="155">
      <c r="A155" s="14" t="n"/>
      <c r="B155" s="14" t="n"/>
      <c r="C155" s="14" t="n"/>
      <c r="D155" s="14" t="n"/>
      <c r="E155" s="14" t="n"/>
      <c r="F155" s="14" t="n"/>
      <c r="G155" s="14">
        <f>IF(OR($E155="",$F155=""),"",$F155-$E155)</f>
        <v/>
      </c>
      <c r="H155" s="14" t="n"/>
      <c r="I155" s="14" t="n"/>
      <c r="J155" s="19" t="n"/>
      <c r="K155" s="19" t="n"/>
      <c r="L155" s="19" t="n"/>
      <c r="M155" s="19" t="n"/>
      <c r="N155" s="18">
        <f>IF($M155&lt;&gt;"",$M155,IF($L155&lt;&gt;"",$L155*CARBON_FRACTION_OM,""))</f>
        <v/>
      </c>
      <c r="O155" s="18">
        <f>IF(OR($E155="",$F155=""),"",MAX(0,MIN($F155,REFERENCE_DEPTH_CM)-MIN($E155,REFERENCE_DEPTH_CM)))</f>
        <v/>
      </c>
      <c r="P155" s="18">
        <f>IF(OR($J155="",$N155="",$G155=""),"",$J155*($N155/100)*$G155*10)</f>
        <v/>
      </c>
      <c r="Q155" s="18">
        <f>IF(OR($J155="",$N155="",$O155=""),"",$J155*($N155/100)*$O155*10)</f>
        <v/>
      </c>
      <c r="R155" s="18">
        <f>IF(OR(NOT(ISNUMBER($P155)),NOT(ISNUMBER($G155)),$G155=0),0,$P155/$G155)</f>
        <v/>
      </c>
      <c r="S155" s="18">
        <f>IF(OR($B155="",NOT(ISNUMBER($F155))),"",SUMIFS('3. Peat Data'!$P$5:$P$604,'3. Peat Data'!$B$5:$B$604,$B155,'3. Peat Data'!$F$5:$F$604,"&lt;="&amp;$F155))</f>
        <v/>
      </c>
      <c r="T155" s="18">
        <f>IF(AND($A155="",$B155="",$E155=""),"",IF(AND($B155&lt;&gt;"",COUNTIF('2. Core Log'!$A$5:$A$124,$B155)=0),"Core ID not in Core Log. ","")&amp;IF(AND($A155&lt;&gt;"",COUNTIF('1. Plot &amp; Site Log'!$A$5:$A$64,$A155)=0),"Plot ID not in Plot &amp; Site Log. ","")&amp;IF(AND(ISNUMBER($E155),ISNUMBER($F155),$F155&lt;=$E155),"Bottom depth is not below top depth. ","")&amp;IF($I155="","Say which bulk-density basis the lab reported. ","")&amp;IF(AND(ISNUMBER($J155),OR($J155&lt;QC_BD_MIN,$J155&gt;QC_BD_MAX)),"Bulk density outside "&amp;QC_BD_MIN&amp;"–"&amp;QC_BD_MAX&amp;" g/cm³ for peat. Above the top of that range usually means the mineral contact has been passed. ","")&amp;IF(AND(ISNUMBER($N155),$N155&gt;QC_CARBON_PCT_MAX),"Carbon above "&amp;QC_CARBON_PCT_MAX&amp;"% — check units; this may be organic matter rather than carbon. ","")&amp;IF(AND($L155&lt;&gt;"",$M155&lt;&gt;""),"Both LOI and measured carbon given — the measured value is used. ","")&amp;IF(AND($M155="",$L155&lt;&gt;"",OM_FACTOR_IS_LOCAL&lt;&gt;"Yes"),"Carbon derived from LOI using the default factor of "&amp;CARBON_FRACTION_OM&amp;", which has not been calibrated locally. See R1. Reference. ","")&amp;IF(AND(ISNUMBER($O155),$O155=0,ISNUMBER($E155)),"Section lies entirely below the reference depth — it counts to the full-profile stock only. ",""))</f>
        <v/>
      </c>
      <c r="U155" s="14" t="n"/>
    </row>
    <row r="156">
      <c r="A156" s="14" t="n"/>
      <c r="B156" s="14" t="n"/>
      <c r="C156" s="14" t="n"/>
      <c r="D156" s="14" t="n"/>
      <c r="E156" s="14" t="n"/>
      <c r="F156" s="14" t="n"/>
      <c r="G156" s="14">
        <f>IF(OR($E156="",$F156=""),"",$F156-$E156)</f>
        <v/>
      </c>
      <c r="H156" s="14" t="n"/>
      <c r="I156" s="14" t="n"/>
      <c r="J156" s="19" t="n"/>
      <c r="K156" s="19" t="n"/>
      <c r="L156" s="19" t="n"/>
      <c r="M156" s="19" t="n"/>
      <c r="N156" s="18">
        <f>IF($M156&lt;&gt;"",$M156,IF($L156&lt;&gt;"",$L156*CARBON_FRACTION_OM,""))</f>
        <v/>
      </c>
      <c r="O156" s="18">
        <f>IF(OR($E156="",$F156=""),"",MAX(0,MIN($F156,REFERENCE_DEPTH_CM)-MIN($E156,REFERENCE_DEPTH_CM)))</f>
        <v/>
      </c>
      <c r="P156" s="18">
        <f>IF(OR($J156="",$N156="",$G156=""),"",$J156*($N156/100)*$G156*10)</f>
        <v/>
      </c>
      <c r="Q156" s="18">
        <f>IF(OR($J156="",$N156="",$O156=""),"",$J156*($N156/100)*$O156*10)</f>
        <v/>
      </c>
      <c r="R156" s="18">
        <f>IF(OR(NOT(ISNUMBER($P156)),NOT(ISNUMBER($G156)),$G156=0),0,$P156/$G156)</f>
        <v/>
      </c>
      <c r="S156" s="18">
        <f>IF(OR($B156="",NOT(ISNUMBER($F156))),"",SUMIFS('3. Peat Data'!$P$5:$P$604,'3. Peat Data'!$B$5:$B$604,$B156,'3. Peat Data'!$F$5:$F$604,"&lt;="&amp;$F156))</f>
        <v/>
      </c>
      <c r="T156" s="18">
        <f>IF(AND($A156="",$B156="",$E156=""),"",IF(AND($B156&lt;&gt;"",COUNTIF('2. Core Log'!$A$5:$A$124,$B156)=0),"Core ID not in Core Log. ","")&amp;IF(AND($A156&lt;&gt;"",COUNTIF('1. Plot &amp; Site Log'!$A$5:$A$64,$A156)=0),"Plot ID not in Plot &amp; Site Log. ","")&amp;IF(AND(ISNUMBER($E156),ISNUMBER($F156),$F156&lt;=$E156),"Bottom depth is not below top depth. ","")&amp;IF($I156="","Say which bulk-density basis the lab reported. ","")&amp;IF(AND(ISNUMBER($J156),OR($J156&lt;QC_BD_MIN,$J156&gt;QC_BD_MAX)),"Bulk density outside "&amp;QC_BD_MIN&amp;"–"&amp;QC_BD_MAX&amp;" g/cm³ for peat. Above the top of that range usually means the mineral contact has been passed. ","")&amp;IF(AND(ISNUMBER($N156),$N156&gt;QC_CARBON_PCT_MAX),"Carbon above "&amp;QC_CARBON_PCT_MAX&amp;"% — check units; this may be organic matter rather than carbon. ","")&amp;IF(AND($L156&lt;&gt;"",$M156&lt;&gt;""),"Both LOI and measured carbon given — the measured value is used. ","")&amp;IF(AND($M156="",$L156&lt;&gt;"",OM_FACTOR_IS_LOCAL&lt;&gt;"Yes"),"Carbon derived from LOI using the default factor of "&amp;CARBON_FRACTION_OM&amp;", which has not been calibrated locally. See R1. Reference. ","")&amp;IF(AND(ISNUMBER($O156),$O156=0,ISNUMBER($E156)),"Section lies entirely below the reference depth — it counts to the full-profile stock only. ",""))</f>
        <v/>
      </c>
      <c r="U156" s="14" t="n"/>
    </row>
    <row r="157">
      <c r="A157" s="14" t="n"/>
      <c r="B157" s="14" t="n"/>
      <c r="C157" s="14" t="n"/>
      <c r="D157" s="14" t="n"/>
      <c r="E157" s="14" t="n"/>
      <c r="F157" s="14" t="n"/>
      <c r="G157" s="14">
        <f>IF(OR($E157="",$F157=""),"",$F157-$E157)</f>
        <v/>
      </c>
      <c r="H157" s="14" t="n"/>
      <c r="I157" s="14" t="n"/>
      <c r="J157" s="19" t="n"/>
      <c r="K157" s="19" t="n"/>
      <c r="L157" s="19" t="n"/>
      <c r="M157" s="19" t="n"/>
      <c r="N157" s="18">
        <f>IF($M157&lt;&gt;"",$M157,IF($L157&lt;&gt;"",$L157*CARBON_FRACTION_OM,""))</f>
        <v/>
      </c>
      <c r="O157" s="18">
        <f>IF(OR($E157="",$F157=""),"",MAX(0,MIN($F157,REFERENCE_DEPTH_CM)-MIN($E157,REFERENCE_DEPTH_CM)))</f>
        <v/>
      </c>
      <c r="P157" s="18">
        <f>IF(OR($J157="",$N157="",$G157=""),"",$J157*($N157/100)*$G157*10)</f>
        <v/>
      </c>
      <c r="Q157" s="18">
        <f>IF(OR($J157="",$N157="",$O157=""),"",$J157*($N157/100)*$O157*10)</f>
        <v/>
      </c>
      <c r="R157" s="18">
        <f>IF(OR(NOT(ISNUMBER($P157)),NOT(ISNUMBER($G157)),$G157=0),0,$P157/$G157)</f>
        <v/>
      </c>
      <c r="S157" s="18">
        <f>IF(OR($B157="",NOT(ISNUMBER($F157))),"",SUMIFS('3. Peat Data'!$P$5:$P$604,'3. Peat Data'!$B$5:$B$604,$B157,'3. Peat Data'!$F$5:$F$604,"&lt;="&amp;$F157))</f>
        <v/>
      </c>
      <c r="T157" s="18">
        <f>IF(AND($A157="",$B157="",$E157=""),"",IF(AND($B157&lt;&gt;"",COUNTIF('2. Core Log'!$A$5:$A$124,$B157)=0),"Core ID not in Core Log. ","")&amp;IF(AND($A157&lt;&gt;"",COUNTIF('1. Plot &amp; Site Log'!$A$5:$A$64,$A157)=0),"Plot ID not in Plot &amp; Site Log. ","")&amp;IF(AND(ISNUMBER($E157),ISNUMBER($F157),$F157&lt;=$E157),"Bottom depth is not below top depth. ","")&amp;IF($I157="","Say which bulk-density basis the lab reported. ","")&amp;IF(AND(ISNUMBER($J157),OR($J157&lt;QC_BD_MIN,$J157&gt;QC_BD_MAX)),"Bulk density outside "&amp;QC_BD_MIN&amp;"–"&amp;QC_BD_MAX&amp;" g/cm³ for peat. Above the top of that range usually means the mineral contact has been passed. ","")&amp;IF(AND(ISNUMBER($N157),$N157&gt;QC_CARBON_PCT_MAX),"Carbon above "&amp;QC_CARBON_PCT_MAX&amp;"% — check units; this may be organic matter rather than carbon. ","")&amp;IF(AND($L157&lt;&gt;"",$M157&lt;&gt;""),"Both LOI and measured carbon given — the measured value is used. ","")&amp;IF(AND($M157="",$L157&lt;&gt;"",OM_FACTOR_IS_LOCAL&lt;&gt;"Yes"),"Carbon derived from LOI using the default factor of "&amp;CARBON_FRACTION_OM&amp;", which has not been calibrated locally. See R1. Reference. ","")&amp;IF(AND(ISNUMBER($O157),$O157=0,ISNUMBER($E157)),"Section lies entirely below the reference depth — it counts to the full-profile stock only. ",""))</f>
        <v/>
      </c>
      <c r="U157" s="14" t="n"/>
    </row>
    <row r="158">
      <c r="A158" s="14" t="n"/>
      <c r="B158" s="14" t="n"/>
      <c r="C158" s="14" t="n"/>
      <c r="D158" s="14" t="n"/>
      <c r="E158" s="14" t="n"/>
      <c r="F158" s="14" t="n"/>
      <c r="G158" s="14">
        <f>IF(OR($E158="",$F158=""),"",$F158-$E158)</f>
        <v/>
      </c>
      <c r="H158" s="14" t="n"/>
      <c r="I158" s="14" t="n"/>
      <c r="J158" s="19" t="n"/>
      <c r="K158" s="19" t="n"/>
      <c r="L158" s="19" t="n"/>
      <c r="M158" s="19" t="n"/>
      <c r="N158" s="18">
        <f>IF($M158&lt;&gt;"",$M158,IF($L158&lt;&gt;"",$L158*CARBON_FRACTION_OM,""))</f>
        <v/>
      </c>
      <c r="O158" s="18">
        <f>IF(OR($E158="",$F158=""),"",MAX(0,MIN($F158,REFERENCE_DEPTH_CM)-MIN($E158,REFERENCE_DEPTH_CM)))</f>
        <v/>
      </c>
      <c r="P158" s="18">
        <f>IF(OR($J158="",$N158="",$G158=""),"",$J158*($N158/100)*$G158*10)</f>
        <v/>
      </c>
      <c r="Q158" s="18">
        <f>IF(OR($J158="",$N158="",$O158=""),"",$J158*($N158/100)*$O158*10)</f>
        <v/>
      </c>
      <c r="R158" s="18">
        <f>IF(OR(NOT(ISNUMBER($P158)),NOT(ISNUMBER($G158)),$G158=0),0,$P158/$G158)</f>
        <v/>
      </c>
      <c r="S158" s="18">
        <f>IF(OR($B158="",NOT(ISNUMBER($F158))),"",SUMIFS('3. Peat Data'!$P$5:$P$604,'3. Peat Data'!$B$5:$B$604,$B158,'3. Peat Data'!$F$5:$F$604,"&lt;="&amp;$F158))</f>
        <v/>
      </c>
      <c r="T158" s="18">
        <f>IF(AND($A158="",$B158="",$E158=""),"",IF(AND($B158&lt;&gt;"",COUNTIF('2. Core Log'!$A$5:$A$124,$B158)=0),"Core ID not in Core Log. ","")&amp;IF(AND($A158&lt;&gt;"",COUNTIF('1. Plot &amp; Site Log'!$A$5:$A$64,$A158)=0),"Plot ID not in Plot &amp; Site Log. ","")&amp;IF(AND(ISNUMBER($E158),ISNUMBER($F158),$F158&lt;=$E158),"Bottom depth is not below top depth. ","")&amp;IF($I158="","Say which bulk-density basis the lab reported. ","")&amp;IF(AND(ISNUMBER($J158),OR($J158&lt;QC_BD_MIN,$J158&gt;QC_BD_MAX)),"Bulk density outside "&amp;QC_BD_MIN&amp;"–"&amp;QC_BD_MAX&amp;" g/cm³ for peat. Above the top of that range usually means the mineral contact has been passed. ","")&amp;IF(AND(ISNUMBER($N158),$N158&gt;QC_CARBON_PCT_MAX),"Carbon above "&amp;QC_CARBON_PCT_MAX&amp;"% — check units; this may be organic matter rather than carbon. ","")&amp;IF(AND($L158&lt;&gt;"",$M158&lt;&gt;""),"Both LOI and measured carbon given — the measured value is used. ","")&amp;IF(AND($M158="",$L158&lt;&gt;"",OM_FACTOR_IS_LOCAL&lt;&gt;"Yes"),"Carbon derived from LOI using the default factor of "&amp;CARBON_FRACTION_OM&amp;", which has not been calibrated locally. See R1. Reference. ","")&amp;IF(AND(ISNUMBER($O158),$O158=0,ISNUMBER($E158)),"Section lies entirely below the reference depth — it counts to the full-profile stock only. ",""))</f>
        <v/>
      </c>
      <c r="U158" s="14" t="n"/>
    </row>
    <row r="159">
      <c r="A159" s="14" t="n"/>
      <c r="B159" s="14" t="n"/>
      <c r="C159" s="14" t="n"/>
      <c r="D159" s="14" t="n"/>
      <c r="E159" s="14" t="n"/>
      <c r="F159" s="14" t="n"/>
      <c r="G159" s="14">
        <f>IF(OR($E159="",$F159=""),"",$F159-$E159)</f>
        <v/>
      </c>
      <c r="H159" s="14" t="n"/>
      <c r="I159" s="14" t="n"/>
      <c r="J159" s="19" t="n"/>
      <c r="K159" s="19" t="n"/>
      <c r="L159" s="19" t="n"/>
      <c r="M159" s="19" t="n"/>
      <c r="N159" s="18">
        <f>IF($M159&lt;&gt;"",$M159,IF($L159&lt;&gt;"",$L159*CARBON_FRACTION_OM,""))</f>
        <v/>
      </c>
      <c r="O159" s="18">
        <f>IF(OR($E159="",$F159=""),"",MAX(0,MIN($F159,REFERENCE_DEPTH_CM)-MIN($E159,REFERENCE_DEPTH_CM)))</f>
        <v/>
      </c>
      <c r="P159" s="18">
        <f>IF(OR($J159="",$N159="",$G159=""),"",$J159*($N159/100)*$G159*10)</f>
        <v/>
      </c>
      <c r="Q159" s="18">
        <f>IF(OR($J159="",$N159="",$O159=""),"",$J159*($N159/100)*$O159*10)</f>
        <v/>
      </c>
      <c r="R159" s="18">
        <f>IF(OR(NOT(ISNUMBER($P159)),NOT(ISNUMBER($G159)),$G159=0),0,$P159/$G159)</f>
        <v/>
      </c>
      <c r="S159" s="18">
        <f>IF(OR($B159="",NOT(ISNUMBER($F159))),"",SUMIFS('3. Peat Data'!$P$5:$P$604,'3. Peat Data'!$B$5:$B$604,$B159,'3. Peat Data'!$F$5:$F$604,"&lt;="&amp;$F159))</f>
        <v/>
      </c>
      <c r="T159" s="18">
        <f>IF(AND($A159="",$B159="",$E159=""),"",IF(AND($B159&lt;&gt;"",COUNTIF('2. Core Log'!$A$5:$A$124,$B159)=0),"Core ID not in Core Log. ","")&amp;IF(AND($A159&lt;&gt;"",COUNTIF('1. Plot &amp; Site Log'!$A$5:$A$64,$A159)=0),"Plot ID not in Plot &amp; Site Log. ","")&amp;IF(AND(ISNUMBER($E159),ISNUMBER($F159),$F159&lt;=$E159),"Bottom depth is not below top depth. ","")&amp;IF($I159="","Say which bulk-density basis the lab reported. ","")&amp;IF(AND(ISNUMBER($J159),OR($J159&lt;QC_BD_MIN,$J159&gt;QC_BD_MAX)),"Bulk density outside "&amp;QC_BD_MIN&amp;"–"&amp;QC_BD_MAX&amp;" g/cm³ for peat. Above the top of that range usually means the mineral contact has been passed. ","")&amp;IF(AND(ISNUMBER($N159),$N159&gt;QC_CARBON_PCT_MAX),"Carbon above "&amp;QC_CARBON_PCT_MAX&amp;"% — check units; this may be organic matter rather than carbon. ","")&amp;IF(AND($L159&lt;&gt;"",$M159&lt;&gt;""),"Both LOI and measured carbon given — the measured value is used. ","")&amp;IF(AND($M159="",$L159&lt;&gt;"",OM_FACTOR_IS_LOCAL&lt;&gt;"Yes"),"Carbon derived from LOI using the default factor of "&amp;CARBON_FRACTION_OM&amp;", which has not been calibrated locally. See R1. Reference. ","")&amp;IF(AND(ISNUMBER($O159),$O159=0,ISNUMBER($E159)),"Section lies entirely below the reference depth — it counts to the full-profile stock only. ",""))</f>
        <v/>
      </c>
      <c r="U159" s="14" t="n"/>
    </row>
    <row r="160">
      <c r="A160" s="14" t="n"/>
      <c r="B160" s="14" t="n"/>
      <c r="C160" s="14" t="n"/>
      <c r="D160" s="14" t="n"/>
      <c r="E160" s="14" t="n"/>
      <c r="F160" s="14" t="n"/>
      <c r="G160" s="14">
        <f>IF(OR($E160="",$F160=""),"",$F160-$E160)</f>
        <v/>
      </c>
      <c r="H160" s="14" t="n"/>
      <c r="I160" s="14" t="n"/>
      <c r="J160" s="19" t="n"/>
      <c r="K160" s="19" t="n"/>
      <c r="L160" s="19" t="n"/>
      <c r="M160" s="19" t="n"/>
      <c r="N160" s="18">
        <f>IF($M160&lt;&gt;"",$M160,IF($L160&lt;&gt;"",$L160*CARBON_FRACTION_OM,""))</f>
        <v/>
      </c>
      <c r="O160" s="18">
        <f>IF(OR($E160="",$F160=""),"",MAX(0,MIN($F160,REFERENCE_DEPTH_CM)-MIN($E160,REFERENCE_DEPTH_CM)))</f>
        <v/>
      </c>
      <c r="P160" s="18">
        <f>IF(OR($J160="",$N160="",$G160=""),"",$J160*($N160/100)*$G160*10)</f>
        <v/>
      </c>
      <c r="Q160" s="18">
        <f>IF(OR($J160="",$N160="",$O160=""),"",$J160*($N160/100)*$O160*10)</f>
        <v/>
      </c>
      <c r="R160" s="18">
        <f>IF(OR(NOT(ISNUMBER($P160)),NOT(ISNUMBER($G160)),$G160=0),0,$P160/$G160)</f>
        <v/>
      </c>
      <c r="S160" s="18">
        <f>IF(OR($B160="",NOT(ISNUMBER($F160))),"",SUMIFS('3. Peat Data'!$P$5:$P$604,'3. Peat Data'!$B$5:$B$604,$B160,'3. Peat Data'!$F$5:$F$604,"&lt;="&amp;$F160))</f>
        <v/>
      </c>
      <c r="T160" s="18">
        <f>IF(AND($A160="",$B160="",$E160=""),"",IF(AND($B160&lt;&gt;"",COUNTIF('2. Core Log'!$A$5:$A$124,$B160)=0),"Core ID not in Core Log. ","")&amp;IF(AND($A160&lt;&gt;"",COUNTIF('1. Plot &amp; Site Log'!$A$5:$A$64,$A160)=0),"Plot ID not in Plot &amp; Site Log. ","")&amp;IF(AND(ISNUMBER($E160),ISNUMBER($F160),$F160&lt;=$E160),"Bottom depth is not below top depth. ","")&amp;IF($I160="","Say which bulk-density basis the lab reported. ","")&amp;IF(AND(ISNUMBER($J160),OR($J160&lt;QC_BD_MIN,$J160&gt;QC_BD_MAX)),"Bulk density outside "&amp;QC_BD_MIN&amp;"–"&amp;QC_BD_MAX&amp;" g/cm³ for peat. Above the top of that range usually means the mineral contact has been passed. ","")&amp;IF(AND(ISNUMBER($N160),$N160&gt;QC_CARBON_PCT_MAX),"Carbon above "&amp;QC_CARBON_PCT_MAX&amp;"% — check units; this may be organic matter rather than carbon. ","")&amp;IF(AND($L160&lt;&gt;"",$M160&lt;&gt;""),"Both LOI and measured carbon given — the measured value is used. ","")&amp;IF(AND($M160="",$L160&lt;&gt;"",OM_FACTOR_IS_LOCAL&lt;&gt;"Yes"),"Carbon derived from LOI using the default factor of "&amp;CARBON_FRACTION_OM&amp;", which has not been calibrated locally. See R1. Reference. ","")&amp;IF(AND(ISNUMBER($O160),$O160=0,ISNUMBER($E160)),"Section lies entirely below the reference depth — it counts to the full-profile stock only. ",""))</f>
        <v/>
      </c>
      <c r="U160" s="14" t="n"/>
    </row>
    <row r="161">
      <c r="A161" s="14" t="n"/>
      <c r="B161" s="14" t="n"/>
      <c r="C161" s="14" t="n"/>
      <c r="D161" s="14" t="n"/>
      <c r="E161" s="14" t="n"/>
      <c r="F161" s="14" t="n"/>
      <c r="G161" s="14">
        <f>IF(OR($E161="",$F161=""),"",$F161-$E161)</f>
        <v/>
      </c>
      <c r="H161" s="14" t="n"/>
      <c r="I161" s="14" t="n"/>
      <c r="J161" s="19" t="n"/>
      <c r="K161" s="19" t="n"/>
      <c r="L161" s="19" t="n"/>
      <c r="M161" s="19" t="n"/>
      <c r="N161" s="18">
        <f>IF($M161&lt;&gt;"",$M161,IF($L161&lt;&gt;"",$L161*CARBON_FRACTION_OM,""))</f>
        <v/>
      </c>
      <c r="O161" s="18">
        <f>IF(OR($E161="",$F161=""),"",MAX(0,MIN($F161,REFERENCE_DEPTH_CM)-MIN($E161,REFERENCE_DEPTH_CM)))</f>
        <v/>
      </c>
      <c r="P161" s="18">
        <f>IF(OR($J161="",$N161="",$G161=""),"",$J161*($N161/100)*$G161*10)</f>
        <v/>
      </c>
      <c r="Q161" s="18">
        <f>IF(OR($J161="",$N161="",$O161=""),"",$J161*($N161/100)*$O161*10)</f>
        <v/>
      </c>
      <c r="R161" s="18">
        <f>IF(OR(NOT(ISNUMBER($P161)),NOT(ISNUMBER($G161)),$G161=0),0,$P161/$G161)</f>
        <v/>
      </c>
      <c r="S161" s="18">
        <f>IF(OR($B161="",NOT(ISNUMBER($F161))),"",SUMIFS('3. Peat Data'!$P$5:$P$604,'3. Peat Data'!$B$5:$B$604,$B161,'3. Peat Data'!$F$5:$F$604,"&lt;="&amp;$F161))</f>
        <v/>
      </c>
      <c r="T161" s="18">
        <f>IF(AND($A161="",$B161="",$E161=""),"",IF(AND($B161&lt;&gt;"",COUNTIF('2. Core Log'!$A$5:$A$124,$B161)=0),"Core ID not in Core Log. ","")&amp;IF(AND($A161&lt;&gt;"",COUNTIF('1. Plot &amp; Site Log'!$A$5:$A$64,$A161)=0),"Plot ID not in Plot &amp; Site Log. ","")&amp;IF(AND(ISNUMBER($E161),ISNUMBER($F161),$F161&lt;=$E161),"Bottom depth is not below top depth. ","")&amp;IF($I161="","Say which bulk-density basis the lab reported. ","")&amp;IF(AND(ISNUMBER($J161),OR($J161&lt;QC_BD_MIN,$J161&gt;QC_BD_MAX)),"Bulk density outside "&amp;QC_BD_MIN&amp;"–"&amp;QC_BD_MAX&amp;" g/cm³ for peat. Above the top of that range usually means the mineral contact has been passed. ","")&amp;IF(AND(ISNUMBER($N161),$N161&gt;QC_CARBON_PCT_MAX),"Carbon above "&amp;QC_CARBON_PCT_MAX&amp;"% — check units; this may be organic matter rather than carbon. ","")&amp;IF(AND($L161&lt;&gt;"",$M161&lt;&gt;""),"Both LOI and measured carbon given — the measured value is used. ","")&amp;IF(AND($M161="",$L161&lt;&gt;"",OM_FACTOR_IS_LOCAL&lt;&gt;"Yes"),"Carbon derived from LOI using the default factor of "&amp;CARBON_FRACTION_OM&amp;", which has not been calibrated locally. See R1. Reference. ","")&amp;IF(AND(ISNUMBER($O161),$O161=0,ISNUMBER($E161)),"Section lies entirely below the reference depth — it counts to the full-profile stock only. ",""))</f>
        <v/>
      </c>
      <c r="U161" s="14" t="n"/>
    </row>
    <row r="162">
      <c r="A162" s="14" t="n"/>
      <c r="B162" s="14" t="n"/>
      <c r="C162" s="14" t="n"/>
      <c r="D162" s="14" t="n"/>
      <c r="E162" s="14" t="n"/>
      <c r="F162" s="14" t="n"/>
      <c r="G162" s="14">
        <f>IF(OR($E162="",$F162=""),"",$F162-$E162)</f>
        <v/>
      </c>
      <c r="H162" s="14" t="n"/>
      <c r="I162" s="14" t="n"/>
      <c r="J162" s="19" t="n"/>
      <c r="K162" s="19" t="n"/>
      <c r="L162" s="19" t="n"/>
      <c r="M162" s="19" t="n"/>
      <c r="N162" s="18">
        <f>IF($M162&lt;&gt;"",$M162,IF($L162&lt;&gt;"",$L162*CARBON_FRACTION_OM,""))</f>
        <v/>
      </c>
      <c r="O162" s="18">
        <f>IF(OR($E162="",$F162=""),"",MAX(0,MIN($F162,REFERENCE_DEPTH_CM)-MIN($E162,REFERENCE_DEPTH_CM)))</f>
        <v/>
      </c>
      <c r="P162" s="18">
        <f>IF(OR($J162="",$N162="",$G162=""),"",$J162*($N162/100)*$G162*10)</f>
        <v/>
      </c>
      <c r="Q162" s="18">
        <f>IF(OR($J162="",$N162="",$O162=""),"",$J162*($N162/100)*$O162*10)</f>
        <v/>
      </c>
      <c r="R162" s="18">
        <f>IF(OR(NOT(ISNUMBER($P162)),NOT(ISNUMBER($G162)),$G162=0),0,$P162/$G162)</f>
        <v/>
      </c>
      <c r="S162" s="18">
        <f>IF(OR($B162="",NOT(ISNUMBER($F162))),"",SUMIFS('3. Peat Data'!$P$5:$P$604,'3. Peat Data'!$B$5:$B$604,$B162,'3. Peat Data'!$F$5:$F$604,"&lt;="&amp;$F162))</f>
        <v/>
      </c>
      <c r="T162" s="18">
        <f>IF(AND($A162="",$B162="",$E162=""),"",IF(AND($B162&lt;&gt;"",COUNTIF('2. Core Log'!$A$5:$A$124,$B162)=0),"Core ID not in Core Log. ","")&amp;IF(AND($A162&lt;&gt;"",COUNTIF('1. Plot &amp; Site Log'!$A$5:$A$64,$A162)=0),"Plot ID not in Plot &amp; Site Log. ","")&amp;IF(AND(ISNUMBER($E162),ISNUMBER($F162),$F162&lt;=$E162),"Bottom depth is not below top depth. ","")&amp;IF($I162="","Say which bulk-density basis the lab reported. ","")&amp;IF(AND(ISNUMBER($J162),OR($J162&lt;QC_BD_MIN,$J162&gt;QC_BD_MAX)),"Bulk density outside "&amp;QC_BD_MIN&amp;"–"&amp;QC_BD_MAX&amp;" g/cm³ for peat. Above the top of that range usually means the mineral contact has been passed. ","")&amp;IF(AND(ISNUMBER($N162),$N162&gt;QC_CARBON_PCT_MAX),"Carbon above "&amp;QC_CARBON_PCT_MAX&amp;"% — check units; this may be organic matter rather than carbon. ","")&amp;IF(AND($L162&lt;&gt;"",$M162&lt;&gt;""),"Both LOI and measured carbon given — the measured value is used. ","")&amp;IF(AND($M162="",$L162&lt;&gt;"",OM_FACTOR_IS_LOCAL&lt;&gt;"Yes"),"Carbon derived from LOI using the default factor of "&amp;CARBON_FRACTION_OM&amp;", which has not been calibrated locally. See R1. Reference. ","")&amp;IF(AND(ISNUMBER($O162),$O162=0,ISNUMBER($E162)),"Section lies entirely below the reference depth — it counts to the full-profile stock only. ",""))</f>
        <v/>
      </c>
      <c r="U162" s="14" t="n"/>
    </row>
    <row r="163">
      <c r="A163" s="14" t="n"/>
      <c r="B163" s="14" t="n"/>
      <c r="C163" s="14" t="n"/>
      <c r="D163" s="14" t="n"/>
      <c r="E163" s="14" t="n"/>
      <c r="F163" s="14" t="n"/>
      <c r="G163" s="14">
        <f>IF(OR($E163="",$F163=""),"",$F163-$E163)</f>
        <v/>
      </c>
      <c r="H163" s="14" t="n"/>
      <c r="I163" s="14" t="n"/>
      <c r="J163" s="19" t="n"/>
      <c r="K163" s="19" t="n"/>
      <c r="L163" s="19" t="n"/>
      <c r="M163" s="19" t="n"/>
      <c r="N163" s="18">
        <f>IF($M163&lt;&gt;"",$M163,IF($L163&lt;&gt;"",$L163*CARBON_FRACTION_OM,""))</f>
        <v/>
      </c>
      <c r="O163" s="18">
        <f>IF(OR($E163="",$F163=""),"",MAX(0,MIN($F163,REFERENCE_DEPTH_CM)-MIN($E163,REFERENCE_DEPTH_CM)))</f>
        <v/>
      </c>
      <c r="P163" s="18">
        <f>IF(OR($J163="",$N163="",$G163=""),"",$J163*($N163/100)*$G163*10)</f>
        <v/>
      </c>
      <c r="Q163" s="18">
        <f>IF(OR($J163="",$N163="",$O163=""),"",$J163*($N163/100)*$O163*10)</f>
        <v/>
      </c>
      <c r="R163" s="18">
        <f>IF(OR(NOT(ISNUMBER($P163)),NOT(ISNUMBER($G163)),$G163=0),0,$P163/$G163)</f>
        <v/>
      </c>
      <c r="S163" s="18">
        <f>IF(OR($B163="",NOT(ISNUMBER($F163))),"",SUMIFS('3. Peat Data'!$P$5:$P$604,'3. Peat Data'!$B$5:$B$604,$B163,'3. Peat Data'!$F$5:$F$604,"&lt;="&amp;$F163))</f>
        <v/>
      </c>
      <c r="T163" s="18">
        <f>IF(AND($A163="",$B163="",$E163=""),"",IF(AND($B163&lt;&gt;"",COUNTIF('2. Core Log'!$A$5:$A$124,$B163)=0),"Core ID not in Core Log. ","")&amp;IF(AND($A163&lt;&gt;"",COUNTIF('1. Plot &amp; Site Log'!$A$5:$A$64,$A163)=0),"Plot ID not in Plot &amp; Site Log. ","")&amp;IF(AND(ISNUMBER($E163),ISNUMBER($F163),$F163&lt;=$E163),"Bottom depth is not below top depth. ","")&amp;IF($I163="","Say which bulk-density basis the lab reported. ","")&amp;IF(AND(ISNUMBER($J163),OR($J163&lt;QC_BD_MIN,$J163&gt;QC_BD_MAX)),"Bulk density outside "&amp;QC_BD_MIN&amp;"–"&amp;QC_BD_MAX&amp;" g/cm³ for peat. Above the top of that range usually means the mineral contact has been passed. ","")&amp;IF(AND(ISNUMBER($N163),$N163&gt;QC_CARBON_PCT_MAX),"Carbon above "&amp;QC_CARBON_PCT_MAX&amp;"% — check units; this may be organic matter rather than carbon. ","")&amp;IF(AND($L163&lt;&gt;"",$M163&lt;&gt;""),"Both LOI and measured carbon given — the measured value is used. ","")&amp;IF(AND($M163="",$L163&lt;&gt;"",OM_FACTOR_IS_LOCAL&lt;&gt;"Yes"),"Carbon derived from LOI using the default factor of "&amp;CARBON_FRACTION_OM&amp;", which has not been calibrated locally. See R1. Reference. ","")&amp;IF(AND(ISNUMBER($O163),$O163=0,ISNUMBER($E163)),"Section lies entirely below the reference depth — it counts to the full-profile stock only. ",""))</f>
        <v/>
      </c>
      <c r="U163" s="14" t="n"/>
    </row>
    <row r="164">
      <c r="A164" s="14" t="n"/>
      <c r="B164" s="14" t="n"/>
      <c r="C164" s="14" t="n"/>
      <c r="D164" s="14" t="n"/>
      <c r="E164" s="14" t="n"/>
      <c r="F164" s="14" t="n"/>
      <c r="G164" s="14">
        <f>IF(OR($E164="",$F164=""),"",$F164-$E164)</f>
        <v/>
      </c>
      <c r="H164" s="14" t="n"/>
      <c r="I164" s="14" t="n"/>
      <c r="J164" s="19" t="n"/>
      <c r="K164" s="19" t="n"/>
      <c r="L164" s="19" t="n"/>
      <c r="M164" s="19" t="n"/>
      <c r="N164" s="18">
        <f>IF($M164&lt;&gt;"",$M164,IF($L164&lt;&gt;"",$L164*CARBON_FRACTION_OM,""))</f>
        <v/>
      </c>
      <c r="O164" s="18">
        <f>IF(OR($E164="",$F164=""),"",MAX(0,MIN($F164,REFERENCE_DEPTH_CM)-MIN($E164,REFERENCE_DEPTH_CM)))</f>
        <v/>
      </c>
      <c r="P164" s="18">
        <f>IF(OR($J164="",$N164="",$G164=""),"",$J164*($N164/100)*$G164*10)</f>
        <v/>
      </c>
      <c r="Q164" s="18">
        <f>IF(OR($J164="",$N164="",$O164=""),"",$J164*($N164/100)*$O164*10)</f>
        <v/>
      </c>
      <c r="R164" s="18">
        <f>IF(OR(NOT(ISNUMBER($P164)),NOT(ISNUMBER($G164)),$G164=0),0,$P164/$G164)</f>
        <v/>
      </c>
      <c r="S164" s="18">
        <f>IF(OR($B164="",NOT(ISNUMBER($F164))),"",SUMIFS('3. Peat Data'!$P$5:$P$604,'3. Peat Data'!$B$5:$B$604,$B164,'3. Peat Data'!$F$5:$F$604,"&lt;="&amp;$F164))</f>
        <v/>
      </c>
      <c r="T164" s="18">
        <f>IF(AND($A164="",$B164="",$E164=""),"",IF(AND($B164&lt;&gt;"",COUNTIF('2. Core Log'!$A$5:$A$124,$B164)=0),"Core ID not in Core Log. ","")&amp;IF(AND($A164&lt;&gt;"",COUNTIF('1. Plot &amp; Site Log'!$A$5:$A$64,$A164)=0),"Plot ID not in Plot &amp; Site Log. ","")&amp;IF(AND(ISNUMBER($E164),ISNUMBER($F164),$F164&lt;=$E164),"Bottom depth is not below top depth. ","")&amp;IF($I164="","Say which bulk-density basis the lab reported. ","")&amp;IF(AND(ISNUMBER($J164),OR($J164&lt;QC_BD_MIN,$J164&gt;QC_BD_MAX)),"Bulk density outside "&amp;QC_BD_MIN&amp;"–"&amp;QC_BD_MAX&amp;" g/cm³ for peat. Above the top of that range usually means the mineral contact has been passed. ","")&amp;IF(AND(ISNUMBER($N164),$N164&gt;QC_CARBON_PCT_MAX),"Carbon above "&amp;QC_CARBON_PCT_MAX&amp;"% — check units; this may be organic matter rather than carbon. ","")&amp;IF(AND($L164&lt;&gt;"",$M164&lt;&gt;""),"Both LOI and measured carbon given — the measured value is used. ","")&amp;IF(AND($M164="",$L164&lt;&gt;"",OM_FACTOR_IS_LOCAL&lt;&gt;"Yes"),"Carbon derived from LOI using the default factor of "&amp;CARBON_FRACTION_OM&amp;", which has not been calibrated locally. See R1. Reference. ","")&amp;IF(AND(ISNUMBER($O164),$O164=0,ISNUMBER($E164)),"Section lies entirely below the reference depth — it counts to the full-profile stock only. ",""))</f>
        <v/>
      </c>
      <c r="U164" s="14" t="n"/>
    </row>
    <row r="165">
      <c r="A165" s="14" t="n"/>
      <c r="B165" s="14" t="n"/>
      <c r="C165" s="14" t="n"/>
      <c r="D165" s="14" t="n"/>
      <c r="E165" s="14" t="n"/>
      <c r="F165" s="14" t="n"/>
      <c r="G165" s="14">
        <f>IF(OR($E165="",$F165=""),"",$F165-$E165)</f>
        <v/>
      </c>
      <c r="H165" s="14" t="n"/>
      <c r="I165" s="14" t="n"/>
      <c r="J165" s="19" t="n"/>
      <c r="K165" s="19" t="n"/>
      <c r="L165" s="19" t="n"/>
      <c r="M165" s="19" t="n"/>
      <c r="N165" s="18">
        <f>IF($M165&lt;&gt;"",$M165,IF($L165&lt;&gt;"",$L165*CARBON_FRACTION_OM,""))</f>
        <v/>
      </c>
      <c r="O165" s="18">
        <f>IF(OR($E165="",$F165=""),"",MAX(0,MIN($F165,REFERENCE_DEPTH_CM)-MIN($E165,REFERENCE_DEPTH_CM)))</f>
        <v/>
      </c>
      <c r="P165" s="18">
        <f>IF(OR($J165="",$N165="",$G165=""),"",$J165*($N165/100)*$G165*10)</f>
        <v/>
      </c>
      <c r="Q165" s="18">
        <f>IF(OR($J165="",$N165="",$O165=""),"",$J165*($N165/100)*$O165*10)</f>
        <v/>
      </c>
      <c r="R165" s="18">
        <f>IF(OR(NOT(ISNUMBER($P165)),NOT(ISNUMBER($G165)),$G165=0),0,$P165/$G165)</f>
        <v/>
      </c>
      <c r="S165" s="18">
        <f>IF(OR($B165="",NOT(ISNUMBER($F165))),"",SUMIFS('3. Peat Data'!$P$5:$P$604,'3. Peat Data'!$B$5:$B$604,$B165,'3. Peat Data'!$F$5:$F$604,"&lt;="&amp;$F165))</f>
        <v/>
      </c>
      <c r="T165" s="18">
        <f>IF(AND($A165="",$B165="",$E165=""),"",IF(AND($B165&lt;&gt;"",COUNTIF('2. Core Log'!$A$5:$A$124,$B165)=0),"Core ID not in Core Log. ","")&amp;IF(AND($A165&lt;&gt;"",COUNTIF('1. Plot &amp; Site Log'!$A$5:$A$64,$A165)=0),"Plot ID not in Plot &amp; Site Log. ","")&amp;IF(AND(ISNUMBER($E165),ISNUMBER($F165),$F165&lt;=$E165),"Bottom depth is not below top depth. ","")&amp;IF($I165="","Say which bulk-density basis the lab reported. ","")&amp;IF(AND(ISNUMBER($J165),OR($J165&lt;QC_BD_MIN,$J165&gt;QC_BD_MAX)),"Bulk density outside "&amp;QC_BD_MIN&amp;"–"&amp;QC_BD_MAX&amp;" g/cm³ for peat. Above the top of that range usually means the mineral contact has been passed. ","")&amp;IF(AND(ISNUMBER($N165),$N165&gt;QC_CARBON_PCT_MAX),"Carbon above "&amp;QC_CARBON_PCT_MAX&amp;"% — check units; this may be organic matter rather than carbon. ","")&amp;IF(AND($L165&lt;&gt;"",$M165&lt;&gt;""),"Both LOI and measured carbon given — the measured value is used. ","")&amp;IF(AND($M165="",$L165&lt;&gt;"",OM_FACTOR_IS_LOCAL&lt;&gt;"Yes"),"Carbon derived from LOI using the default factor of "&amp;CARBON_FRACTION_OM&amp;", which has not been calibrated locally. See R1. Reference. ","")&amp;IF(AND(ISNUMBER($O165),$O165=0,ISNUMBER($E165)),"Section lies entirely below the reference depth — it counts to the full-profile stock only. ",""))</f>
        <v/>
      </c>
      <c r="U165" s="14" t="n"/>
    </row>
    <row r="166">
      <c r="A166" s="14" t="n"/>
      <c r="B166" s="14" t="n"/>
      <c r="C166" s="14" t="n"/>
      <c r="D166" s="14" t="n"/>
      <c r="E166" s="14" t="n"/>
      <c r="F166" s="14" t="n"/>
      <c r="G166" s="14">
        <f>IF(OR($E166="",$F166=""),"",$F166-$E166)</f>
        <v/>
      </c>
      <c r="H166" s="14" t="n"/>
      <c r="I166" s="14" t="n"/>
      <c r="J166" s="19" t="n"/>
      <c r="K166" s="19" t="n"/>
      <c r="L166" s="19" t="n"/>
      <c r="M166" s="19" t="n"/>
      <c r="N166" s="18">
        <f>IF($M166&lt;&gt;"",$M166,IF($L166&lt;&gt;"",$L166*CARBON_FRACTION_OM,""))</f>
        <v/>
      </c>
      <c r="O166" s="18">
        <f>IF(OR($E166="",$F166=""),"",MAX(0,MIN($F166,REFERENCE_DEPTH_CM)-MIN($E166,REFERENCE_DEPTH_CM)))</f>
        <v/>
      </c>
      <c r="P166" s="18">
        <f>IF(OR($J166="",$N166="",$G166=""),"",$J166*($N166/100)*$G166*10)</f>
        <v/>
      </c>
      <c r="Q166" s="18">
        <f>IF(OR($J166="",$N166="",$O166=""),"",$J166*($N166/100)*$O166*10)</f>
        <v/>
      </c>
      <c r="R166" s="18">
        <f>IF(OR(NOT(ISNUMBER($P166)),NOT(ISNUMBER($G166)),$G166=0),0,$P166/$G166)</f>
        <v/>
      </c>
      <c r="S166" s="18">
        <f>IF(OR($B166="",NOT(ISNUMBER($F166))),"",SUMIFS('3. Peat Data'!$P$5:$P$604,'3. Peat Data'!$B$5:$B$604,$B166,'3. Peat Data'!$F$5:$F$604,"&lt;="&amp;$F166))</f>
        <v/>
      </c>
      <c r="T166" s="18">
        <f>IF(AND($A166="",$B166="",$E166=""),"",IF(AND($B166&lt;&gt;"",COUNTIF('2. Core Log'!$A$5:$A$124,$B166)=0),"Core ID not in Core Log. ","")&amp;IF(AND($A166&lt;&gt;"",COUNTIF('1. Plot &amp; Site Log'!$A$5:$A$64,$A166)=0),"Plot ID not in Plot &amp; Site Log. ","")&amp;IF(AND(ISNUMBER($E166),ISNUMBER($F166),$F166&lt;=$E166),"Bottom depth is not below top depth. ","")&amp;IF($I166="","Say which bulk-density basis the lab reported. ","")&amp;IF(AND(ISNUMBER($J166),OR($J166&lt;QC_BD_MIN,$J166&gt;QC_BD_MAX)),"Bulk density outside "&amp;QC_BD_MIN&amp;"–"&amp;QC_BD_MAX&amp;" g/cm³ for peat. Above the top of that range usually means the mineral contact has been passed. ","")&amp;IF(AND(ISNUMBER($N166),$N166&gt;QC_CARBON_PCT_MAX),"Carbon above "&amp;QC_CARBON_PCT_MAX&amp;"% — check units; this may be organic matter rather than carbon. ","")&amp;IF(AND($L166&lt;&gt;"",$M166&lt;&gt;""),"Both LOI and measured carbon given — the measured value is used. ","")&amp;IF(AND($M166="",$L166&lt;&gt;"",OM_FACTOR_IS_LOCAL&lt;&gt;"Yes"),"Carbon derived from LOI using the default factor of "&amp;CARBON_FRACTION_OM&amp;", which has not been calibrated locally. See R1. Reference. ","")&amp;IF(AND(ISNUMBER($O166),$O166=0,ISNUMBER($E166)),"Section lies entirely below the reference depth — it counts to the full-profile stock only. ",""))</f>
        <v/>
      </c>
      <c r="U166" s="14" t="n"/>
    </row>
    <row r="167">
      <c r="A167" s="14" t="n"/>
      <c r="B167" s="14" t="n"/>
      <c r="C167" s="14" t="n"/>
      <c r="D167" s="14" t="n"/>
      <c r="E167" s="14" t="n"/>
      <c r="F167" s="14" t="n"/>
      <c r="G167" s="14">
        <f>IF(OR($E167="",$F167=""),"",$F167-$E167)</f>
        <v/>
      </c>
      <c r="H167" s="14" t="n"/>
      <c r="I167" s="14" t="n"/>
      <c r="J167" s="19" t="n"/>
      <c r="K167" s="19" t="n"/>
      <c r="L167" s="19" t="n"/>
      <c r="M167" s="19" t="n"/>
      <c r="N167" s="18">
        <f>IF($M167&lt;&gt;"",$M167,IF($L167&lt;&gt;"",$L167*CARBON_FRACTION_OM,""))</f>
        <v/>
      </c>
      <c r="O167" s="18">
        <f>IF(OR($E167="",$F167=""),"",MAX(0,MIN($F167,REFERENCE_DEPTH_CM)-MIN($E167,REFERENCE_DEPTH_CM)))</f>
        <v/>
      </c>
      <c r="P167" s="18">
        <f>IF(OR($J167="",$N167="",$G167=""),"",$J167*($N167/100)*$G167*10)</f>
        <v/>
      </c>
      <c r="Q167" s="18">
        <f>IF(OR($J167="",$N167="",$O167=""),"",$J167*($N167/100)*$O167*10)</f>
        <v/>
      </c>
      <c r="R167" s="18">
        <f>IF(OR(NOT(ISNUMBER($P167)),NOT(ISNUMBER($G167)),$G167=0),0,$P167/$G167)</f>
        <v/>
      </c>
      <c r="S167" s="18">
        <f>IF(OR($B167="",NOT(ISNUMBER($F167))),"",SUMIFS('3. Peat Data'!$P$5:$P$604,'3. Peat Data'!$B$5:$B$604,$B167,'3. Peat Data'!$F$5:$F$604,"&lt;="&amp;$F167))</f>
        <v/>
      </c>
      <c r="T167" s="18">
        <f>IF(AND($A167="",$B167="",$E167=""),"",IF(AND($B167&lt;&gt;"",COUNTIF('2. Core Log'!$A$5:$A$124,$B167)=0),"Core ID not in Core Log. ","")&amp;IF(AND($A167&lt;&gt;"",COUNTIF('1. Plot &amp; Site Log'!$A$5:$A$64,$A167)=0),"Plot ID not in Plot &amp; Site Log. ","")&amp;IF(AND(ISNUMBER($E167),ISNUMBER($F167),$F167&lt;=$E167),"Bottom depth is not below top depth. ","")&amp;IF($I167="","Say which bulk-density basis the lab reported. ","")&amp;IF(AND(ISNUMBER($J167),OR($J167&lt;QC_BD_MIN,$J167&gt;QC_BD_MAX)),"Bulk density outside "&amp;QC_BD_MIN&amp;"–"&amp;QC_BD_MAX&amp;" g/cm³ for peat. Above the top of that range usually means the mineral contact has been passed. ","")&amp;IF(AND(ISNUMBER($N167),$N167&gt;QC_CARBON_PCT_MAX),"Carbon above "&amp;QC_CARBON_PCT_MAX&amp;"% — check units; this may be organic matter rather than carbon. ","")&amp;IF(AND($L167&lt;&gt;"",$M167&lt;&gt;""),"Both LOI and measured carbon given — the measured value is used. ","")&amp;IF(AND($M167="",$L167&lt;&gt;"",OM_FACTOR_IS_LOCAL&lt;&gt;"Yes"),"Carbon derived from LOI using the default factor of "&amp;CARBON_FRACTION_OM&amp;", which has not been calibrated locally. See R1. Reference. ","")&amp;IF(AND(ISNUMBER($O167),$O167=0,ISNUMBER($E167)),"Section lies entirely below the reference depth — it counts to the full-profile stock only. ",""))</f>
        <v/>
      </c>
      <c r="U167" s="14" t="n"/>
    </row>
    <row r="168">
      <c r="A168" s="14" t="n"/>
      <c r="B168" s="14" t="n"/>
      <c r="C168" s="14" t="n"/>
      <c r="D168" s="14" t="n"/>
      <c r="E168" s="14" t="n"/>
      <c r="F168" s="14" t="n"/>
      <c r="G168" s="14">
        <f>IF(OR($E168="",$F168=""),"",$F168-$E168)</f>
        <v/>
      </c>
      <c r="H168" s="14" t="n"/>
      <c r="I168" s="14" t="n"/>
      <c r="J168" s="19" t="n"/>
      <c r="K168" s="19" t="n"/>
      <c r="L168" s="19" t="n"/>
      <c r="M168" s="19" t="n"/>
      <c r="N168" s="18">
        <f>IF($M168&lt;&gt;"",$M168,IF($L168&lt;&gt;"",$L168*CARBON_FRACTION_OM,""))</f>
        <v/>
      </c>
      <c r="O168" s="18">
        <f>IF(OR($E168="",$F168=""),"",MAX(0,MIN($F168,REFERENCE_DEPTH_CM)-MIN($E168,REFERENCE_DEPTH_CM)))</f>
        <v/>
      </c>
      <c r="P168" s="18">
        <f>IF(OR($J168="",$N168="",$G168=""),"",$J168*($N168/100)*$G168*10)</f>
        <v/>
      </c>
      <c r="Q168" s="18">
        <f>IF(OR($J168="",$N168="",$O168=""),"",$J168*($N168/100)*$O168*10)</f>
        <v/>
      </c>
      <c r="R168" s="18">
        <f>IF(OR(NOT(ISNUMBER($P168)),NOT(ISNUMBER($G168)),$G168=0),0,$P168/$G168)</f>
        <v/>
      </c>
      <c r="S168" s="18">
        <f>IF(OR($B168="",NOT(ISNUMBER($F168))),"",SUMIFS('3. Peat Data'!$P$5:$P$604,'3. Peat Data'!$B$5:$B$604,$B168,'3. Peat Data'!$F$5:$F$604,"&lt;="&amp;$F168))</f>
        <v/>
      </c>
      <c r="T168" s="18">
        <f>IF(AND($A168="",$B168="",$E168=""),"",IF(AND($B168&lt;&gt;"",COUNTIF('2. Core Log'!$A$5:$A$124,$B168)=0),"Core ID not in Core Log. ","")&amp;IF(AND($A168&lt;&gt;"",COUNTIF('1. Plot &amp; Site Log'!$A$5:$A$64,$A168)=0),"Plot ID not in Plot &amp; Site Log. ","")&amp;IF(AND(ISNUMBER($E168),ISNUMBER($F168),$F168&lt;=$E168),"Bottom depth is not below top depth. ","")&amp;IF($I168="","Say which bulk-density basis the lab reported. ","")&amp;IF(AND(ISNUMBER($J168),OR($J168&lt;QC_BD_MIN,$J168&gt;QC_BD_MAX)),"Bulk density outside "&amp;QC_BD_MIN&amp;"–"&amp;QC_BD_MAX&amp;" g/cm³ for peat. Above the top of that range usually means the mineral contact has been passed. ","")&amp;IF(AND(ISNUMBER($N168),$N168&gt;QC_CARBON_PCT_MAX),"Carbon above "&amp;QC_CARBON_PCT_MAX&amp;"% — check units; this may be organic matter rather than carbon. ","")&amp;IF(AND($L168&lt;&gt;"",$M168&lt;&gt;""),"Both LOI and measured carbon given — the measured value is used. ","")&amp;IF(AND($M168="",$L168&lt;&gt;"",OM_FACTOR_IS_LOCAL&lt;&gt;"Yes"),"Carbon derived from LOI using the default factor of "&amp;CARBON_FRACTION_OM&amp;", which has not been calibrated locally. See R1. Reference. ","")&amp;IF(AND(ISNUMBER($O168),$O168=0,ISNUMBER($E168)),"Section lies entirely below the reference depth — it counts to the full-profile stock only. ",""))</f>
        <v/>
      </c>
      <c r="U168" s="14" t="n"/>
    </row>
    <row r="169">
      <c r="A169" s="14" t="n"/>
      <c r="B169" s="14" t="n"/>
      <c r="C169" s="14" t="n"/>
      <c r="D169" s="14" t="n"/>
      <c r="E169" s="14" t="n"/>
      <c r="F169" s="14" t="n"/>
      <c r="G169" s="14">
        <f>IF(OR($E169="",$F169=""),"",$F169-$E169)</f>
        <v/>
      </c>
      <c r="H169" s="14" t="n"/>
      <c r="I169" s="14" t="n"/>
      <c r="J169" s="19" t="n"/>
      <c r="K169" s="19" t="n"/>
      <c r="L169" s="19" t="n"/>
      <c r="M169" s="19" t="n"/>
      <c r="N169" s="18">
        <f>IF($M169&lt;&gt;"",$M169,IF($L169&lt;&gt;"",$L169*CARBON_FRACTION_OM,""))</f>
        <v/>
      </c>
      <c r="O169" s="18">
        <f>IF(OR($E169="",$F169=""),"",MAX(0,MIN($F169,REFERENCE_DEPTH_CM)-MIN($E169,REFERENCE_DEPTH_CM)))</f>
        <v/>
      </c>
      <c r="P169" s="18">
        <f>IF(OR($J169="",$N169="",$G169=""),"",$J169*($N169/100)*$G169*10)</f>
        <v/>
      </c>
      <c r="Q169" s="18">
        <f>IF(OR($J169="",$N169="",$O169=""),"",$J169*($N169/100)*$O169*10)</f>
        <v/>
      </c>
      <c r="R169" s="18">
        <f>IF(OR(NOT(ISNUMBER($P169)),NOT(ISNUMBER($G169)),$G169=0),0,$P169/$G169)</f>
        <v/>
      </c>
      <c r="S169" s="18">
        <f>IF(OR($B169="",NOT(ISNUMBER($F169))),"",SUMIFS('3. Peat Data'!$P$5:$P$604,'3. Peat Data'!$B$5:$B$604,$B169,'3. Peat Data'!$F$5:$F$604,"&lt;="&amp;$F169))</f>
        <v/>
      </c>
      <c r="T169" s="18">
        <f>IF(AND($A169="",$B169="",$E169=""),"",IF(AND($B169&lt;&gt;"",COUNTIF('2. Core Log'!$A$5:$A$124,$B169)=0),"Core ID not in Core Log. ","")&amp;IF(AND($A169&lt;&gt;"",COUNTIF('1. Plot &amp; Site Log'!$A$5:$A$64,$A169)=0),"Plot ID not in Plot &amp; Site Log. ","")&amp;IF(AND(ISNUMBER($E169),ISNUMBER($F169),$F169&lt;=$E169),"Bottom depth is not below top depth. ","")&amp;IF($I169="","Say which bulk-density basis the lab reported. ","")&amp;IF(AND(ISNUMBER($J169),OR($J169&lt;QC_BD_MIN,$J169&gt;QC_BD_MAX)),"Bulk density outside "&amp;QC_BD_MIN&amp;"–"&amp;QC_BD_MAX&amp;" g/cm³ for peat. Above the top of that range usually means the mineral contact has been passed. ","")&amp;IF(AND(ISNUMBER($N169),$N169&gt;QC_CARBON_PCT_MAX),"Carbon above "&amp;QC_CARBON_PCT_MAX&amp;"% — check units; this may be organic matter rather than carbon. ","")&amp;IF(AND($L169&lt;&gt;"",$M169&lt;&gt;""),"Both LOI and measured carbon given — the measured value is used. ","")&amp;IF(AND($M169="",$L169&lt;&gt;"",OM_FACTOR_IS_LOCAL&lt;&gt;"Yes"),"Carbon derived from LOI using the default factor of "&amp;CARBON_FRACTION_OM&amp;", which has not been calibrated locally. See R1. Reference. ","")&amp;IF(AND(ISNUMBER($O169),$O169=0,ISNUMBER($E169)),"Section lies entirely below the reference depth — it counts to the full-profile stock only. ",""))</f>
        <v/>
      </c>
      <c r="U169" s="14" t="n"/>
    </row>
    <row r="170">
      <c r="A170" s="14" t="n"/>
      <c r="B170" s="14" t="n"/>
      <c r="C170" s="14" t="n"/>
      <c r="D170" s="14" t="n"/>
      <c r="E170" s="14" t="n"/>
      <c r="F170" s="14" t="n"/>
      <c r="G170" s="14">
        <f>IF(OR($E170="",$F170=""),"",$F170-$E170)</f>
        <v/>
      </c>
      <c r="H170" s="14" t="n"/>
      <c r="I170" s="14" t="n"/>
      <c r="J170" s="19" t="n"/>
      <c r="K170" s="19" t="n"/>
      <c r="L170" s="19" t="n"/>
      <c r="M170" s="19" t="n"/>
      <c r="N170" s="18">
        <f>IF($M170&lt;&gt;"",$M170,IF($L170&lt;&gt;"",$L170*CARBON_FRACTION_OM,""))</f>
        <v/>
      </c>
      <c r="O170" s="18">
        <f>IF(OR($E170="",$F170=""),"",MAX(0,MIN($F170,REFERENCE_DEPTH_CM)-MIN($E170,REFERENCE_DEPTH_CM)))</f>
        <v/>
      </c>
      <c r="P170" s="18">
        <f>IF(OR($J170="",$N170="",$G170=""),"",$J170*($N170/100)*$G170*10)</f>
        <v/>
      </c>
      <c r="Q170" s="18">
        <f>IF(OR($J170="",$N170="",$O170=""),"",$J170*($N170/100)*$O170*10)</f>
        <v/>
      </c>
      <c r="R170" s="18">
        <f>IF(OR(NOT(ISNUMBER($P170)),NOT(ISNUMBER($G170)),$G170=0),0,$P170/$G170)</f>
        <v/>
      </c>
      <c r="S170" s="18">
        <f>IF(OR($B170="",NOT(ISNUMBER($F170))),"",SUMIFS('3. Peat Data'!$P$5:$P$604,'3. Peat Data'!$B$5:$B$604,$B170,'3. Peat Data'!$F$5:$F$604,"&lt;="&amp;$F170))</f>
        <v/>
      </c>
      <c r="T170" s="18">
        <f>IF(AND($A170="",$B170="",$E170=""),"",IF(AND($B170&lt;&gt;"",COUNTIF('2. Core Log'!$A$5:$A$124,$B170)=0),"Core ID not in Core Log. ","")&amp;IF(AND($A170&lt;&gt;"",COUNTIF('1. Plot &amp; Site Log'!$A$5:$A$64,$A170)=0),"Plot ID not in Plot &amp; Site Log. ","")&amp;IF(AND(ISNUMBER($E170),ISNUMBER($F170),$F170&lt;=$E170),"Bottom depth is not below top depth. ","")&amp;IF($I170="","Say which bulk-density basis the lab reported. ","")&amp;IF(AND(ISNUMBER($J170),OR($J170&lt;QC_BD_MIN,$J170&gt;QC_BD_MAX)),"Bulk density outside "&amp;QC_BD_MIN&amp;"–"&amp;QC_BD_MAX&amp;" g/cm³ for peat. Above the top of that range usually means the mineral contact has been passed. ","")&amp;IF(AND(ISNUMBER($N170),$N170&gt;QC_CARBON_PCT_MAX),"Carbon above "&amp;QC_CARBON_PCT_MAX&amp;"% — check units; this may be organic matter rather than carbon. ","")&amp;IF(AND($L170&lt;&gt;"",$M170&lt;&gt;""),"Both LOI and measured carbon given — the measured value is used. ","")&amp;IF(AND($M170="",$L170&lt;&gt;"",OM_FACTOR_IS_LOCAL&lt;&gt;"Yes"),"Carbon derived from LOI using the default factor of "&amp;CARBON_FRACTION_OM&amp;", which has not been calibrated locally. See R1. Reference. ","")&amp;IF(AND(ISNUMBER($O170),$O170=0,ISNUMBER($E170)),"Section lies entirely below the reference depth — it counts to the full-profile stock only. ",""))</f>
        <v/>
      </c>
      <c r="U170" s="14" t="n"/>
    </row>
    <row r="171">
      <c r="A171" s="14" t="n"/>
      <c r="B171" s="14" t="n"/>
      <c r="C171" s="14" t="n"/>
      <c r="D171" s="14" t="n"/>
      <c r="E171" s="14" t="n"/>
      <c r="F171" s="14" t="n"/>
      <c r="G171" s="14">
        <f>IF(OR($E171="",$F171=""),"",$F171-$E171)</f>
        <v/>
      </c>
      <c r="H171" s="14" t="n"/>
      <c r="I171" s="14" t="n"/>
      <c r="J171" s="19" t="n"/>
      <c r="K171" s="19" t="n"/>
      <c r="L171" s="19" t="n"/>
      <c r="M171" s="19" t="n"/>
      <c r="N171" s="18">
        <f>IF($M171&lt;&gt;"",$M171,IF($L171&lt;&gt;"",$L171*CARBON_FRACTION_OM,""))</f>
        <v/>
      </c>
      <c r="O171" s="18">
        <f>IF(OR($E171="",$F171=""),"",MAX(0,MIN($F171,REFERENCE_DEPTH_CM)-MIN($E171,REFERENCE_DEPTH_CM)))</f>
        <v/>
      </c>
      <c r="P171" s="18">
        <f>IF(OR($J171="",$N171="",$G171=""),"",$J171*($N171/100)*$G171*10)</f>
        <v/>
      </c>
      <c r="Q171" s="18">
        <f>IF(OR($J171="",$N171="",$O171=""),"",$J171*($N171/100)*$O171*10)</f>
        <v/>
      </c>
      <c r="R171" s="18">
        <f>IF(OR(NOT(ISNUMBER($P171)),NOT(ISNUMBER($G171)),$G171=0),0,$P171/$G171)</f>
        <v/>
      </c>
      <c r="S171" s="18">
        <f>IF(OR($B171="",NOT(ISNUMBER($F171))),"",SUMIFS('3. Peat Data'!$P$5:$P$604,'3. Peat Data'!$B$5:$B$604,$B171,'3. Peat Data'!$F$5:$F$604,"&lt;="&amp;$F171))</f>
        <v/>
      </c>
      <c r="T171" s="18">
        <f>IF(AND($A171="",$B171="",$E171=""),"",IF(AND($B171&lt;&gt;"",COUNTIF('2. Core Log'!$A$5:$A$124,$B171)=0),"Core ID not in Core Log. ","")&amp;IF(AND($A171&lt;&gt;"",COUNTIF('1. Plot &amp; Site Log'!$A$5:$A$64,$A171)=0),"Plot ID not in Plot &amp; Site Log. ","")&amp;IF(AND(ISNUMBER($E171),ISNUMBER($F171),$F171&lt;=$E171),"Bottom depth is not below top depth. ","")&amp;IF($I171="","Say which bulk-density basis the lab reported. ","")&amp;IF(AND(ISNUMBER($J171),OR($J171&lt;QC_BD_MIN,$J171&gt;QC_BD_MAX)),"Bulk density outside "&amp;QC_BD_MIN&amp;"–"&amp;QC_BD_MAX&amp;" g/cm³ for peat. Above the top of that range usually means the mineral contact has been passed. ","")&amp;IF(AND(ISNUMBER($N171),$N171&gt;QC_CARBON_PCT_MAX),"Carbon above "&amp;QC_CARBON_PCT_MAX&amp;"% — check units; this may be organic matter rather than carbon. ","")&amp;IF(AND($L171&lt;&gt;"",$M171&lt;&gt;""),"Both LOI and measured carbon given — the measured value is used. ","")&amp;IF(AND($M171="",$L171&lt;&gt;"",OM_FACTOR_IS_LOCAL&lt;&gt;"Yes"),"Carbon derived from LOI using the default factor of "&amp;CARBON_FRACTION_OM&amp;", which has not been calibrated locally. See R1. Reference. ","")&amp;IF(AND(ISNUMBER($O171),$O171=0,ISNUMBER($E171)),"Section lies entirely below the reference depth — it counts to the full-profile stock only. ",""))</f>
        <v/>
      </c>
      <c r="U171" s="14" t="n"/>
    </row>
    <row r="172">
      <c r="A172" s="14" t="n"/>
      <c r="B172" s="14" t="n"/>
      <c r="C172" s="14" t="n"/>
      <c r="D172" s="14" t="n"/>
      <c r="E172" s="14" t="n"/>
      <c r="F172" s="14" t="n"/>
      <c r="G172" s="14">
        <f>IF(OR($E172="",$F172=""),"",$F172-$E172)</f>
        <v/>
      </c>
      <c r="H172" s="14" t="n"/>
      <c r="I172" s="14" t="n"/>
      <c r="J172" s="19" t="n"/>
      <c r="K172" s="19" t="n"/>
      <c r="L172" s="19" t="n"/>
      <c r="M172" s="19" t="n"/>
      <c r="N172" s="18">
        <f>IF($M172&lt;&gt;"",$M172,IF($L172&lt;&gt;"",$L172*CARBON_FRACTION_OM,""))</f>
        <v/>
      </c>
      <c r="O172" s="18">
        <f>IF(OR($E172="",$F172=""),"",MAX(0,MIN($F172,REFERENCE_DEPTH_CM)-MIN($E172,REFERENCE_DEPTH_CM)))</f>
        <v/>
      </c>
      <c r="P172" s="18">
        <f>IF(OR($J172="",$N172="",$G172=""),"",$J172*($N172/100)*$G172*10)</f>
        <v/>
      </c>
      <c r="Q172" s="18">
        <f>IF(OR($J172="",$N172="",$O172=""),"",$J172*($N172/100)*$O172*10)</f>
        <v/>
      </c>
      <c r="R172" s="18">
        <f>IF(OR(NOT(ISNUMBER($P172)),NOT(ISNUMBER($G172)),$G172=0),0,$P172/$G172)</f>
        <v/>
      </c>
      <c r="S172" s="18">
        <f>IF(OR($B172="",NOT(ISNUMBER($F172))),"",SUMIFS('3. Peat Data'!$P$5:$P$604,'3. Peat Data'!$B$5:$B$604,$B172,'3. Peat Data'!$F$5:$F$604,"&lt;="&amp;$F172))</f>
        <v/>
      </c>
      <c r="T172" s="18">
        <f>IF(AND($A172="",$B172="",$E172=""),"",IF(AND($B172&lt;&gt;"",COUNTIF('2. Core Log'!$A$5:$A$124,$B172)=0),"Core ID not in Core Log. ","")&amp;IF(AND($A172&lt;&gt;"",COUNTIF('1. Plot &amp; Site Log'!$A$5:$A$64,$A172)=0),"Plot ID not in Plot &amp; Site Log. ","")&amp;IF(AND(ISNUMBER($E172),ISNUMBER($F172),$F172&lt;=$E172),"Bottom depth is not below top depth. ","")&amp;IF($I172="","Say which bulk-density basis the lab reported. ","")&amp;IF(AND(ISNUMBER($J172),OR($J172&lt;QC_BD_MIN,$J172&gt;QC_BD_MAX)),"Bulk density outside "&amp;QC_BD_MIN&amp;"–"&amp;QC_BD_MAX&amp;" g/cm³ for peat. Above the top of that range usually means the mineral contact has been passed. ","")&amp;IF(AND(ISNUMBER($N172),$N172&gt;QC_CARBON_PCT_MAX),"Carbon above "&amp;QC_CARBON_PCT_MAX&amp;"% — check units; this may be organic matter rather than carbon. ","")&amp;IF(AND($L172&lt;&gt;"",$M172&lt;&gt;""),"Both LOI and measured carbon given — the measured value is used. ","")&amp;IF(AND($M172="",$L172&lt;&gt;"",OM_FACTOR_IS_LOCAL&lt;&gt;"Yes"),"Carbon derived from LOI using the default factor of "&amp;CARBON_FRACTION_OM&amp;", which has not been calibrated locally. See R1. Reference. ","")&amp;IF(AND(ISNUMBER($O172),$O172=0,ISNUMBER($E172)),"Section lies entirely below the reference depth — it counts to the full-profile stock only. ",""))</f>
        <v/>
      </c>
      <c r="U172" s="14" t="n"/>
    </row>
    <row r="173">
      <c r="A173" s="14" t="n"/>
      <c r="B173" s="14" t="n"/>
      <c r="C173" s="14" t="n"/>
      <c r="D173" s="14" t="n"/>
      <c r="E173" s="14" t="n"/>
      <c r="F173" s="14" t="n"/>
      <c r="G173" s="14">
        <f>IF(OR($E173="",$F173=""),"",$F173-$E173)</f>
        <v/>
      </c>
      <c r="H173" s="14" t="n"/>
      <c r="I173" s="14" t="n"/>
      <c r="J173" s="19" t="n"/>
      <c r="K173" s="19" t="n"/>
      <c r="L173" s="19" t="n"/>
      <c r="M173" s="19" t="n"/>
      <c r="N173" s="18">
        <f>IF($M173&lt;&gt;"",$M173,IF($L173&lt;&gt;"",$L173*CARBON_FRACTION_OM,""))</f>
        <v/>
      </c>
      <c r="O173" s="18">
        <f>IF(OR($E173="",$F173=""),"",MAX(0,MIN($F173,REFERENCE_DEPTH_CM)-MIN($E173,REFERENCE_DEPTH_CM)))</f>
        <v/>
      </c>
      <c r="P173" s="18">
        <f>IF(OR($J173="",$N173="",$G173=""),"",$J173*($N173/100)*$G173*10)</f>
        <v/>
      </c>
      <c r="Q173" s="18">
        <f>IF(OR($J173="",$N173="",$O173=""),"",$J173*($N173/100)*$O173*10)</f>
        <v/>
      </c>
      <c r="R173" s="18">
        <f>IF(OR(NOT(ISNUMBER($P173)),NOT(ISNUMBER($G173)),$G173=0),0,$P173/$G173)</f>
        <v/>
      </c>
      <c r="S173" s="18">
        <f>IF(OR($B173="",NOT(ISNUMBER($F173))),"",SUMIFS('3. Peat Data'!$P$5:$P$604,'3. Peat Data'!$B$5:$B$604,$B173,'3. Peat Data'!$F$5:$F$604,"&lt;="&amp;$F173))</f>
        <v/>
      </c>
      <c r="T173" s="18">
        <f>IF(AND($A173="",$B173="",$E173=""),"",IF(AND($B173&lt;&gt;"",COUNTIF('2. Core Log'!$A$5:$A$124,$B173)=0),"Core ID not in Core Log. ","")&amp;IF(AND($A173&lt;&gt;"",COUNTIF('1. Plot &amp; Site Log'!$A$5:$A$64,$A173)=0),"Plot ID not in Plot &amp; Site Log. ","")&amp;IF(AND(ISNUMBER($E173),ISNUMBER($F173),$F173&lt;=$E173),"Bottom depth is not below top depth. ","")&amp;IF($I173="","Say which bulk-density basis the lab reported. ","")&amp;IF(AND(ISNUMBER($J173),OR($J173&lt;QC_BD_MIN,$J173&gt;QC_BD_MAX)),"Bulk density outside "&amp;QC_BD_MIN&amp;"–"&amp;QC_BD_MAX&amp;" g/cm³ for peat. Above the top of that range usually means the mineral contact has been passed. ","")&amp;IF(AND(ISNUMBER($N173),$N173&gt;QC_CARBON_PCT_MAX),"Carbon above "&amp;QC_CARBON_PCT_MAX&amp;"% — check units; this may be organic matter rather than carbon. ","")&amp;IF(AND($L173&lt;&gt;"",$M173&lt;&gt;""),"Both LOI and measured carbon given — the measured value is used. ","")&amp;IF(AND($M173="",$L173&lt;&gt;"",OM_FACTOR_IS_LOCAL&lt;&gt;"Yes"),"Carbon derived from LOI using the default factor of "&amp;CARBON_FRACTION_OM&amp;", which has not been calibrated locally. See R1. Reference. ","")&amp;IF(AND(ISNUMBER($O173),$O173=0,ISNUMBER($E173)),"Section lies entirely below the reference depth — it counts to the full-profile stock only. ",""))</f>
        <v/>
      </c>
      <c r="U173" s="14" t="n"/>
    </row>
    <row r="174">
      <c r="A174" s="14" t="n"/>
      <c r="B174" s="14" t="n"/>
      <c r="C174" s="14" t="n"/>
      <c r="D174" s="14" t="n"/>
      <c r="E174" s="14" t="n"/>
      <c r="F174" s="14" t="n"/>
      <c r="G174" s="14">
        <f>IF(OR($E174="",$F174=""),"",$F174-$E174)</f>
        <v/>
      </c>
      <c r="H174" s="14" t="n"/>
      <c r="I174" s="14" t="n"/>
      <c r="J174" s="19" t="n"/>
      <c r="K174" s="19" t="n"/>
      <c r="L174" s="19" t="n"/>
      <c r="M174" s="19" t="n"/>
      <c r="N174" s="18">
        <f>IF($M174&lt;&gt;"",$M174,IF($L174&lt;&gt;"",$L174*CARBON_FRACTION_OM,""))</f>
        <v/>
      </c>
      <c r="O174" s="18">
        <f>IF(OR($E174="",$F174=""),"",MAX(0,MIN($F174,REFERENCE_DEPTH_CM)-MIN($E174,REFERENCE_DEPTH_CM)))</f>
        <v/>
      </c>
      <c r="P174" s="18">
        <f>IF(OR($J174="",$N174="",$G174=""),"",$J174*($N174/100)*$G174*10)</f>
        <v/>
      </c>
      <c r="Q174" s="18">
        <f>IF(OR($J174="",$N174="",$O174=""),"",$J174*($N174/100)*$O174*10)</f>
        <v/>
      </c>
      <c r="R174" s="18">
        <f>IF(OR(NOT(ISNUMBER($P174)),NOT(ISNUMBER($G174)),$G174=0),0,$P174/$G174)</f>
        <v/>
      </c>
      <c r="S174" s="18">
        <f>IF(OR($B174="",NOT(ISNUMBER($F174))),"",SUMIFS('3. Peat Data'!$P$5:$P$604,'3. Peat Data'!$B$5:$B$604,$B174,'3. Peat Data'!$F$5:$F$604,"&lt;="&amp;$F174))</f>
        <v/>
      </c>
      <c r="T174" s="18">
        <f>IF(AND($A174="",$B174="",$E174=""),"",IF(AND($B174&lt;&gt;"",COUNTIF('2. Core Log'!$A$5:$A$124,$B174)=0),"Core ID not in Core Log. ","")&amp;IF(AND($A174&lt;&gt;"",COUNTIF('1. Plot &amp; Site Log'!$A$5:$A$64,$A174)=0),"Plot ID not in Plot &amp; Site Log. ","")&amp;IF(AND(ISNUMBER($E174),ISNUMBER($F174),$F174&lt;=$E174),"Bottom depth is not below top depth. ","")&amp;IF($I174="","Say which bulk-density basis the lab reported. ","")&amp;IF(AND(ISNUMBER($J174),OR($J174&lt;QC_BD_MIN,$J174&gt;QC_BD_MAX)),"Bulk density outside "&amp;QC_BD_MIN&amp;"–"&amp;QC_BD_MAX&amp;" g/cm³ for peat. Above the top of that range usually means the mineral contact has been passed. ","")&amp;IF(AND(ISNUMBER($N174),$N174&gt;QC_CARBON_PCT_MAX),"Carbon above "&amp;QC_CARBON_PCT_MAX&amp;"% — check units; this may be organic matter rather than carbon. ","")&amp;IF(AND($L174&lt;&gt;"",$M174&lt;&gt;""),"Both LOI and measured carbon given — the measured value is used. ","")&amp;IF(AND($M174="",$L174&lt;&gt;"",OM_FACTOR_IS_LOCAL&lt;&gt;"Yes"),"Carbon derived from LOI using the default factor of "&amp;CARBON_FRACTION_OM&amp;", which has not been calibrated locally. See R1. Reference. ","")&amp;IF(AND(ISNUMBER($O174),$O174=0,ISNUMBER($E174)),"Section lies entirely below the reference depth — it counts to the full-profile stock only. ",""))</f>
        <v/>
      </c>
      <c r="U174" s="14" t="n"/>
    </row>
    <row r="175">
      <c r="A175" s="14" t="n"/>
      <c r="B175" s="14" t="n"/>
      <c r="C175" s="14" t="n"/>
      <c r="D175" s="14" t="n"/>
      <c r="E175" s="14" t="n"/>
      <c r="F175" s="14" t="n"/>
      <c r="G175" s="14">
        <f>IF(OR($E175="",$F175=""),"",$F175-$E175)</f>
        <v/>
      </c>
      <c r="H175" s="14" t="n"/>
      <c r="I175" s="14" t="n"/>
      <c r="J175" s="19" t="n"/>
      <c r="K175" s="19" t="n"/>
      <c r="L175" s="19" t="n"/>
      <c r="M175" s="19" t="n"/>
      <c r="N175" s="18">
        <f>IF($M175&lt;&gt;"",$M175,IF($L175&lt;&gt;"",$L175*CARBON_FRACTION_OM,""))</f>
        <v/>
      </c>
      <c r="O175" s="18">
        <f>IF(OR($E175="",$F175=""),"",MAX(0,MIN($F175,REFERENCE_DEPTH_CM)-MIN($E175,REFERENCE_DEPTH_CM)))</f>
        <v/>
      </c>
      <c r="P175" s="18">
        <f>IF(OR($J175="",$N175="",$G175=""),"",$J175*($N175/100)*$G175*10)</f>
        <v/>
      </c>
      <c r="Q175" s="18">
        <f>IF(OR($J175="",$N175="",$O175=""),"",$J175*($N175/100)*$O175*10)</f>
        <v/>
      </c>
      <c r="R175" s="18">
        <f>IF(OR(NOT(ISNUMBER($P175)),NOT(ISNUMBER($G175)),$G175=0),0,$P175/$G175)</f>
        <v/>
      </c>
      <c r="S175" s="18">
        <f>IF(OR($B175="",NOT(ISNUMBER($F175))),"",SUMIFS('3. Peat Data'!$P$5:$P$604,'3. Peat Data'!$B$5:$B$604,$B175,'3. Peat Data'!$F$5:$F$604,"&lt;="&amp;$F175))</f>
        <v/>
      </c>
      <c r="T175" s="18">
        <f>IF(AND($A175="",$B175="",$E175=""),"",IF(AND($B175&lt;&gt;"",COUNTIF('2. Core Log'!$A$5:$A$124,$B175)=0),"Core ID not in Core Log. ","")&amp;IF(AND($A175&lt;&gt;"",COUNTIF('1. Plot &amp; Site Log'!$A$5:$A$64,$A175)=0),"Plot ID not in Plot &amp; Site Log. ","")&amp;IF(AND(ISNUMBER($E175),ISNUMBER($F175),$F175&lt;=$E175),"Bottom depth is not below top depth. ","")&amp;IF($I175="","Say which bulk-density basis the lab reported. ","")&amp;IF(AND(ISNUMBER($J175),OR($J175&lt;QC_BD_MIN,$J175&gt;QC_BD_MAX)),"Bulk density outside "&amp;QC_BD_MIN&amp;"–"&amp;QC_BD_MAX&amp;" g/cm³ for peat. Above the top of that range usually means the mineral contact has been passed. ","")&amp;IF(AND(ISNUMBER($N175),$N175&gt;QC_CARBON_PCT_MAX),"Carbon above "&amp;QC_CARBON_PCT_MAX&amp;"% — check units; this may be organic matter rather than carbon. ","")&amp;IF(AND($L175&lt;&gt;"",$M175&lt;&gt;""),"Both LOI and measured carbon given — the measured value is used. ","")&amp;IF(AND($M175="",$L175&lt;&gt;"",OM_FACTOR_IS_LOCAL&lt;&gt;"Yes"),"Carbon derived from LOI using the default factor of "&amp;CARBON_FRACTION_OM&amp;", which has not been calibrated locally. See R1. Reference. ","")&amp;IF(AND(ISNUMBER($O175),$O175=0,ISNUMBER($E175)),"Section lies entirely below the reference depth — it counts to the full-profile stock only. ",""))</f>
        <v/>
      </c>
      <c r="U175" s="14" t="n"/>
    </row>
    <row r="176">
      <c r="A176" s="14" t="n"/>
      <c r="B176" s="14" t="n"/>
      <c r="C176" s="14" t="n"/>
      <c r="D176" s="14" t="n"/>
      <c r="E176" s="14" t="n"/>
      <c r="F176" s="14" t="n"/>
      <c r="G176" s="14">
        <f>IF(OR($E176="",$F176=""),"",$F176-$E176)</f>
        <v/>
      </c>
      <c r="H176" s="14" t="n"/>
      <c r="I176" s="14" t="n"/>
      <c r="J176" s="19" t="n"/>
      <c r="K176" s="19" t="n"/>
      <c r="L176" s="19" t="n"/>
      <c r="M176" s="19" t="n"/>
      <c r="N176" s="18">
        <f>IF($M176&lt;&gt;"",$M176,IF($L176&lt;&gt;"",$L176*CARBON_FRACTION_OM,""))</f>
        <v/>
      </c>
      <c r="O176" s="18">
        <f>IF(OR($E176="",$F176=""),"",MAX(0,MIN($F176,REFERENCE_DEPTH_CM)-MIN($E176,REFERENCE_DEPTH_CM)))</f>
        <v/>
      </c>
      <c r="P176" s="18">
        <f>IF(OR($J176="",$N176="",$G176=""),"",$J176*($N176/100)*$G176*10)</f>
        <v/>
      </c>
      <c r="Q176" s="18">
        <f>IF(OR($J176="",$N176="",$O176=""),"",$J176*($N176/100)*$O176*10)</f>
        <v/>
      </c>
      <c r="R176" s="18">
        <f>IF(OR(NOT(ISNUMBER($P176)),NOT(ISNUMBER($G176)),$G176=0),0,$P176/$G176)</f>
        <v/>
      </c>
      <c r="S176" s="18">
        <f>IF(OR($B176="",NOT(ISNUMBER($F176))),"",SUMIFS('3. Peat Data'!$P$5:$P$604,'3. Peat Data'!$B$5:$B$604,$B176,'3. Peat Data'!$F$5:$F$604,"&lt;="&amp;$F176))</f>
        <v/>
      </c>
      <c r="T176" s="18">
        <f>IF(AND($A176="",$B176="",$E176=""),"",IF(AND($B176&lt;&gt;"",COUNTIF('2. Core Log'!$A$5:$A$124,$B176)=0),"Core ID not in Core Log. ","")&amp;IF(AND($A176&lt;&gt;"",COUNTIF('1. Plot &amp; Site Log'!$A$5:$A$64,$A176)=0),"Plot ID not in Plot &amp; Site Log. ","")&amp;IF(AND(ISNUMBER($E176),ISNUMBER($F176),$F176&lt;=$E176),"Bottom depth is not below top depth. ","")&amp;IF($I176="","Say which bulk-density basis the lab reported. ","")&amp;IF(AND(ISNUMBER($J176),OR($J176&lt;QC_BD_MIN,$J176&gt;QC_BD_MAX)),"Bulk density outside "&amp;QC_BD_MIN&amp;"–"&amp;QC_BD_MAX&amp;" g/cm³ for peat. Above the top of that range usually means the mineral contact has been passed. ","")&amp;IF(AND(ISNUMBER($N176),$N176&gt;QC_CARBON_PCT_MAX),"Carbon above "&amp;QC_CARBON_PCT_MAX&amp;"% — check units; this may be organic matter rather than carbon. ","")&amp;IF(AND($L176&lt;&gt;"",$M176&lt;&gt;""),"Both LOI and measured carbon given — the measured value is used. ","")&amp;IF(AND($M176="",$L176&lt;&gt;"",OM_FACTOR_IS_LOCAL&lt;&gt;"Yes"),"Carbon derived from LOI using the default factor of "&amp;CARBON_FRACTION_OM&amp;", which has not been calibrated locally. See R1. Reference. ","")&amp;IF(AND(ISNUMBER($O176),$O176=0,ISNUMBER($E176)),"Section lies entirely below the reference depth — it counts to the full-profile stock only. ",""))</f>
        <v/>
      </c>
      <c r="U176" s="14" t="n"/>
    </row>
    <row r="177">
      <c r="A177" s="14" t="n"/>
      <c r="B177" s="14" t="n"/>
      <c r="C177" s="14" t="n"/>
      <c r="D177" s="14" t="n"/>
      <c r="E177" s="14" t="n"/>
      <c r="F177" s="14" t="n"/>
      <c r="G177" s="14">
        <f>IF(OR($E177="",$F177=""),"",$F177-$E177)</f>
        <v/>
      </c>
      <c r="H177" s="14" t="n"/>
      <c r="I177" s="14" t="n"/>
      <c r="J177" s="19" t="n"/>
      <c r="K177" s="19" t="n"/>
      <c r="L177" s="19" t="n"/>
      <c r="M177" s="19" t="n"/>
      <c r="N177" s="18">
        <f>IF($M177&lt;&gt;"",$M177,IF($L177&lt;&gt;"",$L177*CARBON_FRACTION_OM,""))</f>
        <v/>
      </c>
      <c r="O177" s="18">
        <f>IF(OR($E177="",$F177=""),"",MAX(0,MIN($F177,REFERENCE_DEPTH_CM)-MIN($E177,REFERENCE_DEPTH_CM)))</f>
        <v/>
      </c>
      <c r="P177" s="18">
        <f>IF(OR($J177="",$N177="",$G177=""),"",$J177*($N177/100)*$G177*10)</f>
        <v/>
      </c>
      <c r="Q177" s="18">
        <f>IF(OR($J177="",$N177="",$O177=""),"",$J177*($N177/100)*$O177*10)</f>
        <v/>
      </c>
      <c r="R177" s="18">
        <f>IF(OR(NOT(ISNUMBER($P177)),NOT(ISNUMBER($G177)),$G177=0),0,$P177/$G177)</f>
        <v/>
      </c>
      <c r="S177" s="18">
        <f>IF(OR($B177="",NOT(ISNUMBER($F177))),"",SUMIFS('3. Peat Data'!$P$5:$P$604,'3. Peat Data'!$B$5:$B$604,$B177,'3. Peat Data'!$F$5:$F$604,"&lt;="&amp;$F177))</f>
        <v/>
      </c>
      <c r="T177" s="18">
        <f>IF(AND($A177="",$B177="",$E177=""),"",IF(AND($B177&lt;&gt;"",COUNTIF('2. Core Log'!$A$5:$A$124,$B177)=0),"Core ID not in Core Log. ","")&amp;IF(AND($A177&lt;&gt;"",COUNTIF('1. Plot &amp; Site Log'!$A$5:$A$64,$A177)=0),"Plot ID not in Plot &amp; Site Log. ","")&amp;IF(AND(ISNUMBER($E177),ISNUMBER($F177),$F177&lt;=$E177),"Bottom depth is not below top depth. ","")&amp;IF($I177="","Say which bulk-density basis the lab reported. ","")&amp;IF(AND(ISNUMBER($J177),OR($J177&lt;QC_BD_MIN,$J177&gt;QC_BD_MAX)),"Bulk density outside "&amp;QC_BD_MIN&amp;"–"&amp;QC_BD_MAX&amp;" g/cm³ for peat. Above the top of that range usually means the mineral contact has been passed. ","")&amp;IF(AND(ISNUMBER($N177),$N177&gt;QC_CARBON_PCT_MAX),"Carbon above "&amp;QC_CARBON_PCT_MAX&amp;"% — check units; this may be organic matter rather than carbon. ","")&amp;IF(AND($L177&lt;&gt;"",$M177&lt;&gt;""),"Both LOI and measured carbon given — the measured value is used. ","")&amp;IF(AND($M177="",$L177&lt;&gt;"",OM_FACTOR_IS_LOCAL&lt;&gt;"Yes"),"Carbon derived from LOI using the default factor of "&amp;CARBON_FRACTION_OM&amp;", which has not been calibrated locally. See R1. Reference. ","")&amp;IF(AND(ISNUMBER($O177),$O177=0,ISNUMBER($E177)),"Section lies entirely below the reference depth — it counts to the full-profile stock only. ",""))</f>
        <v/>
      </c>
      <c r="U177" s="14" t="n"/>
    </row>
    <row r="178">
      <c r="A178" s="14" t="n"/>
      <c r="B178" s="14" t="n"/>
      <c r="C178" s="14" t="n"/>
      <c r="D178" s="14" t="n"/>
      <c r="E178" s="14" t="n"/>
      <c r="F178" s="14" t="n"/>
      <c r="G178" s="14">
        <f>IF(OR($E178="",$F178=""),"",$F178-$E178)</f>
        <v/>
      </c>
      <c r="H178" s="14" t="n"/>
      <c r="I178" s="14" t="n"/>
      <c r="J178" s="19" t="n"/>
      <c r="K178" s="19" t="n"/>
      <c r="L178" s="19" t="n"/>
      <c r="M178" s="19" t="n"/>
      <c r="N178" s="18">
        <f>IF($M178&lt;&gt;"",$M178,IF($L178&lt;&gt;"",$L178*CARBON_FRACTION_OM,""))</f>
        <v/>
      </c>
      <c r="O178" s="18">
        <f>IF(OR($E178="",$F178=""),"",MAX(0,MIN($F178,REFERENCE_DEPTH_CM)-MIN($E178,REFERENCE_DEPTH_CM)))</f>
        <v/>
      </c>
      <c r="P178" s="18">
        <f>IF(OR($J178="",$N178="",$G178=""),"",$J178*($N178/100)*$G178*10)</f>
        <v/>
      </c>
      <c r="Q178" s="18">
        <f>IF(OR($J178="",$N178="",$O178=""),"",$J178*($N178/100)*$O178*10)</f>
        <v/>
      </c>
      <c r="R178" s="18">
        <f>IF(OR(NOT(ISNUMBER($P178)),NOT(ISNUMBER($G178)),$G178=0),0,$P178/$G178)</f>
        <v/>
      </c>
      <c r="S178" s="18">
        <f>IF(OR($B178="",NOT(ISNUMBER($F178))),"",SUMIFS('3. Peat Data'!$P$5:$P$604,'3. Peat Data'!$B$5:$B$604,$B178,'3. Peat Data'!$F$5:$F$604,"&lt;="&amp;$F178))</f>
        <v/>
      </c>
      <c r="T178" s="18">
        <f>IF(AND($A178="",$B178="",$E178=""),"",IF(AND($B178&lt;&gt;"",COUNTIF('2. Core Log'!$A$5:$A$124,$B178)=0),"Core ID not in Core Log. ","")&amp;IF(AND($A178&lt;&gt;"",COUNTIF('1. Plot &amp; Site Log'!$A$5:$A$64,$A178)=0),"Plot ID not in Plot &amp; Site Log. ","")&amp;IF(AND(ISNUMBER($E178),ISNUMBER($F178),$F178&lt;=$E178),"Bottom depth is not below top depth. ","")&amp;IF($I178="","Say which bulk-density basis the lab reported. ","")&amp;IF(AND(ISNUMBER($J178),OR($J178&lt;QC_BD_MIN,$J178&gt;QC_BD_MAX)),"Bulk density outside "&amp;QC_BD_MIN&amp;"–"&amp;QC_BD_MAX&amp;" g/cm³ for peat. Above the top of that range usually means the mineral contact has been passed. ","")&amp;IF(AND(ISNUMBER($N178),$N178&gt;QC_CARBON_PCT_MAX),"Carbon above "&amp;QC_CARBON_PCT_MAX&amp;"% — check units; this may be organic matter rather than carbon. ","")&amp;IF(AND($L178&lt;&gt;"",$M178&lt;&gt;""),"Both LOI and measured carbon given — the measured value is used. ","")&amp;IF(AND($M178="",$L178&lt;&gt;"",OM_FACTOR_IS_LOCAL&lt;&gt;"Yes"),"Carbon derived from LOI using the default factor of "&amp;CARBON_FRACTION_OM&amp;", which has not been calibrated locally. See R1. Reference. ","")&amp;IF(AND(ISNUMBER($O178),$O178=0,ISNUMBER($E178)),"Section lies entirely below the reference depth — it counts to the full-profile stock only. ",""))</f>
        <v/>
      </c>
      <c r="U178" s="14" t="n"/>
    </row>
    <row r="179">
      <c r="A179" s="14" t="n"/>
      <c r="B179" s="14" t="n"/>
      <c r="C179" s="14" t="n"/>
      <c r="D179" s="14" t="n"/>
      <c r="E179" s="14" t="n"/>
      <c r="F179" s="14" t="n"/>
      <c r="G179" s="14">
        <f>IF(OR($E179="",$F179=""),"",$F179-$E179)</f>
        <v/>
      </c>
      <c r="H179" s="14" t="n"/>
      <c r="I179" s="14" t="n"/>
      <c r="J179" s="19" t="n"/>
      <c r="K179" s="19" t="n"/>
      <c r="L179" s="19" t="n"/>
      <c r="M179" s="19" t="n"/>
      <c r="N179" s="18">
        <f>IF($M179&lt;&gt;"",$M179,IF($L179&lt;&gt;"",$L179*CARBON_FRACTION_OM,""))</f>
        <v/>
      </c>
      <c r="O179" s="18">
        <f>IF(OR($E179="",$F179=""),"",MAX(0,MIN($F179,REFERENCE_DEPTH_CM)-MIN($E179,REFERENCE_DEPTH_CM)))</f>
        <v/>
      </c>
      <c r="P179" s="18">
        <f>IF(OR($J179="",$N179="",$G179=""),"",$J179*($N179/100)*$G179*10)</f>
        <v/>
      </c>
      <c r="Q179" s="18">
        <f>IF(OR($J179="",$N179="",$O179=""),"",$J179*($N179/100)*$O179*10)</f>
        <v/>
      </c>
      <c r="R179" s="18">
        <f>IF(OR(NOT(ISNUMBER($P179)),NOT(ISNUMBER($G179)),$G179=0),0,$P179/$G179)</f>
        <v/>
      </c>
      <c r="S179" s="18">
        <f>IF(OR($B179="",NOT(ISNUMBER($F179))),"",SUMIFS('3. Peat Data'!$P$5:$P$604,'3. Peat Data'!$B$5:$B$604,$B179,'3. Peat Data'!$F$5:$F$604,"&lt;="&amp;$F179))</f>
        <v/>
      </c>
      <c r="T179" s="18">
        <f>IF(AND($A179="",$B179="",$E179=""),"",IF(AND($B179&lt;&gt;"",COUNTIF('2. Core Log'!$A$5:$A$124,$B179)=0),"Core ID not in Core Log. ","")&amp;IF(AND($A179&lt;&gt;"",COUNTIF('1. Plot &amp; Site Log'!$A$5:$A$64,$A179)=0),"Plot ID not in Plot &amp; Site Log. ","")&amp;IF(AND(ISNUMBER($E179),ISNUMBER($F179),$F179&lt;=$E179),"Bottom depth is not below top depth. ","")&amp;IF($I179="","Say which bulk-density basis the lab reported. ","")&amp;IF(AND(ISNUMBER($J179),OR($J179&lt;QC_BD_MIN,$J179&gt;QC_BD_MAX)),"Bulk density outside "&amp;QC_BD_MIN&amp;"–"&amp;QC_BD_MAX&amp;" g/cm³ for peat. Above the top of that range usually means the mineral contact has been passed. ","")&amp;IF(AND(ISNUMBER($N179),$N179&gt;QC_CARBON_PCT_MAX),"Carbon above "&amp;QC_CARBON_PCT_MAX&amp;"% — check units; this may be organic matter rather than carbon. ","")&amp;IF(AND($L179&lt;&gt;"",$M179&lt;&gt;""),"Both LOI and measured carbon given — the measured value is used. ","")&amp;IF(AND($M179="",$L179&lt;&gt;"",OM_FACTOR_IS_LOCAL&lt;&gt;"Yes"),"Carbon derived from LOI using the default factor of "&amp;CARBON_FRACTION_OM&amp;", which has not been calibrated locally. See R1. Reference. ","")&amp;IF(AND(ISNUMBER($O179),$O179=0,ISNUMBER($E179)),"Section lies entirely below the reference depth — it counts to the full-profile stock only. ",""))</f>
        <v/>
      </c>
      <c r="U179" s="14" t="n"/>
    </row>
    <row r="180">
      <c r="A180" s="14" t="n"/>
      <c r="B180" s="14" t="n"/>
      <c r="C180" s="14" t="n"/>
      <c r="D180" s="14" t="n"/>
      <c r="E180" s="14" t="n"/>
      <c r="F180" s="14" t="n"/>
      <c r="G180" s="14">
        <f>IF(OR($E180="",$F180=""),"",$F180-$E180)</f>
        <v/>
      </c>
      <c r="H180" s="14" t="n"/>
      <c r="I180" s="14" t="n"/>
      <c r="J180" s="19" t="n"/>
      <c r="K180" s="19" t="n"/>
      <c r="L180" s="19" t="n"/>
      <c r="M180" s="19" t="n"/>
      <c r="N180" s="18">
        <f>IF($M180&lt;&gt;"",$M180,IF($L180&lt;&gt;"",$L180*CARBON_FRACTION_OM,""))</f>
        <v/>
      </c>
      <c r="O180" s="18">
        <f>IF(OR($E180="",$F180=""),"",MAX(0,MIN($F180,REFERENCE_DEPTH_CM)-MIN($E180,REFERENCE_DEPTH_CM)))</f>
        <v/>
      </c>
      <c r="P180" s="18">
        <f>IF(OR($J180="",$N180="",$G180=""),"",$J180*($N180/100)*$G180*10)</f>
        <v/>
      </c>
      <c r="Q180" s="18">
        <f>IF(OR($J180="",$N180="",$O180=""),"",$J180*($N180/100)*$O180*10)</f>
        <v/>
      </c>
      <c r="R180" s="18">
        <f>IF(OR(NOT(ISNUMBER($P180)),NOT(ISNUMBER($G180)),$G180=0),0,$P180/$G180)</f>
        <v/>
      </c>
      <c r="S180" s="18">
        <f>IF(OR($B180="",NOT(ISNUMBER($F180))),"",SUMIFS('3. Peat Data'!$P$5:$P$604,'3. Peat Data'!$B$5:$B$604,$B180,'3. Peat Data'!$F$5:$F$604,"&lt;="&amp;$F180))</f>
        <v/>
      </c>
      <c r="T180" s="18">
        <f>IF(AND($A180="",$B180="",$E180=""),"",IF(AND($B180&lt;&gt;"",COUNTIF('2. Core Log'!$A$5:$A$124,$B180)=0),"Core ID not in Core Log. ","")&amp;IF(AND($A180&lt;&gt;"",COUNTIF('1. Plot &amp; Site Log'!$A$5:$A$64,$A180)=0),"Plot ID not in Plot &amp; Site Log. ","")&amp;IF(AND(ISNUMBER($E180),ISNUMBER($F180),$F180&lt;=$E180),"Bottom depth is not below top depth. ","")&amp;IF($I180="","Say which bulk-density basis the lab reported. ","")&amp;IF(AND(ISNUMBER($J180),OR($J180&lt;QC_BD_MIN,$J180&gt;QC_BD_MAX)),"Bulk density outside "&amp;QC_BD_MIN&amp;"–"&amp;QC_BD_MAX&amp;" g/cm³ for peat. Above the top of that range usually means the mineral contact has been passed. ","")&amp;IF(AND(ISNUMBER($N180),$N180&gt;QC_CARBON_PCT_MAX),"Carbon above "&amp;QC_CARBON_PCT_MAX&amp;"% — check units; this may be organic matter rather than carbon. ","")&amp;IF(AND($L180&lt;&gt;"",$M180&lt;&gt;""),"Both LOI and measured carbon given — the measured value is used. ","")&amp;IF(AND($M180="",$L180&lt;&gt;"",OM_FACTOR_IS_LOCAL&lt;&gt;"Yes"),"Carbon derived from LOI using the default factor of "&amp;CARBON_FRACTION_OM&amp;", which has not been calibrated locally. See R1. Reference. ","")&amp;IF(AND(ISNUMBER($O180),$O180=0,ISNUMBER($E180)),"Section lies entirely below the reference depth — it counts to the full-profile stock only. ",""))</f>
        <v/>
      </c>
      <c r="U180" s="14" t="n"/>
    </row>
    <row r="181">
      <c r="A181" s="14" t="n"/>
      <c r="B181" s="14" t="n"/>
      <c r="C181" s="14" t="n"/>
      <c r="D181" s="14" t="n"/>
      <c r="E181" s="14" t="n"/>
      <c r="F181" s="14" t="n"/>
      <c r="G181" s="14">
        <f>IF(OR($E181="",$F181=""),"",$F181-$E181)</f>
        <v/>
      </c>
      <c r="H181" s="14" t="n"/>
      <c r="I181" s="14" t="n"/>
      <c r="J181" s="19" t="n"/>
      <c r="K181" s="19" t="n"/>
      <c r="L181" s="19" t="n"/>
      <c r="M181" s="19" t="n"/>
      <c r="N181" s="18">
        <f>IF($M181&lt;&gt;"",$M181,IF($L181&lt;&gt;"",$L181*CARBON_FRACTION_OM,""))</f>
        <v/>
      </c>
      <c r="O181" s="18">
        <f>IF(OR($E181="",$F181=""),"",MAX(0,MIN($F181,REFERENCE_DEPTH_CM)-MIN($E181,REFERENCE_DEPTH_CM)))</f>
        <v/>
      </c>
      <c r="P181" s="18">
        <f>IF(OR($J181="",$N181="",$G181=""),"",$J181*($N181/100)*$G181*10)</f>
        <v/>
      </c>
      <c r="Q181" s="18">
        <f>IF(OR($J181="",$N181="",$O181=""),"",$J181*($N181/100)*$O181*10)</f>
        <v/>
      </c>
      <c r="R181" s="18">
        <f>IF(OR(NOT(ISNUMBER($P181)),NOT(ISNUMBER($G181)),$G181=0),0,$P181/$G181)</f>
        <v/>
      </c>
      <c r="S181" s="18">
        <f>IF(OR($B181="",NOT(ISNUMBER($F181))),"",SUMIFS('3. Peat Data'!$P$5:$P$604,'3. Peat Data'!$B$5:$B$604,$B181,'3. Peat Data'!$F$5:$F$604,"&lt;="&amp;$F181))</f>
        <v/>
      </c>
      <c r="T181" s="18">
        <f>IF(AND($A181="",$B181="",$E181=""),"",IF(AND($B181&lt;&gt;"",COUNTIF('2. Core Log'!$A$5:$A$124,$B181)=0),"Core ID not in Core Log. ","")&amp;IF(AND($A181&lt;&gt;"",COUNTIF('1. Plot &amp; Site Log'!$A$5:$A$64,$A181)=0),"Plot ID not in Plot &amp; Site Log. ","")&amp;IF(AND(ISNUMBER($E181),ISNUMBER($F181),$F181&lt;=$E181),"Bottom depth is not below top depth. ","")&amp;IF($I181="","Say which bulk-density basis the lab reported. ","")&amp;IF(AND(ISNUMBER($J181),OR($J181&lt;QC_BD_MIN,$J181&gt;QC_BD_MAX)),"Bulk density outside "&amp;QC_BD_MIN&amp;"–"&amp;QC_BD_MAX&amp;" g/cm³ for peat. Above the top of that range usually means the mineral contact has been passed. ","")&amp;IF(AND(ISNUMBER($N181),$N181&gt;QC_CARBON_PCT_MAX),"Carbon above "&amp;QC_CARBON_PCT_MAX&amp;"% — check units; this may be organic matter rather than carbon. ","")&amp;IF(AND($L181&lt;&gt;"",$M181&lt;&gt;""),"Both LOI and measured carbon given — the measured value is used. ","")&amp;IF(AND($M181="",$L181&lt;&gt;"",OM_FACTOR_IS_LOCAL&lt;&gt;"Yes"),"Carbon derived from LOI using the default factor of "&amp;CARBON_FRACTION_OM&amp;", which has not been calibrated locally. See R1. Reference. ","")&amp;IF(AND(ISNUMBER($O181),$O181=0,ISNUMBER($E181)),"Section lies entirely below the reference depth — it counts to the full-profile stock only. ",""))</f>
        <v/>
      </c>
      <c r="U181" s="14" t="n"/>
    </row>
    <row r="182">
      <c r="A182" s="14" t="n"/>
      <c r="B182" s="14" t="n"/>
      <c r="C182" s="14" t="n"/>
      <c r="D182" s="14" t="n"/>
      <c r="E182" s="14" t="n"/>
      <c r="F182" s="14" t="n"/>
      <c r="G182" s="14">
        <f>IF(OR($E182="",$F182=""),"",$F182-$E182)</f>
        <v/>
      </c>
      <c r="H182" s="14" t="n"/>
      <c r="I182" s="14" t="n"/>
      <c r="J182" s="19" t="n"/>
      <c r="K182" s="19" t="n"/>
      <c r="L182" s="19" t="n"/>
      <c r="M182" s="19" t="n"/>
      <c r="N182" s="18">
        <f>IF($M182&lt;&gt;"",$M182,IF($L182&lt;&gt;"",$L182*CARBON_FRACTION_OM,""))</f>
        <v/>
      </c>
      <c r="O182" s="18">
        <f>IF(OR($E182="",$F182=""),"",MAX(0,MIN($F182,REFERENCE_DEPTH_CM)-MIN($E182,REFERENCE_DEPTH_CM)))</f>
        <v/>
      </c>
      <c r="P182" s="18">
        <f>IF(OR($J182="",$N182="",$G182=""),"",$J182*($N182/100)*$G182*10)</f>
        <v/>
      </c>
      <c r="Q182" s="18">
        <f>IF(OR($J182="",$N182="",$O182=""),"",$J182*($N182/100)*$O182*10)</f>
        <v/>
      </c>
      <c r="R182" s="18">
        <f>IF(OR(NOT(ISNUMBER($P182)),NOT(ISNUMBER($G182)),$G182=0),0,$P182/$G182)</f>
        <v/>
      </c>
      <c r="S182" s="18">
        <f>IF(OR($B182="",NOT(ISNUMBER($F182))),"",SUMIFS('3. Peat Data'!$P$5:$P$604,'3. Peat Data'!$B$5:$B$604,$B182,'3. Peat Data'!$F$5:$F$604,"&lt;="&amp;$F182))</f>
        <v/>
      </c>
      <c r="T182" s="18">
        <f>IF(AND($A182="",$B182="",$E182=""),"",IF(AND($B182&lt;&gt;"",COUNTIF('2. Core Log'!$A$5:$A$124,$B182)=0),"Core ID not in Core Log. ","")&amp;IF(AND($A182&lt;&gt;"",COUNTIF('1. Plot &amp; Site Log'!$A$5:$A$64,$A182)=0),"Plot ID not in Plot &amp; Site Log. ","")&amp;IF(AND(ISNUMBER($E182),ISNUMBER($F182),$F182&lt;=$E182),"Bottom depth is not below top depth. ","")&amp;IF($I182="","Say which bulk-density basis the lab reported. ","")&amp;IF(AND(ISNUMBER($J182),OR($J182&lt;QC_BD_MIN,$J182&gt;QC_BD_MAX)),"Bulk density outside "&amp;QC_BD_MIN&amp;"–"&amp;QC_BD_MAX&amp;" g/cm³ for peat. Above the top of that range usually means the mineral contact has been passed. ","")&amp;IF(AND(ISNUMBER($N182),$N182&gt;QC_CARBON_PCT_MAX),"Carbon above "&amp;QC_CARBON_PCT_MAX&amp;"% — check units; this may be organic matter rather than carbon. ","")&amp;IF(AND($L182&lt;&gt;"",$M182&lt;&gt;""),"Both LOI and measured carbon given — the measured value is used. ","")&amp;IF(AND($M182="",$L182&lt;&gt;"",OM_FACTOR_IS_LOCAL&lt;&gt;"Yes"),"Carbon derived from LOI using the default factor of "&amp;CARBON_FRACTION_OM&amp;", which has not been calibrated locally. See R1. Reference. ","")&amp;IF(AND(ISNUMBER($O182),$O182=0,ISNUMBER($E182)),"Section lies entirely below the reference depth — it counts to the full-profile stock only. ",""))</f>
        <v/>
      </c>
      <c r="U182" s="14" t="n"/>
    </row>
    <row r="183">
      <c r="A183" s="14" t="n"/>
      <c r="B183" s="14" t="n"/>
      <c r="C183" s="14" t="n"/>
      <c r="D183" s="14" t="n"/>
      <c r="E183" s="14" t="n"/>
      <c r="F183" s="14" t="n"/>
      <c r="G183" s="14">
        <f>IF(OR($E183="",$F183=""),"",$F183-$E183)</f>
        <v/>
      </c>
      <c r="H183" s="14" t="n"/>
      <c r="I183" s="14" t="n"/>
      <c r="J183" s="19" t="n"/>
      <c r="K183" s="19" t="n"/>
      <c r="L183" s="19" t="n"/>
      <c r="M183" s="19" t="n"/>
      <c r="N183" s="18">
        <f>IF($M183&lt;&gt;"",$M183,IF($L183&lt;&gt;"",$L183*CARBON_FRACTION_OM,""))</f>
        <v/>
      </c>
      <c r="O183" s="18">
        <f>IF(OR($E183="",$F183=""),"",MAX(0,MIN($F183,REFERENCE_DEPTH_CM)-MIN($E183,REFERENCE_DEPTH_CM)))</f>
        <v/>
      </c>
      <c r="P183" s="18">
        <f>IF(OR($J183="",$N183="",$G183=""),"",$J183*($N183/100)*$G183*10)</f>
        <v/>
      </c>
      <c r="Q183" s="18">
        <f>IF(OR($J183="",$N183="",$O183=""),"",$J183*($N183/100)*$O183*10)</f>
        <v/>
      </c>
      <c r="R183" s="18">
        <f>IF(OR(NOT(ISNUMBER($P183)),NOT(ISNUMBER($G183)),$G183=0),0,$P183/$G183)</f>
        <v/>
      </c>
      <c r="S183" s="18">
        <f>IF(OR($B183="",NOT(ISNUMBER($F183))),"",SUMIFS('3. Peat Data'!$P$5:$P$604,'3. Peat Data'!$B$5:$B$604,$B183,'3. Peat Data'!$F$5:$F$604,"&lt;="&amp;$F183))</f>
        <v/>
      </c>
      <c r="T183" s="18">
        <f>IF(AND($A183="",$B183="",$E183=""),"",IF(AND($B183&lt;&gt;"",COUNTIF('2. Core Log'!$A$5:$A$124,$B183)=0),"Core ID not in Core Log. ","")&amp;IF(AND($A183&lt;&gt;"",COUNTIF('1. Plot &amp; Site Log'!$A$5:$A$64,$A183)=0),"Plot ID not in Plot &amp; Site Log. ","")&amp;IF(AND(ISNUMBER($E183),ISNUMBER($F183),$F183&lt;=$E183),"Bottom depth is not below top depth. ","")&amp;IF($I183="","Say which bulk-density basis the lab reported. ","")&amp;IF(AND(ISNUMBER($J183),OR($J183&lt;QC_BD_MIN,$J183&gt;QC_BD_MAX)),"Bulk density outside "&amp;QC_BD_MIN&amp;"–"&amp;QC_BD_MAX&amp;" g/cm³ for peat. Above the top of that range usually means the mineral contact has been passed. ","")&amp;IF(AND(ISNUMBER($N183),$N183&gt;QC_CARBON_PCT_MAX),"Carbon above "&amp;QC_CARBON_PCT_MAX&amp;"% — check units; this may be organic matter rather than carbon. ","")&amp;IF(AND($L183&lt;&gt;"",$M183&lt;&gt;""),"Both LOI and measured carbon given — the measured value is used. ","")&amp;IF(AND($M183="",$L183&lt;&gt;"",OM_FACTOR_IS_LOCAL&lt;&gt;"Yes"),"Carbon derived from LOI using the default factor of "&amp;CARBON_FRACTION_OM&amp;", which has not been calibrated locally. See R1. Reference. ","")&amp;IF(AND(ISNUMBER($O183),$O183=0,ISNUMBER($E183)),"Section lies entirely below the reference depth — it counts to the full-profile stock only. ",""))</f>
        <v/>
      </c>
      <c r="U183" s="14" t="n"/>
    </row>
    <row r="184">
      <c r="A184" s="14" t="n"/>
      <c r="B184" s="14" t="n"/>
      <c r="C184" s="14" t="n"/>
      <c r="D184" s="14" t="n"/>
      <c r="E184" s="14" t="n"/>
      <c r="F184" s="14" t="n"/>
      <c r="G184" s="14">
        <f>IF(OR($E184="",$F184=""),"",$F184-$E184)</f>
        <v/>
      </c>
      <c r="H184" s="14" t="n"/>
      <c r="I184" s="14" t="n"/>
      <c r="J184" s="19" t="n"/>
      <c r="K184" s="19" t="n"/>
      <c r="L184" s="19" t="n"/>
      <c r="M184" s="19" t="n"/>
      <c r="N184" s="18">
        <f>IF($M184&lt;&gt;"",$M184,IF($L184&lt;&gt;"",$L184*CARBON_FRACTION_OM,""))</f>
        <v/>
      </c>
      <c r="O184" s="18">
        <f>IF(OR($E184="",$F184=""),"",MAX(0,MIN($F184,REFERENCE_DEPTH_CM)-MIN($E184,REFERENCE_DEPTH_CM)))</f>
        <v/>
      </c>
      <c r="P184" s="18">
        <f>IF(OR($J184="",$N184="",$G184=""),"",$J184*($N184/100)*$G184*10)</f>
        <v/>
      </c>
      <c r="Q184" s="18">
        <f>IF(OR($J184="",$N184="",$O184=""),"",$J184*($N184/100)*$O184*10)</f>
        <v/>
      </c>
      <c r="R184" s="18">
        <f>IF(OR(NOT(ISNUMBER($P184)),NOT(ISNUMBER($G184)),$G184=0),0,$P184/$G184)</f>
        <v/>
      </c>
      <c r="S184" s="18">
        <f>IF(OR($B184="",NOT(ISNUMBER($F184))),"",SUMIFS('3. Peat Data'!$P$5:$P$604,'3. Peat Data'!$B$5:$B$604,$B184,'3. Peat Data'!$F$5:$F$604,"&lt;="&amp;$F184))</f>
        <v/>
      </c>
      <c r="T184" s="18">
        <f>IF(AND($A184="",$B184="",$E184=""),"",IF(AND($B184&lt;&gt;"",COUNTIF('2. Core Log'!$A$5:$A$124,$B184)=0),"Core ID not in Core Log. ","")&amp;IF(AND($A184&lt;&gt;"",COUNTIF('1. Plot &amp; Site Log'!$A$5:$A$64,$A184)=0),"Plot ID not in Plot &amp; Site Log. ","")&amp;IF(AND(ISNUMBER($E184),ISNUMBER($F184),$F184&lt;=$E184),"Bottom depth is not below top depth. ","")&amp;IF($I184="","Say which bulk-density basis the lab reported. ","")&amp;IF(AND(ISNUMBER($J184),OR($J184&lt;QC_BD_MIN,$J184&gt;QC_BD_MAX)),"Bulk density outside "&amp;QC_BD_MIN&amp;"–"&amp;QC_BD_MAX&amp;" g/cm³ for peat. Above the top of that range usually means the mineral contact has been passed. ","")&amp;IF(AND(ISNUMBER($N184),$N184&gt;QC_CARBON_PCT_MAX),"Carbon above "&amp;QC_CARBON_PCT_MAX&amp;"% — check units; this may be organic matter rather than carbon. ","")&amp;IF(AND($L184&lt;&gt;"",$M184&lt;&gt;""),"Both LOI and measured carbon given — the measured value is used. ","")&amp;IF(AND($M184="",$L184&lt;&gt;"",OM_FACTOR_IS_LOCAL&lt;&gt;"Yes"),"Carbon derived from LOI using the default factor of "&amp;CARBON_FRACTION_OM&amp;", which has not been calibrated locally. See R1. Reference. ","")&amp;IF(AND(ISNUMBER($O184),$O184=0,ISNUMBER($E184)),"Section lies entirely below the reference depth — it counts to the full-profile stock only. ",""))</f>
        <v/>
      </c>
      <c r="U184" s="14" t="n"/>
    </row>
    <row r="185">
      <c r="A185" s="14" t="n"/>
      <c r="B185" s="14" t="n"/>
      <c r="C185" s="14" t="n"/>
      <c r="D185" s="14" t="n"/>
      <c r="E185" s="14" t="n"/>
      <c r="F185" s="14" t="n"/>
      <c r="G185" s="14">
        <f>IF(OR($E185="",$F185=""),"",$F185-$E185)</f>
        <v/>
      </c>
      <c r="H185" s="14" t="n"/>
      <c r="I185" s="14" t="n"/>
      <c r="J185" s="19" t="n"/>
      <c r="K185" s="19" t="n"/>
      <c r="L185" s="19" t="n"/>
      <c r="M185" s="19" t="n"/>
      <c r="N185" s="18">
        <f>IF($M185&lt;&gt;"",$M185,IF($L185&lt;&gt;"",$L185*CARBON_FRACTION_OM,""))</f>
        <v/>
      </c>
      <c r="O185" s="18">
        <f>IF(OR($E185="",$F185=""),"",MAX(0,MIN($F185,REFERENCE_DEPTH_CM)-MIN($E185,REFERENCE_DEPTH_CM)))</f>
        <v/>
      </c>
      <c r="P185" s="18">
        <f>IF(OR($J185="",$N185="",$G185=""),"",$J185*($N185/100)*$G185*10)</f>
        <v/>
      </c>
      <c r="Q185" s="18">
        <f>IF(OR($J185="",$N185="",$O185=""),"",$J185*($N185/100)*$O185*10)</f>
        <v/>
      </c>
      <c r="R185" s="18">
        <f>IF(OR(NOT(ISNUMBER($P185)),NOT(ISNUMBER($G185)),$G185=0),0,$P185/$G185)</f>
        <v/>
      </c>
      <c r="S185" s="18">
        <f>IF(OR($B185="",NOT(ISNUMBER($F185))),"",SUMIFS('3. Peat Data'!$P$5:$P$604,'3. Peat Data'!$B$5:$B$604,$B185,'3. Peat Data'!$F$5:$F$604,"&lt;="&amp;$F185))</f>
        <v/>
      </c>
      <c r="T185" s="18">
        <f>IF(AND($A185="",$B185="",$E185=""),"",IF(AND($B185&lt;&gt;"",COUNTIF('2. Core Log'!$A$5:$A$124,$B185)=0),"Core ID not in Core Log. ","")&amp;IF(AND($A185&lt;&gt;"",COUNTIF('1. Plot &amp; Site Log'!$A$5:$A$64,$A185)=0),"Plot ID not in Plot &amp; Site Log. ","")&amp;IF(AND(ISNUMBER($E185),ISNUMBER($F185),$F185&lt;=$E185),"Bottom depth is not below top depth. ","")&amp;IF($I185="","Say which bulk-density basis the lab reported. ","")&amp;IF(AND(ISNUMBER($J185),OR($J185&lt;QC_BD_MIN,$J185&gt;QC_BD_MAX)),"Bulk density outside "&amp;QC_BD_MIN&amp;"–"&amp;QC_BD_MAX&amp;" g/cm³ for peat. Above the top of that range usually means the mineral contact has been passed. ","")&amp;IF(AND(ISNUMBER($N185),$N185&gt;QC_CARBON_PCT_MAX),"Carbon above "&amp;QC_CARBON_PCT_MAX&amp;"% — check units; this may be organic matter rather than carbon. ","")&amp;IF(AND($L185&lt;&gt;"",$M185&lt;&gt;""),"Both LOI and measured carbon given — the measured value is used. ","")&amp;IF(AND($M185="",$L185&lt;&gt;"",OM_FACTOR_IS_LOCAL&lt;&gt;"Yes"),"Carbon derived from LOI using the default factor of "&amp;CARBON_FRACTION_OM&amp;", which has not been calibrated locally. See R1. Reference. ","")&amp;IF(AND(ISNUMBER($O185),$O185=0,ISNUMBER($E185)),"Section lies entirely below the reference depth — it counts to the full-profile stock only. ",""))</f>
        <v/>
      </c>
      <c r="U185" s="14" t="n"/>
    </row>
    <row r="186">
      <c r="A186" s="14" t="n"/>
      <c r="B186" s="14" t="n"/>
      <c r="C186" s="14" t="n"/>
      <c r="D186" s="14" t="n"/>
      <c r="E186" s="14" t="n"/>
      <c r="F186" s="14" t="n"/>
      <c r="G186" s="14">
        <f>IF(OR($E186="",$F186=""),"",$F186-$E186)</f>
        <v/>
      </c>
      <c r="H186" s="14" t="n"/>
      <c r="I186" s="14" t="n"/>
      <c r="J186" s="19" t="n"/>
      <c r="K186" s="19" t="n"/>
      <c r="L186" s="19" t="n"/>
      <c r="M186" s="19" t="n"/>
      <c r="N186" s="18">
        <f>IF($M186&lt;&gt;"",$M186,IF($L186&lt;&gt;"",$L186*CARBON_FRACTION_OM,""))</f>
        <v/>
      </c>
      <c r="O186" s="18">
        <f>IF(OR($E186="",$F186=""),"",MAX(0,MIN($F186,REFERENCE_DEPTH_CM)-MIN($E186,REFERENCE_DEPTH_CM)))</f>
        <v/>
      </c>
      <c r="P186" s="18">
        <f>IF(OR($J186="",$N186="",$G186=""),"",$J186*($N186/100)*$G186*10)</f>
        <v/>
      </c>
      <c r="Q186" s="18">
        <f>IF(OR($J186="",$N186="",$O186=""),"",$J186*($N186/100)*$O186*10)</f>
        <v/>
      </c>
      <c r="R186" s="18">
        <f>IF(OR(NOT(ISNUMBER($P186)),NOT(ISNUMBER($G186)),$G186=0),0,$P186/$G186)</f>
        <v/>
      </c>
      <c r="S186" s="18">
        <f>IF(OR($B186="",NOT(ISNUMBER($F186))),"",SUMIFS('3. Peat Data'!$P$5:$P$604,'3. Peat Data'!$B$5:$B$604,$B186,'3. Peat Data'!$F$5:$F$604,"&lt;="&amp;$F186))</f>
        <v/>
      </c>
      <c r="T186" s="18">
        <f>IF(AND($A186="",$B186="",$E186=""),"",IF(AND($B186&lt;&gt;"",COUNTIF('2. Core Log'!$A$5:$A$124,$B186)=0),"Core ID not in Core Log. ","")&amp;IF(AND($A186&lt;&gt;"",COUNTIF('1. Plot &amp; Site Log'!$A$5:$A$64,$A186)=0),"Plot ID not in Plot &amp; Site Log. ","")&amp;IF(AND(ISNUMBER($E186),ISNUMBER($F186),$F186&lt;=$E186),"Bottom depth is not below top depth. ","")&amp;IF($I186="","Say which bulk-density basis the lab reported. ","")&amp;IF(AND(ISNUMBER($J186),OR($J186&lt;QC_BD_MIN,$J186&gt;QC_BD_MAX)),"Bulk density outside "&amp;QC_BD_MIN&amp;"–"&amp;QC_BD_MAX&amp;" g/cm³ for peat. Above the top of that range usually means the mineral contact has been passed. ","")&amp;IF(AND(ISNUMBER($N186),$N186&gt;QC_CARBON_PCT_MAX),"Carbon above "&amp;QC_CARBON_PCT_MAX&amp;"% — check units; this may be organic matter rather than carbon. ","")&amp;IF(AND($L186&lt;&gt;"",$M186&lt;&gt;""),"Both LOI and measured carbon given — the measured value is used. ","")&amp;IF(AND($M186="",$L186&lt;&gt;"",OM_FACTOR_IS_LOCAL&lt;&gt;"Yes"),"Carbon derived from LOI using the default factor of "&amp;CARBON_FRACTION_OM&amp;", which has not been calibrated locally. See R1. Reference. ","")&amp;IF(AND(ISNUMBER($O186),$O186=0,ISNUMBER($E186)),"Section lies entirely below the reference depth — it counts to the full-profile stock only. ",""))</f>
        <v/>
      </c>
      <c r="U186" s="14" t="n"/>
    </row>
    <row r="187">
      <c r="A187" s="14" t="n"/>
      <c r="B187" s="14" t="n"/>
      <c r="C187" s="14" t="n"/>
      <c r="D187" s="14" t="n"/>
      <c r="E187" s="14" t="n"/>
      <c r="F187" s="14" t="n"/>
      <c r="G187" s="14">
        <f>IF(OR($E187="",$F187=""),"",$F187-$E187)</f>
        <v/>
      </c>
      <c r="H187" s="14" t="n"/>
      <c r="I187" s="14" t="n"/>
      <c r="J187" s="19" t="n"/>
      <c r="K187" s="19" t="n"/>
      <c r="L187" s="19" t="n"/>
      <c r="M187" s="19" t="n"/>
      <c r="N187" s="18">
        <f>IF($M187&lt;&gt;"",$M187,IF($L187&lt;&gt;"",$L187*CARBON_FRACTION_OM,""))</f>
        <v/>
      </c>
      <c r="O187" s="18">
        <f>IF(OR($E187="",$F187=""),"",MAX(0,MIN($F187,REFERENCE_DEPTH_CM)-MIN($E187,REFERENCE_DEPTH_CM)))</f>
        <v/>
      </c>
      <c r="P187" s="18">
        <f>IF(OR($J187="",$N187="",$G187=""),"",$J187*($N187/100)*$G187*10)</f>
        <v/>
      </c>
      <c r="Q187" s="18">
        <f>IF(OR($J187="",$N187="",$O187=""),"",$J187*($N187/100)*$O187*10)</f>
        <v/>
      </c>
      <c r="R187" s="18">
        <f>IF(OR(NOT(ISNUMBER($P187)),NOT(ISNUMBER($G187)),$G187=0),0,$P187/$G187)</f>
        <v/>
      </c>
      <c r="S187" s="18">
        <f>IF(OR($B187="",NOT(ISNUMBER($F187))),"",SUMIFS('3. Peat Data'!$P$5:$P$604,'3. Peat Data'!$B$5:$B$604,$B187,'3. Peat Data'!$F$5:$F$604,"&lt;="&amp;$F187))</f>
        <v/>
      </c>
      <c r="T187" s="18">
        <f>IF(AND($A187="",$B187="",$E187=""),"",IF(AND($B187&lt;&gt;"",COUNTIF('2. Core Log'!$A$5:$A$124,$B187)=0),"Core ID not in Core Log. ","")&amp;IF(AND($A187&lt;&gt;"",COUNTIF('1. Plot &amp; Site Log'!$A$5:$A$64,$A187)=0),"Plot ID not in Plot &amp; Site Log. ","")&amp;IF(AND(ISNUMBER($E187),ISNUMBER($F187),$F187&lt;=$E187),"Bottom depth is not below top depth. ","")&amp;IF($I187="","Say which bulk-density basis the lab reported. ","")&amp;IF(AND(ISNUMBER($J187),OR($J187&lt;QC_BD_MIN,$J187&gt;QC_BD_MAX)),"Bulk density outside "&amp;QC_BD_MIN&amp;"–"&amp;QC_BD_MAX&amp;" g/cm³ for peat. Above the top of that range usually means the mineral contact has been passed. ","")&amp;IF(AND(ISNUMBER($N187),$N187&gt;QC_CARBON_PCT_MAX),"Carbon above "&amp;QC_CARBON_PCT_MAX&amp;"% — check units; this may be organic matter rather than carbon. ","")&amp;IF(AND($L187&lt;&gt;"",$M187&lt;&gt;""),"Both LOI and measured carbon given — the measured value is used. ","")&amp;IF(AND($M187="",$L187&lt;&gt;"",OM_FACTOR_IS_LOCAL&lt;&gt;"Yes"),"Carbon derived from LOI using the default factor of "&amp;CARBON_FRACTION_OM&amp;", which has not been calibrated locally. See R1. Reference. ","")&amp;IF(AND(ISNUMBER($O187),$O187=0,ISNUMBER($E187)),"Section lies entirely below the reference depth — it counts to the full-profile stock only. ",""))</f>
        <v/>
      </c>
      <c r="U187" s="14" t="n"/>
    </row>
    <row r="188">
      <c r="A188" s="14" t="n"/>
      <c r="B188" s="14" t="n"/>
      <c r="C188" s="14" t="n"/>
      <c r="D188" s="14" t="n"/>
      <c r="E188" s="14" t="n"/>
      <c r="F188" s="14" t="n"/>
      <c r="G188" s="14">
        <f>IF(OR($E188="",$F188=""),"",$F188-$E188)</f>
        <v/>
      </c>
      <c r="H188" s="14" t="n"/>
      <c r="I188" s="14" t="n"/>
      <c r="J188" s="19" t="n"/>
      <c r="K188" s="19" t="n"/>
      <c r="L188" s="19" t="n"/>
      <c r="M188" s="19" t="n"/>
      <c r="N188" s="18">
        <f>IF($M188&lt;&gt;"",$M188,IF($L188&lt;&gt;"",$L188*CARBON_FRACTION_OM,""))</f>
        <v/>
      </c>
      <c r="O188" s="18">
        <f>IF(OR($E188="",$F188=""),"",MAX(0,MIN($F188,REFERENCE_DEPTH_CM)-MIN($E188,REFERENCE_DEPTH_CM)))</f>
        <v/>
      </c>
      <c r="P188" s="18">
        <f>IF(OR($J188="",$N188="",$G188=""),"",$J188*($N188/100)*$G188*10)</f>
        <v/>
      </c>
      <c r="Q188" s="18">
        <f>IF(OR($J188="",$N188="",$O188=""),"",$J188*($N188/100)*$O188*10)</f>
        <v/>
      </c>
      <c r="R188" s="18">
        <f>IF(OR(NOT(ISNUMBER($P188)),NOT(ISNUMBER($G188)),$G188=0),0,$P188/$G188)</f>
        <v/>
      </c>
      <c r="S188" s="18">
        <f>IF(OR($B188="",NOT(ISNUMBER($F188))),"",SUMIFS('3. Peat Data'!$P$5:$P$604,'3. Peat Data'!$B$5:$B$604,$B188,'3. Peat Data'!$F$5:$F$604,"&lt;="&amp;$F188))</f>
        <v/>
      </c>
      <c r="T188" s="18">
        <f>IF(AND($A188="",$B188="",$E188=""),"",IF(AND($B188&lt;&gt;"",COUNTIF('2. Core Log'!$A$5:$A$124,$B188)=0),"Core ID not in Core Log. ","")&amp;IF(AND($A188&lt;&gt;"",COUNTIF('1. Plot &amp; Site Log'!$A$5:$A$64,$A188)=0),"Plot ID not in Plot &amp; Site Log. ","")&amp;IF(AND(ISNUMBER($E188),ISNUMBER($F188),$F188&lt;=$E188),"Bottom depth is not below top depth. ","")&amp;IF($I188="","Say which bulk-density basis the lab reported. ","")&amp;IF(AND(ISNUMBER($J188),OR($J188&lt;QC_BD_MIN,$J188&gt;QC_BD_MAX)),"Bulk density outside "&amp;QC_BD_MIN&amp;"–"&amp;QC_BD_MAX&amp;" g/cm³ for peat. Above the top of that range usually means the mineral contact has been passed. ","")&amp;IF(AND(ISNUMBER($N188),$N188&gt;QC_CARBON_PCT_MAX),"Carbon above "&amp;QC_CARBON_PCT_MAX&amp;"% — check units; this may be organic matter rather than carbon. ","")&amp;IF(AND($L188&lt;&gt;"",$M188&lt;&gt;""),"Both LOI and measured carbon given — the measured value is used. ","")&amp;IF(AND($M188="",$L188&lt;&gt;"",OM_FACTOR_IS_LOCAL&lt;&gt;"Yes"),"Carbon derived from LOI using the default factor of "&amp;CARBON_FRACTION_OM&amp;", which has not been calibrated locally. See R1. Reference. ","")&amp;IF(AND(ISNUMBER($O188),$O188=0,ISNUMBER($E188)),"Section lies entirely below the reference depth — it counts to the full-profile stock only. ",""))</f>
        <v/>
      </c>
      <c r="U188" s="14" t="n"/>
    </row>
    <row r="189">
      <c r="A189" s="14" t="n"/>
      <c r="B189" s="14" t="n"/>
      <c r="C189" s="14" t="n"/>
      <c r="D189" s="14" t="n"/>
      <c r="E189" s="14" t="n"/>
      <c r="F189" s="14" t="n"/>
      <c r="G189" s="14">
        <f>IF(OR($E189="",$F189=""),"",$F189-$E189)</f>
        <v/>
      </c>
      <c r="H189" s="14" t="n"/>
      <c r="I189" s="14" t="n"/>
      <c r="J189" s="19" t="n"/>
      <c r="K189" s="19" t="n"/>
      <c r="L189" s="19" t="n"/>
      <c r="M189" s="19" t="n"/>
      <c r="N189" s="18">
        <f>IF($M189&lt;&gt;"",$M189,IF($L189&lt;&gt;"",$L189*CARBON_FRACTION_OM,""))</f>
        <v/>
      </c>
      <c r="O189" s="18">
        <f>IF(OR($E189="",$F189=""),"",MAX(0,MIN($F189,REFERENCE_DEPTH_CM)-MIN($E189,REFERENCE_DEPTH_CM)))</f>
        <v/>
      </c>
      <c r="P189" s="18">
        <f>IF(OR($J189="",$N189="",$G189=""),"",$J189*($N189/100)*$G189*10)</f>
        <v/>
      </c>
      <c r="Q189" s="18">
        <f>IF(OR($J189="",$N189="",$O189=""),"",$J189*($N189/100)*$O189*10)</f>
        <v/>
      </c>
      <c r="R189" s="18">
        <f>IF(OR(NOT(ISNUMBER($P189)),NOT(ISNUMBER($G189)),$G189=0),0,$P189/$G189)</f>
        <v/>
      </c>
      <c r="S189" s="18">
        <f>IF(OR($B189="",NOT(ISNUMBER($F189))),"",SUMIFS('3. Peat Data'!$P$5:$P$604,'3. Peat Data'!$B$5:$B$604,$B189,'3. Peat Data'!$F$5:$F$604,"&lt;="&amp;$F189))</f>
        <v/>
      </c>
      <c r="T189" s="18">
        <f>IF(AND($A189="",$B189="",$E189=""),"",IF(AND($B189&lt;&gt;"",COUNTIF('2. Core Log'!$A$5:$A$124,$B189)=0),"Core ID not in Core Log. ","")&amp;IF(AND($A189&lt;&gt;"",COUNTIF('1. Plot &amp; Site Log'!$A$5:$A$64,$A189)=0),"Plot ID not in Plot &amp; Site Log. ","")&amp;IF(AND(ISNUMBER($E189),ISNUMBER($F189),$F189&lt;=$E189),"Bottom depth is not below top depth. ","")&amp;IF($I189="","Say which bulk-density basis the lab reported. ","")&amp;IF(AND(ISNUMBER($J189),OR($J189&lt;QC_BD_MIN,$J189&gt;QC_BD_MAX)),"Bulk density outside "&amp;QC_BD_MIN&amp;"–"&amp;QC_BD_MAX&amp;" g/cm³ for peat. Above the top of that range usually means the mineral contact has been passed. ","")&amp;IF(AND(ISNUMBER($N189),$N189&gt;QC_CARBON_PCT_MAX),"Carbon above "&amp;QC_CARBON_PCT_MAX&amp;"% — check units; this may be organic matter rather than carbon. ","")&amp;IF(AND($L189&lt;&gt;"",$M189&lt;&gt;""),"Both LOI and measured carbon given — the measured value is used. ","")&amp;IF(AND($M189="",$L189&lt;&gt;"",OM_FACTOR_IS_LOCAL&lt;&gt;"Yes"),"Carbon derived from LOI using the default factor of "&amp;CARBON_FRACTION_OM&amp;", which has not been calibrated locally. See R1. Reference. ","")&amp;IF(AND(ISNUMBER($O189),$O189=0,ISNUMBER($E189)),"Section lies entirely below the reference depth — it counts to the full-profile stock only. ",""))</f>
        <v/>
      </c>
      <c r="U189" s="14" t="n"/>
    </row>
    <row r="190">
      <c r="A190" s="14" t="n"/>
      <c r="B190" s="14" t="n"/>
      <c r="C190" s="14" t="n"/>
      <c r="D190" s="14" t="n"/>
      <c r="E190" s="14" t="n"/>
      <c r="F190" s="14" t="n"/>
      <c r="G190" s="14">
        <f>IF(OR($E190="",$F190=""),"",$F190-$E190)</f>
        <v/>
      </c>
      <c r="H190" s="14" t="n"/>
      <c r="I190" s="14" t="n"/>
      <c r="J190" s="19" t="n"/>
      <c r="K190" s="19" t="n"/>
      <c r="L190" s="19" t="n"/>
      <c r="M190" s="19" t="n"/>
      <c r="N190" s="18">
        <f>IF($M190&lt;&gt;"",$M190,IF($L190&lt;&gt;"",$L190*CARBON_FRACTION_OM,""))</f>
        <v/>
      </c>
      <c r="O190" s="18">
        <f>IF(OR($E190="",$F190=""),"",MAX(0,MIN($F190,REFERENCE_DEPTH_CM)-MIN($E190,REFERENCE_DEPTH_CM)))</f>
        <v/>
      </c>
      <c r="P190" s="18">
        <f>IF(OR($J190="",$N190="",$G190=""),"",$J190*($N190/100)*$G190*10)</f>
        <v/>
      </c>
      <c r="Q190" s="18">
        <f>IF(OR($J190="",$N190="",$O190=""),"",$J190*($N190/100)*$O190*10)</f>
        <v/>
      </c>
      <c r="R190" s="18">
        <f>IF(OR(NOT(ISNUMBER($P190)),NOT(ISNUMBER($G190)),$G190=0),0,$P190/$G190)</f>
        <v/>
      </c>
      <c r="S190" s="18">
        <f>IF(OR($B190="",NOT(ISNUMBER($F190))),"",SUMIFS('3. Peat Data'!$P$5:$P$604,'3. Peat Data'!$B$5:$B$604,$B190,'3. Peat Data'!$F$5:$F$604,"&lt;="&amp;$F190))</f>
        <v/>
      </c>
      <c r="T190" s="18">
        <f>IF(AND($A190="",$B190="",$E190=""),"",IF(AND($B190&lt;&gt;"",COUNTIF('2. Core Log'!$A$5:$A$124,$B190)=0),"Core ID not in Core Log. ","")&amp;IF(AND($A190&lt;&gt;"",COUNTIF('1. Plot &amp; Site Log'!$A$5:$A$64,$A190)=0),"Plot ID not in Plot &amp; Site Log. ","")&amp;IF(AND(ISNUMBER($E190),ISNUMBER($F190),$F190&lt;=$E190),"Bottom depth is not below top depth. ","")&amp;IF($I190="","Say which bulk-density basis the lab reported. ","")&amp;IF(AND(ISNUMBER($J190),OR($J190&lt;QC_BD_MIN,$J190&gt;QC_BD_MAX)),"Bulk density outside "&amp;QC_BD_MIN&amp;"–"&amp;QC_BD_MAX&amp;" g/cm³ for peat. Above the top of that range usually means the mineral contact has been passed. ","")&amp;IF(AND(ISNUMBER($N190),$N190&gt;QC_CARBON_PCT_MAX),"Carbon above "&amp;QC_CARBON_PCT_MAX&amp;"% — check units; this may be organic matter rather than carbon. ","")&amp;IF(AND($L190&lt;&gt;"",$M190&lt;&gt;""),"Both LOI and measured carbon given — the measured value is used. ","")&amp;IF(AND($M190="",$L190&lt;&gt;"",OM_FACTOR_IS_LOCAL&lt;&gt;"Yes"),"Carbon derived from LOI using the default factor of "&amp;CARBON_FRACTION_OM&amp;", which has not been calibrated locally. See R1. Reference. ","")&amp;IF(AND(ISNUMBER($O190),$O190=0,ISNUMBER($E190)),"Section lies entirely below the reference depth — it counts to the full-profile stock only. ",""))</f>
        <v/>
      </c>
      <c r="U190" s="14" t="n"/>
    </row>
    <row r="191">
      <c r="A191" s="14" t="n"/>
      <c r="B191" s="14" t="n"/>
      <c r="C191" s="14" t="n"/>
      <c r="D191" s="14" t="n"/>
      <c r="E191" s="14" t="n"/>
      <c r="F191" s="14" t="n"/>
      <c r="G191" s="14">
        <f>IF(OR($E191="",$F191=""),"",$F191-$E191)</f>
        <v/>
      </c>
      <c r="H191" s="14" t="n"/>
      <c r="I191" s="14" t="n"/>
      <c r="J191" s="19" t="n"/>
      <c r="K191" s="19" t="n"/>
      <c r="L191" s="19" t="n"/>
      <c r="M191" s="19" t="n"/>
      <c r="N191" s="18">
        <f>IF($M191&lt;&gt;"",$M191,IF($L191&lt;&gt;"",$L191*CARBON_FRACTION_OM,""))</f>
        <v/>
      </c>
      <c r="O191" s="18">
        <f>IF(OR($E191="",$F191=""),"",MAX(0,MIN($F191,REFERENCE_DEPTH_CM)-MIN($E191,REFERENCE_DEPTH_CM)))</f>
        <v/>
      </c>
      <c r="P191" s="18">
        <f>IF(OR($J191="",$N191="",$G191=""),"",$J191*($N191/100)*$G191*10)</f>
        <v/>
      </c>
      <c r="Q191" s="18">
        <f>IF(OR($J191="",$N191="",$O191=""),"",$J191*($N191/100)*$O191*10)</f>
        <v/>
      </c>
      <c r="R191" s="18">
        <f>IF(OR(NOT(ISNUMBER($P191)),NOT(ISNUMBER($G191)),$G191=0),0,$P191/$G191)</f>
        <v/>
      </c>
      <c r="S191" s="18">
        <f>IF(OR($B191="",NOT(ISNUMBER($F191))),"",SUMIFS('3. Peat Data'!$P$5:$P$604,'3. Peat Data'!$B$5:$B$604,$B191,'3. Peat Data'!$F$5:$F$604,"&lt;="&amp;$F191))</f>
        <v/>
      </c>
      <c r="T191" s="18">
        <f>IF(AND($A191="",$B191="",$E191=""),"",IF(AND($B191&lt;&gt;"",COUNTIF('2. Core Log'!$A$5:$A$124,$B191)=0),"Core ID not in Core Log. ","")&amp;IF(AND($A191&lt;&gt;"",COUNTIF('1. Plot &amp; Site Log'!$A$5:$A$64,$A191)=0),"Plot ID not in Plot &amp; Site Log. ","")&amp;IF(AND(ISNUMBER($E191),ISNUMBER($F191),$F191&lt;=$E191),"Bottom depth is not below top depth. ","")&amp;IF($I191="","Say which bulk-density basis the lab reported. ","")&amp;IF(AND(ISNUMBER($J191),OR($J191&lt;QC_BD_MIN,$J191&gt;QC_BD_MAX)),"Bulk density outside "&amp;QC_BD_MIN&amp;"–"&amp;QC_BD_MAX&amp;" g/cm³ for peat. Above the top of that range usually means the mineral contact has been passed. ","")&amp;IF(AND(ISNUMBER($N191),$N191&gt;QC_CARBON_PCT_MAX),"Carbon above "&amp;QC_CARBON_PCT_MAX&amp;"% — check units; this may be organic matter rather than carbon. ","")&amp;IF(AND($L191&lt;&gt;"",$M191&lt;&gt;""),"Both LOI and measured carbon given — the measured value is used. ","")&amp;IF(AND($M191="",$L191&lt;&gt;"",OM_FACTOR_IS_LOCAL&lt;&gt;"Yes"),"Carbon derived from LOI using the default factor of "&amp;CARBON_FRACTION_OM&amp;", which has not been calibrated locally. See R1. Reference. ","")&amp;IF(AND(ISNUMBER($O191),$O191=0,ISNUMBER($E191)),"Section lies entirely below the reference depth — it counts to the full-profile stock only. ",""))</f>
        <v/>
      </c>
      <c r="U191" s="14" t="n"/>
    </row>
    <row r="192">
      <c r="A192" s="14" t="n"/>
      <c r="B192" s="14" t="n"/>
      <c r="C192" s="14" t="n"/>
      <c r="D192" s="14" t="n"/>
      <c r="E192" s="14" t="n"/>
      <c r="F192" s="14" t="n"/>
      <c r="G192" s="14">
        <f>IF(OR($E192="",$F192=""),"",$F192-$E192)</f>
        <v/>
      </c>
      <c r="H192" s="14" t="n"/>
      <c r="I192" s="14" t="n"/>
      <c r="J192" s="19" t="n"/>
      <c r="K192" s="19" t="n"/>
      <c r="L192" s="19" t="n"/>
      <c r="M192" s="19" t="n"/>
      <c r="N192" s="18">
        <f>IF($M192&lt;&gt;"",$M192,IF($L192&lt;&gt;"",$L192*CARBON_FRACTION_OM,""))</f>
        <v/>
      </c>
      <c r="O192" s="18">
        <f>IF(OR($E192="",$F192=""),"",MAX(0,MIN($F192,REFERENCE_DEPTH_CM)-MIN($E192,REFERENCE_DEPTH_CM)))</f>
        <v/>
      </c>
      <c r="P192" s="18">
        <f>IF(OR($J192="",$N192="",$G192=""),"",$J192*($N192/100)*$G192*10)</f>
        <v/>
      </c>
      <c r="Q192" s="18">
        <f>IF(OR($J192="",$N192="",$O192=""),"",$J192*($N192/100)*$O192*10)</f>
        <v/>
      </c>
      <c r="R192" s="18">
        <f>IF(OR(NOT(ISNUMBER($P192)),NOT(ISNUMBER($G192)),$G192=0),0,$P192/$G192)</f>
        <v/>
      </c>
      <c r="S192" s="18">
        <f>IF(OR($B192="",NOT(ISNUMBER($F192))),"",SUMIFS('3. Peat Data'!$P$5:$P$604,'3. Peat Data'!$B$5:$B$604,$B192,'3. Peat Data'!$F$5:$F$604,"&lt;="&amp;$F192))</f>
        <v/>
      </c>
      <c r="T192" s="18">
        <f>IF(AND($A192="",$B192="",$E192=""),"",IF(AND($B192&lt;&gt;"",COUNTIF('2. Core Log'!$A$5:$A$124,$B192)=0),"Core ID not in Core Log. ","")&amp;IF(AND($A192&lt;&gt;"",COUNTIF('1. Plot &amp; Site Log'!$A$5:$A$64,$A192)=0),"Plot ID not in Plot &amp; Site Log. ","")&amp;IF(AND(ISNUMBER($E192),ISNUMBER($F192),$F192&lt;=$E192),"Bottom depth is not below top depth. ","")&amp;IF($I192="","Say which bulk-density basis the lab reported. ","")&amp;IF(AND(ISNUMBER($J192),OR($J192&lt;QC_BD_MIN,$J192&gt;QC_BD_MAX)),"Bulk density outside "&amp;QC_BD_MIN&amp;"–"&amp;QC_BD_MAX&amp;" g/cm³ for peat. Above the top of that range usually means the mineral contact has been passed. ","")&amp;IF(AND(ISNUMBER($N192),$N192&gt;QC_CARBON_PCT_MAX),"Carbon above "&amp;QC_CARBON_PCT_MAX&amp;"% — check units; this may be organic matter rather than carbon. ","")&amp;IF(AND($L192&lt;&gt;"",$M192&lt;&gt;""),"Both LOI and measured carbon given — the measured value is used. ","")&amp;IF(AND($M192="",$L192&lt;&gt;"",OM_FACTOR_IS_LOCAL&lt;&gt;"Yes"),"Carbon derived from LOI using the default factor of "&amp;CARBON_FRACTION_OM&amp;", which has not been calibrated locally. See R1. Reference. ","")&amp;IF(AND(ISNUMBER($O192),$O192=0,ISNUMBER($E192)),"Section lies entirely below the reference depth — it counts to the full-profile stock only. ",""))</f>
        <v/>
      </c>
      <c r="U192" s="14" t="n"/>
    </row>
    <row r="193">
      <c r="A193" s="14" t="n"/>
      <c r="B193" s="14" t="n"/>
      <c r="C193" s="14" t="n"/>
      <c r="D193" s="14" t="n"/>
      <c r="E193" s="14" t="n"/>
      <c r="F193" s="14" t="n"/>
      <c r="G193" s="14">
        <f>IF(OR($E193="",$F193=""),"",$F193-$E193)</f>
        <v/>
      </c>
      <c r="H193" s="14" t="n"/>
      <c r="I193" s="14" t="n"/>
      <c r="J193" s="19" t="n"/>
      <c r="K193" s="19" t="n"/>
      <c r="L193" s="19" t="n"/>
      <c r="M193" s="19" t="n"/>
      <c r="N193" s="18">
        <f>IF($M193&lt;&gt;"",$M193,IF($L193&lt;&gt;"",$L193*CARBON_FRACTION_OM,""))</f>
        <v/>
      </c>
      <c r="O193" s="18">
        <f>IF(OR($E193="",$F193=""),"",MAX(0,MIN($F193,REFERENCE_DEPTH_CM)-MIN($E193,REFERENCE_DEPTH_CM)))</f>
        <v/>
      </c>
      <c r="P193" s="18">
        <f>IF(OR($J193="",$N193="",$G193=""),"",$J193*($N193/100)*$G193*10)</f>
        <v/>
      </c>
      <c r="Q193" s="18">
        <f>IF(OR($J193="",$N193="",$O193=""),"",$J193*($N193/100)*$O193*10)</f>
        <v/>
      </c>
      <c r="R193" s="18">
        <f>IF(OR(NOT(ISNUMBER($P193)),NOT(ISNUMBER($G193)),$G193=0),0,$P193/$G193)</f>
        <v/>
      </c>
      <c r="S193" s="18">
        <f>IF(OR($B193="",NOT(ISNUMBER($F193))),"",SUMIFS('3. Peat Data'!$P$5:$P$604,'3. Peat Data'!$B$5:$B$604,$B193,'3. Peat Data'!$F$5:$F$604,"&lt;="&amp;$F193))</f>
        <v/>
      </c>
      <c r="T193" s="18">
        <f>IF(AND($A193="",$B193="",$E193=""),"",IF(AND($B193&lt;&gt;"",COUNTIF('2. Core Log'!$A$5:$A$124,$B193)=0),"Core ID not in Core Log. ","")&amp;IF(AND($A193&lt;&gt;"",COUNTIF('1. Plot &amp; Site Log'!$A$5:$A$64,$A193)=0),"Plot ID not in Plot &amp; Site Log. ","")&amp;IF(AND(ISNUMBER($E193),ISNUMBER($F193),$F193&lt;=$E193),"Bottom depth is not below top depth. ","")&amp;IF($I193="","Say which bulk-density basis the lab reported. ","")&amp;IF(AND(ISNUMBER($J193),OR($J193&lt;QC_BD_MIN,$J193&gt;QC_BD_MAX)),"Bulk density outside "&amp;QC_BD_MIN&amp;"–"&amp;QC_BD_MAX&amp;" g/cm³ for peat. Above the top of that range usually means the mineral contact has been passed. ","")&amp;IF(AND(ISNUMBER($N193),$N193&gt;QC_CARBON_PCT_MAX),"Carbon above "&amp;QC_CARBON_PCT_MAX&amp;"% — check units; this may be organic matter rather than carbon. ","")&amp;IF(AND($L193&lt;&gt;"",$M193&lt;&gt;""),"Both LOI and measured carbon given — the measured value is used. ","")&amp;IF(AND($M193="",$L193&lt;&gt;"",OM_FACTOR_IS_LOCAL&lt;&gt;"Yes"),"Carbon derived from LOI using the default factor of "&amp;CARBON_FRACTION_OM&amp;", which has not been calibrated locally. See R1. Reference. ","")&amp;IF(AND(ISNUMBER($O193),$O193=0,ISNUMBER($E193)),"Section lies entirely below the reference depth — it counts to the full-profile stock only. ",""))</f>
        <v/>
      </c>
      <c r="U193" s="14" t="n"/>
    </row>
    <row r="194">
      <c r="A194" s="14" t="n"/>
      <c r="B194" s="14" t="n"/>
      <c r="C194" s="14" t="n"/>
      <c r="D194" s="14" t="n"/>
      <c r="E194" s="14" t="n"/>
      <c r="F194" s="14" t="n"/>
      <c r="G194" s="14">
        <f>IF(OR($E194="",$F194=""),"",$F194-$E194)</f>
        <v/>
      </c>
      <c r="H194" s="14" t="n"/>
      <c r="I194" s="14" t="n"/>
      <c r="J194" s="19" t="n"/>
      <c r="K194" s="19" t="n"/>
      <c r="L194" s="19" t="n"/>
      <c r="M194" s="19" t="n"/>
      <c r="N194" s="18">
        <f>IF($M194&lt;&gt;"",$M194,IF($L194&lt;&gt;"",$L194*CARBON_FRACTION_OM,""))</f>
        <v/>
      </c>
      <c r="O194" s="18">
        <f>IF(OR($E194="",$F194=""),"",MAX(0,MIN($F194,REFERENCE_DEPTH_CM)-MIN($E194,REFERENCE_DEPTH_CM)))</f>
        <v/>
      </c>
      <c r="P194" s="18">
        <f>IF(OR($J194="",$N194="",$G194=""),"",$J194*($N194/100)*$G194*10)</f>
        <v/>
      </c>
      <c r="Q194" s="18">
        <f>IF(OR($J194="",$N194="",$O194=""),"",$J194*($N194/100)*$O194*10)</f>
        <v/>
      </c>
      <c r="R194" s="18">
        <f>IF(OR(NOT(ISNUMBER($P194)),NOT(ISNUMBER($G194)),$G194=0),0,$P194/$G194)</f>
        <v/>
      </c>
      <c r="S194" s="18">
        <f>IF(OR($B194="",NOT(ISNUMBER($F194))),"",SUMIFS('3. Peat Data'!$P$5:$P$604,'3. Peat Data'!$B$5:$B$604,$B194,'3. Peat Data'!$F$5:$F$604,"&lt;="&amp;$F194))</f>
        <v/>
      </c>
      <c r="T194" s="18">
        <f>IF(AND($A194="",$B194="",$E194=""),"",IF(AND($B194&lt;&gt;"",COUNTIF('2. Core Log'!$A$5:$A$124,$B194)=0),"Core ID not in Core Log. ","")&amp;IF(AND($A194&lt;&gt;"",COUNTIF('1. Plot &amp; Site Log'!$A$5:$A$64,$A194)=0),"Plot ID not in Plot &amp; Site Log. ","")&amp;IF(AND(ISNUMBER($E194),ISNUMBER($F194),$F194&lt;=$E194),"Bottom depth is not below top depth. ","")&amp;IF($I194="","Say which bulk-density basis the lab reported. ","")&amp;IF(AND(ISNUMBER($J194),OR($J194&lt;QC_BD_MIN,$J194&gt;QC_BD_MAX)),"Bulk density outside "&amp;QC_BD_MIN&amp;"–"&amp;QC_BD_MAX&amp;" g/cm³ for peat. Above the top of that range usually means the mineral contact has been passed. ","")&amp;IF(AND(ISNUMBER($N194),$N194&gt;QC_CARBON_PCT_MAX),"Carbon above "&amp;QC_CARBON_PCT_MAX&amp;"% — check units; this may be organic matter rather than carbon. ","")&amp;IF(AND($L194&lt;&gt;"",$M194&lt;&gt;""),"Both LOI and measured carbon given — the measured value is used. ","")&amp;IF(AND($M194="",$L194&lt;&gt;"",OM_FACTOR_IS_LOCAL&lt;&gt;"Yes"),"Carbon derived from LOI using the default factor of "&amp;CARBON_FRACTION_OM&amp;", which has not been calibrated locally. See R1. Reference. ","")&amp;IF(AND(ISNUMBER($O194),$O194=0,ISNUMBER($E194)),"Section lies entirely below the reference depth — it counts to the full-profile stock only. ",""))</f>
        <v/>
      </c>
      <c r="U194" s="14" t="n"/>
    </row>
    <row r="195">
      <c r="A195" s="14" t="n"/>
      <c r="B195" s="14" t="n"/>
      <c r="C195" s="14" t="n"/>
      <c r="D195" s="14" t="n"/>
      <c r="E195" s="14" t="n"/>
      <c r="F195" s="14" t="n"/>
      <c r="G195" s="14">
        <f>IF(OR($E195="",$F195=""),"",$F195-$E195)</f>
        <v/>
      </c>
      <c r="H195" s="14" t="n"/>
      <c r="I195" s="14" t="n"/>
      <c r="J195" s="19" t="n"/>
      <c r="K195" s="19" t="n"/>
      <c r="L195" s="19" t="n"/>
      <c r="M195" s="19" t="n"/>
      <c r="N195" s="18">
        <f>IF($M195&lt;&gt;"",$M195,IF($L195&lt;&gt;"",$L195*CARBON_FRACTION_OM,""))</f>
        <v/>
      </c>
      <c r="O195" s="18">
        <f>IF(OR($E195="",$F195=""),"",MAX(0,MIN($F195,REFERENCE_DEPTH_CM)-MIN($E195,REFERENCE_DEPTH_CM)))</f>
        <v/>
      </c>
      <c r="P195" s="18">
        <f>IF(OR($J195="",$N195="",$G195=""),"",$J195*($N195/100)*$G195*10)</f>
        <v/>
      </c>
      <c r="Q195" s="18">
        <f>IF(OR($J195="",$N195="",$O195=""),"",$J195*($N195/100)*$O195*10)</f>
        <v/>
      </c>
      <c r="R195" s="18">
        <f>IF(OR(NOT(ISNUMBER($P195)),NOT(ISNUMBER($G195)),$G195=0),0,$P195/$G195)</f>
        <v/>
      </c>
      <c r="S195" s="18">
        <f>IF(OR($B195="",NOT(ISNUMBER($F195))),"",SUMIFS('3. Peat Data'!$P$5:$P$604,'3. Peat Data'!$B$5:$B$604,$B195,'3. Peat Data'!$F$5:$F$604,"&lt;="&amp;$F195))</f>
        <v/>
      </c>
      <c r="T195" s="18">
        <f>IF(AND($A195="",$B195="",$E195=""),"",IF(AND($B195&lt;&gt;"",COUNTIF('2. Core Log'!$A$5:$A$124,$B195)=0),"Core ID not in Core Log. ","")&amp;IF(AND($A195&lt;&gt;"",COUNTIF('1. Plot &amp; Site Log'!$A$5:$A$64,$A195)=0),"Plot ID not in Plot &amp; Site Log. ","")&amp;IF(AND(ISNUMBER($E195),ISNUMBER($F195),$F195&lt;=$E195),"Bottom depth is not below top depth. ","")&amp;IF($I195="","Say which bulk-density basis the lab reported. ","")&amp;IF(AND(ISNUMBER($J195),OR($J195&lt;QC_BD_MIN,$J195&gt;QC_BD_MAX)),"Bulk density outside "&amp;QC_BD_MIN&amp;"–"&amp;QC_BD_MAX&amp;" g/cm³ for peat. Above the top of that range usually means the mineral contact has been passed. ","")&amp;IF(AND(ISNUMBER($N195),$N195&gt;QC_CARBON_PCT_MAX),"Carbon above "&amp;QC_CARBON_PCT_MAX&amp;"% — check units; this may be organic matter rather than carbon. ","")&amp;IF(AND($L195&lt;&gt;"",$M195&lt;&gt;""),"Both LOI and measured carbon given — the measured value is used. ","")&amp;IF(AND($M195="",$L195&lt;&gt;"",OM_FACTOR_IS_LOCAL&lt;&gt;"Yes"),"Carbon derived from LOI using the default factor of "&amp;CARBON_FRACTION_OM&amp;", which has not been calibrated locally. See R1. Reference. ","")&amp;IF(AND(ISNUMBER($O195),$O195=0,ISNUMBER($E195)),"Section lies entirely below the reference depth — it counts to the full-profile stock only. ",""))</f>
        <v/>
      </c>
      <c r="U195" s="14" t="n"/>
    </row>
    <row r="196">
      <c r="A196" s="14" t="n"/>
      <c r="B196" s="14" t="n"/>
      <c r="C196" s="14" t="n"/>
      <c r="D196" s="14" t="n"/>
      <c r="E196" s="14" t="n"/>
      <c r="F196" s="14" t="n"/>
      <c r="G196" s="14">
        <f>IF(OR($E196="",$F196=""),"",$F196-$E196)</f>
        <v/>
      </c>
      <c r="H196" s="14" t="n"/>
      <c r="I196" s="14" t="n"/>
      <c r="J196" s="19" t="n"/>
      <c r="K196" s="19" t="n"/>
      <c r="L196" s="19" t="n"/>
      <c r="M196" s="19" t="n"/>
      <c r="N196" s="18">
        <f>IF($M196&lt;&gt;"",$M196,IF($L196&lt;&gt;"",$L196*CARBON_FRACTION_OM,""))</f>
        <v/>
      </c>
      <c r="O196" s="18">
        <f>IF(OR($E196="",$F196=""),"",MAX(0,MIN($F196,REFERENCE_DEPTH_CM)-MIN($E196,REFERENCE_DEPTH_CM)))</f>
        <v/>
      </c>
      <c r="P196" s="18">
        <f>IF(OR($J196="",$N196="",$G196=""),"",$J196*($N196/100)*$G196*10)</f>
        <v/>
      </c>
      <c r="Q196" s="18">
        <f>IF(OR($J196="",$N196="",$O196=""),"",$J196*($N196/100)*$O196*10)</f>
        <v/>
      </c>
      <c r="R196" s="18">
        <f>IF(OR(NOT(ISNUMBER($P196)),NOT(ISNUMBER($G196)),$G196=0),0,$P196/$G196)</f>
        <v/>
      </c>
      <c r="S196" s="18">
        <f>IF(OR($B196="",NOT(ISNUMBER($F196))),"",SUMIFS('3. Peat Data'!$P$5:$P$604,'3. Peat Data'!$B$5:$B$604,$B196,'3. Peat Data'!$F$5:$F$604,"&lt;="&amp;$F196))</f>
        <v/>
      </c>
      <c r="T196" s="18">
        <f>IF(AND($A196="",$B196="",$E196=""),"",IF(AND($B196&lt;&gt;"",COUNTIF('2. Core Log'!$A$5:$A$124,$B196)=0),"Core ID not in Core Log. ","")&amp;IF(AND($A196&lt;&gt;"",COUNTIF('1. Plot &amp; Site Log'!$A$5:$A$64,$A196)=0),"Plot ID not in Plot &amp; Site Log. ","")&amp;IF(AND(ISNUMBER($E196),ISNUMBER($F196),$F196&lt;=$E196),"Bottom depth is not below top depth. ","")&amp;IF($I196="","Say which bulk-density basis the lab reported. ","")&amp;IF(AND(ISNUMBER($J196),OR($J196&lt;QC_BD_MIN,$J196&gt;QC_BD_MAX)),"Bulk density outside "&amp;QC_BD_MIN&amp;"–"&amp;QC_BD_MAX&amp;" g/cm³ for peat. Above the top of that range usually means the mineral contact has been passed. ","")&amp;IF(AND(ISNUMBER($N196),$N196&gt;QC_CARBON_PCT_MAX),"Carbon above "&amp;QC_CARBON_PCT_MAX&amp;"% — check units; this may be organic matter rather than carbon. ","")&amp;IF(AND($L196&lt;&gt;"",$M196&lt;&gt;""),"Both LOI and measured carbon given — the measured value is used. ","")&amp;IF(AND($M196="",$L196&lt;&gt;"",OM_FACTOR_IS_LOCAL&lt;&gt;"Yes"),"Carbon derived from LOI using the default factor of "&amp;CARBON_FRACTION_OM&amp;", which has not been calibrated locally. See R1. Reference. ","")&amp;IF(AND(ISNUMBER($O196),$O196=0,ISNUMBER($E196)),"Section lies entirely below the reference depth — it counts to the full-profile stock only. ",""))</f>
        <v/>
      </c>
      <c r="U196" s="14" t="n"/>
    </row>
    <row r="197">
      <c r="A197" s="14" t="n"/>
      <c r="B197" s="14" t="n"/>
      <c r="C197" s="14" t="n"/>
      <c r="D197" s="14" t="n"/>
      <c r="E197" s="14" t="n"/>
      <c r="F197" s="14" t="n"/>
      <c r="G197" s="14">
        <f>IF(OR($E197="",$F197=""),"",$F197-$E197)</f>
        <v/>
      </c>
      <c r="H197" s="14" t="n"/>
      <c r="I197" s="14" t="n"/>
      <c r="J197" s="19" t="n"/>
      <c r="K197" s="19" t="n"/>
      <c r="L197" s="19" t="n"/>
      <c r="M197" s="19" t="n"/>
      <c r="N197" s="18">
        <f>IF($M197&lt;&gt;"",$M197,IF($L197&lt;&gt;"",$L197*CARBON_FRACTION_OM,""))</f>
        <v/>
      </c>
      <c r="O197" s="18">
        <f>IF(OR($E197="",$F197=""),"",MAX(0,MIN($F197,REFERENCE_DEPTH_CM)-MIN($E197,REFERENCE_DEPTH_CM)))</f>
        <v/>
      </c>
      <c r="P197" s="18">
        <f>IF(OR($J197="",$N197="",$G197=""),"",$J197*($N197/100)*$G197*10)</f>
        <v/>
      </c>
      <c r="Q197" s="18">
        <f>IF(OR($J197="",$N197="",$O197=""),"",$J197*($N197/100)*$O197*10)</f>
        <v/>
      </c>
      <c r="R197" s="18">
        <f>IF(OR(NOT(ISNUMBER($P197)),NOT(ISNUMBER($G197)),$G197=0),0,$P197/$G197)</f>
        <v/>
      </c>
      <c r="S197" s="18">
        <f>IF(OR($B197="",NOT(ISNUMBER($F197))),"",SUMIFS('3. Peat Data'!$P$5:$P$604,'3. Peat Data'!$B$5:$B$604,$B197,'3. Peat Data'!$F$5:$F$604,"&lt;="&amp;$F197))</f>
        <v/>
      </c>
      <c r="T197" s="18">
        <f>IF(AND($A197="",$B197="",$E197=""),"",IF(AND($B197&lt;&gt;"",COUNTIF('2. Core Log'!$A$5:$A$124,$B197)=0),"Core ID not in Core Log. ","")&amp;IF(AND($A197&lt;&gt;"",COUNTIF('1. Plot &amp; Site Log'!$A$5:$A$64,$A197)=0),"Plot ID not in Plot &amp; Site Log. ","")&amp;IF(AND(ISNUMBER($E197),ISNUMBER($F197),$F197&lt;=$E197),"Bottom depth is not below top depth. ","")&amp;IF($I197="","Say which bulk-density basis the lab reported. ","")&amp;IF(AND(ISNUMBER($J197),OR($J197&lt;QC_BD_MIN,$J197&gt;QC_BD_MAX)),"Bulk density outside "&amp;QC_BD_MIN&amp;"–"&amp;QC_BD_MAX&amp;" g/cm³ for peat. Above the top of that range usually means the mineral contact has been passed. ","")&amp;IF(AND(ISNUMBER($N197),$N197&gt;QC_CARBON_PCT_MAX),"Carbon above "&amp;QC_CARBON_PCT_MAX&amp;"% — check units; this may be organic matter rather than carbon. ","")&amp;IF(AND($L197&lt;&gt;"",$M197&lt;&gt;""),"Both LOI and measured carbon given — the measured value is used. ","")&amp;IF(AND($M197="",$L197&lt;&gt;"",OM_FACTOR_IS_LOCAL&lt;&gt;"Yes"),"Carbon derived from LOI using the default factor of "&amp;CARBON_FRACTION_OM&amp;", which has not been calibrated locally. See R1. Reference. ","")&amp;IF(AND(ISNUMBER($O197),$O197=0,ISNUMBER($E197)),"Section lies entirely below the reference depth — it counts to the full-profile stock only. ",""))</f>
        <v/>
      </c>
      <c r="U197" s="14" t="n"/>
    </row>
    <row r="198">
      <c r="A198" s="14" t="n"/>
      <c r="B198" s="14" t="n"/>
      <c r="C198" s="14" t="n"/>
      <c r="D198" s="14" t="n"/>
      <c r="E198" s="14" t="n"/>
      <c r="F198" s="14" t="n"/>
      <c r="G198" s="14">
        <f>IF(OR($E198="",$F198=""),"",$F198-$E198)</f>
        <v/>
      </c>
      <c r="H198" s="14" t="n"/>
      <c r="I198" s="14" t="n"/>
      <c r="J198" s="19" t="n"/>
      <c r="K198" s="19" t="n"/>
      <c r="L198" s="19" t="n"/>
      <c r="M198" s="19" t="n"/>
      <c r="N198" s="18">
        <f>IF($M198&lt;&gt;"",$M198,IF($L198&lt;&gt;"",$L198*CARBON_FRACTION_OM,""))</f>
        <v/>
      </c>
      <c r="O198" s="18">
        <f>IF(OR($E198="",$F198=""),"",MAX(0,MIN($F198,REFERENCE_DEPTH_CM)-MIN($E198,REFERENCE_DEPTH_CM)))</f>
        <v/>
      </c>
      <c r="P198" s="18">
        <f>IF(OR($J198="",$N198="",$G198=""),"",$J198*($N198/100)*$G198*10)</f>
        <v/>
      </c>
      <c r="Q198" s="18">
        <f>IF(OR($J198="",$N198="",$O198=""),"",$J198*($N198/100)*$O198*10)</f>
        <v/>
      </c>
      <c r="R198" s="18">
        <f>IF(OR(NOT(ISNUMBER($P198)),NOT(ISNUMBER($G198)),$G198=0),0,$P198/$G198)</f>
        <v/>
      </c>
      <c r="S198" s="18">
        <f>IF(OR($B198="",NOT(ISNUMBER($F198))),"",SUMIFS('3. Peat Data'!$P$5:$P$604,'3. Peat Data'!$B$5:$B$604,$B198,'3. Peat Data'!$F$5:$F$604,"&lt;="&amp;$F198))</f>
        <v/>
      </c>
      <c r="T198" s="18">
        <f>IF(AND($A198="",$B198="",$E198=""),"",IF(AND($B198&lt;&gt;"",COUNTIF('2. Core Log'!$A$5:$A$124,$B198)=0),"Core ID not in Core Log. ","")&amp;IF(AND($A198&lt;&gt;"",COUNTIF('1. Plot &amp; Site Log'!$A$5:$A$64,$A198)=0),"Plot ID not in Plot &amp; Site Log. ","")&amp;IF(AND(ISNUMBER($E198),ISNUMBER($F198),$F198&lt;=$E198),"Bottom depth is not below top depth. ","")&amp;IF($I198="","Say which bulk-density basis the lab reported. ","")&amp;IF(AND(ISNUMBER($J198),OR($J198&lt;QC_BD_MIN,$J198&gt;QC_BD_MAX)),"Bulk density outside "&amp;QC_BD_MIN&amp;"–"&amp;QC_BD_MAX&amp;" g/cm³ for peat. Above the top of that range usually means the mineral contact has been passed. ","")&amp;IF(AND(ISNUMBER($N198),$N198&gt;QC_CARBON_PCT_MAX),"Carbon above "&amp;QC_CARBON_PCT_MAX&amp;"% — check units; this may be organic matter rather than carbon. ","")&amp;IF(AND($L198&lt;&gt;"",$M198&lt;&gt;""),"Both LOI and measured carbon given — the measured value is used. ","")&amp;IF(AND($M198="",$L198&lt;&gt;"",OM_FACTOR_IS_LOCAL&lt;&gt;"Yes"),"Carbon derived from LOI using the default factor of "&amp;CARBON_FRACTION_OM&amp;", which has not been calibrated locally. See R1. Reference. ","")&amp;IF(AND(ISNUMBER($O198),$O198=0,ISNUMBER($E198)),"Section lies entirely below the reference depth — it counts to the full-profile stock only. ",""))</f>
        <v/>
      </c>
      <c r="U198" s="14" t="n"/>
    </row>
    <row r="199">
      <c r="A199" s="14" t="n"/>
      <c r="B199" s="14" t="n"/>
      <c r="C199" s="14" t="n"/>
      <c r="D199" s="14" t="n"/>
      <c r="E199" s="14" t="n"/>
      <c r="F199" s="14" t="n"/>
      <c r="G199" s="14">
        <f>IF(OR($E199="",$F199=""),"",$F199-$E199)</f>
        <v/>
      </c>
      <c r="H199" s="14" t="n"/>
      <c r="I199" s="14" t="n"/>
      <c r="J199" s="19" t="n"/>
      <c r="K199" s="19" t="n"/>
      <c r="L199" s="19" t="n"/>
      <c r="M199" s="19" t="n"/>
      <c r="N199" s="18">
        <f>IF($M199&lt;&gt;"",$M199,IF($L199&lt;&gt;"",$L199*CARBON_FRACTION_OM,""))</f>
        <v/>
      </c>
      <c r="O199" s="18">
        <f>IF(OR($E199="",$F199=""),"",MAX(0,MIN($F199,REFERENCE_DEPTH_CM)-MIN($E199,REFERENCE_DEPTH_CM)))</f>
        <v/>
      </c>
      <c r="P199" s="18">
        <f>IF(OR($J199="",$N199="",$G199=""),"",$J199*($N199/100)*$G199*10)</f>
        <v/>
      </c>
      <c r="Q199" s="18">
        <f>IF(OR($J199="",$N199="",$O199=""),"",$J199*($N199/100)*$O199*10)</f>
        <v/>
      </c>
      <c r="R199" s="18">
        <f>IF(OR(NOT(ISNUMBER($P199)),NOT(ISNUMBER($G199)),$G199=0),0,$P199/$G199)</f>
        <v/>
      </c>
      <c r="S199" s="18">
        <f>IF(OR($B199="",NOT(ISNUMBER($F199))),"",SUMIFS('3. Peat Data'!$P$5:$P$604,'3. Peat Data'!$B$5:$B$604,$B199,'3. Peat Data'!$F$5:$F$604,"&lt;="&amp;$F199))</f>
        <v/>
      </c>
      <c r="T199" s="18">
        <f>IF(AND($A199="",$B199="",$E199=""),"",IF(AND($B199&lt;&gt;"",COUNTIF('2. Core Log'!$A$5:$A$124,$B199)=0),"Core ID not in Core Log. ","")&amp;IF(AND($A199&lt;&gt;"",COUNTIF('1. Plot &amp; Site Log'!$A$5:$A$64,$A199)=0),"Plot ID not in Plot &amp; Site Log. ","")&amp;IF(AND(ISNUMBER($E199),ISNUMBER($F199),$F199&lt;=$E199),"Bottom depth is not below top depth. ","")&amp;IF($I199="","Say which bulk-density basis the lab reported. ","")&amp;IF(AND(ISNUMBER($J199),OR($J199&lt;QC_BD_MIN,$J199&gt;QC_BD_MAX)),"Bulk density outside "&amp;QC_BD_MIN&amp;"–"&amp;QC_BD_MAX&amp;" g/cm³ for peat. Above the top of that range usually means the mineral contact has been passed. ","")&amp;IF(AND(ISNUMBER($N199),$N199&gt;QC_CARBON_PCT_MAX),"Carbon above "&amp;QC_CARBON_PCT_MAX&amp;"% — check units; this may be organic matter rather than carbon. ","")&amp;IF(AND($L199&lt;&gt;"",$M199&lt;&gt;""),"Both LOI and measured carbon given — the measured value is used. ","")&amp;IF(AND($M199="",$L199&lt;&gt;"",OM_FACTOR_IS_LOCAL&lt;&gt;"Yes"),"Carbon derived from LOI using the default factor of "&amp;CARBON_FRACTION_OM&amp;", which has not been calibrated locally. See R1. Reference. ","")&amp;IF(AND(ISNUMBER($O199),$O199=0,ISNUMBER($E199)),"Section lies entirely below the reference depth — it counts to the full-profile stock only. ",""))</f>
        <v/>
      </c>
      <c r="U199" s="14" t="n"/>
    </row>
    <row r="200">
      <c r="A200" s="14" t="n"/>
      <c r="B200" s="14" t="n"/>
      <c r="C200" s="14" t="n"/>
      <c r="D200" s="14" t="n"/>
      <c r="E200" s="14" t="n"/>
      <c r="F200" s="14" t="n"/>
      <c r="G200" s="14">
        <f>IF(OR($E200="",$F200=""),"",$F200-$E200)</f>
        <v/>
      </c>
      <c r="H200" s="14" t="n"/>
      <c r="I200" s="14" t="n"/>
      <c r="J200" s="19" t="n"/>
      <c r="K200" s="19" t="n"/>
      <c r="L200" s="19" t="n"/>
      <c r="M200" s="19" t="n"/>
      <c r="N200" s="18">
        <f>IF($M200&lt;&gt;"",$M200,IF($L200&lt;&gt;"",$L200*CARBON_FRACTION_OM,""))</f>
        <v/>
      </c>
      <c r="O200" s="18">
        <f>IF(OR($E200="",$F200=""),"",MAX(0,MIN($F200,REFERENCE_DEPTH_CM)-MIN($E200,REFERENCE_DEPTH_CM)))</f>
        <v/>
      </c>
      <c r="P200" s="18">
        <f>IF(OR($J200="",$N200="",$G200=""),"",$J200*($N200/100)*$G200*10)</f>
        <v/>
      </c>
      <c r="Q200" s="18">
        <f>IF(OR($J200="",$N200="",$O200=""),"",$J200*($N200/100)*$O200*10)</f>
        <v/>
      </c>
      <c r="R200" s="18">
        <f>IF(OR(NOT(ISNUMBER($P200)),NOT(ISNUMBER($G200)),$G200=0),0,$P200/$G200)</f>
        <v/>
      </c>
      <c r="S200" s="18">
        <f>IF(OR($B200="",NOT(ISNUMBER($F200))),"",SUMIFS('3. Peat Data'!$P$5:$P$604,'3. Peat Data'!$B$5:$B$604,$B200,'3. Peat Data'!$F$5:$F$604,"&lt;="&amp;$F200))</f>
        <v/>
      </c>
      <c r="T200" s="18">
        <f>IF(AND($A200="",$B200="",$E200=""),"",IF(AND($B200&lt;&gt;"",COUNTIF('2. Core Log'!$A$5:$A$124,$B200)=0),"Core ID not in Core Log. ","")&amp;IF(AND($A200&lt;&gt;"",COUNTIF('1. Plot &amp; Site Log'!$A$5:$A$64,$A200)=0),"Plot ID not in Plot &amp; Site Log. ","")&amp;IF(AND(ISNUMBER($E200),ISNUMBER($F200),$F200&lt;=$E200),"Bottom depth is not below top depth. ","")&amp;IF($I200="","Say which bulk-density basis the lab reported. ","")&amp;IF(AND(ISNUMBER($J200),OR($J200&lt;QC_BD_MIN,$J200&gt;QC_BD_MAX)),"Bulk density outside "&amp;QC_BD_MIN&amp;"–"&amp;QC_BD_MAX&amp;" g/cm³ for peat. Above the top of that range usually means the mineral contact has been passed. ","")&amp;IF(AND(ISNUMBER($N200),$N200&gt;QC_CARBON_PCT_MAX),"Carbon above "&amp;QC_CARBON_PCT_MAX&amp;"% — check units; this may be organic matter rather than carbon. ","")&amp;IF(AND($L200&lt;&gt;"",$M200&lt;&gt;""),"Both LOI and measured carbon given — the measured value is used. ","")&amp;IF(AND($M200="",$L200&lt;&gt;"",OM_FACTOR_IS_LOCAL&lt;&gt;"Yes"),"Carbon derived from LOI using the default factor of "&amp;CARBON_FRACTION_OM&amp;", which has not been calibrated locally. See R1. Reference. ","")&amp;IF(AND(ISNUMBER($O200),$O200=0,ISNUMBER($E200)),"Section lies entirely below the reference depth — it counts to the full-profile stock only. ",""))</f>
        <v/>
      </c>
      <c r="U200" s="14" t="n"/>
    </row>
    <row r="201">
      <c r="A201" s="14" t="n"/>
      <c r="B201" s="14" t="n"/>
      <c r="C201" s="14" t="n"/>
      <c r="D201" s="14" t="n"/>
      <c r="E201" s="14" t="n"/>
      <c r="F201" s="14" t="n"/>
      <c r="G201" s="14">
        <f>IF(OR($E201="",$F201=""),"",$F201-$E201)</f>
        <v/>
      </c>
      <c r="H201" s="14" t="n"/>
      <c r="I201" s="14" t="n"/>
      <c r="J201" s="19" t="n"/>
      <c r="K201" s="19" t="n"/>
      <c r="L201" s="19" t="n"/>
      <c r="M201" s="19" t="n"/>
      <c r="N201" s="18">
        <f>IF($M201&lt;&gt;"",$M201,IF($L201&lt;&gt;"",$L201*CARBON_FRACTION_OM,""))</f>
        <v/>
      </c>
      <c r="O201" s="18">
        <f>IF(OR($E201="",$F201=""),"",MAX(0,MIN($F201,REFERENCE_DEPTH_CM)-MIN($E201,REFERENCE_DEPTH_CM)))</f>
        <v/>
      </c>
      <c r="P201" s="18">
        <f>IF(OR($J201="",$N201="",$G201=""),"",$J201*($N201/100)*$G201*10)</f>
        <v/>
      </c>
      <c r="Q201" s="18">
        <f>IF(OR($J201="",$N201="",$O201=""),"",$J201*($N201/100)*$O201*10)</f>
        <v/>
      </c>
      <c r="R201" s="18">
        <f>IF(OR(NOT(ISNUMBER($P201)),NOT(ISNUMBER($G201)),$G201=0),0,$P201/$G201)</f>
        <v/>
      </c>
      <c r="S201" s="18">
        <f>IF(OR($B201="",NOT(ISNUMBER($F201))),"",SUMIFS('3. Peat Data'!$P$5:$P$604,'3. Peat Data'!$B$5:$B$604,$B201,'3. Peat Data'!$F$5:$F$604,"&lt;="&amp;$F201))</f>
        <v/>
      </c>
      <c r="T201" s="18">
        <f>IF(AND($A201="",$B201="",$E201=""),"",IF(AND($B201&lt;&gt;"",COUNTIF('2. Core Log'!$A$5:$A$124,$B201)=0),"Core ID not in Core Log. ","")&amp;IF(AND($A201&lt;&gt;"",COUNTIF('1. Plot &amp; Site Log'!$A$5:$A$64,$A201)=0),"Plot ID not in Plot &amp; Site Log. ","")&amp;IF(AND(ISNUMBER($E201),ISNUMBER($F201),$F201&lt;=$E201),"Bottom depth is not below top depth. ","")&amp;IF($I201="","Say which bulk-density basis the lab reported. ","")&amp;IF(AND(ISNUMBER($J201),OR($J201&lt;QC_BD_MIN,$J201&gt;QC_BD_MAX)),"Bulk density outside "&amp;QC_BD_MIN&amp;"–"&amp;QC_BD_MAX&amp;" g/cm³ for peat. Above the top of that range usually means the mineral contact has been passed. ","")&amp;IF(AND(ISNUMBER($N201),$N201&gt;QC_CARBON_PCT_MAX),"Carbon above "&amp;QC_CARBON_PCT_MAX&amp;"% — check units; this may be organic matter rather than carbon. ","")&amp;IF(AND($L201&lt;&gt;"",$M201&lt;&gt;""),"Both LOI and measured carbon given — the measured value is used. ","")&amp;IF(AND($M201="",$L201&lt;&gt;"",OM_FACTOR_IS_LOCAL&lt;&gt;"Yes"),"Carbon derived from LOI using the default factor of "&amp;CARBON_FRACTION_OM&amp;", which has not been calibrated locally. See R1. Reference. ","")&amp;IF(AND(ISNUMBER($O201),$O201=0,ISNUMBER($E201)),"Section lies entirely below the reference depth — it counts to the full-profile stock only. ",""))</f>
        <v/>
      </c>
      <c r="U201" s="14" t="n"/>
    </row>
    <row r="202">
      <c r="A202" s="14" t="n"/>
      <c r="B202" s="14" t="n"/>
      <c r="C202" s="14" t="n"/>
      <c r="D202" s="14" t="n"/>
      <c r="E202" s="14" t="n"/>
      <c r="F202" s="14" t="n"/>
      <c r="G202" s="14">
        <f>IF(OR($E202="",$F202=""),"",$F202-$E202)</f>
        <v/>
      </c>
      <c r="H202" s="14" t="n"/>
      <c r="I202" s="14" t="n"/>
      <c r="J202" s="19" t="n"/>
      <c r="K202" s="19" t="n"/>
      <c r="L202" s="19" t="n"/>
      <c r="M202" s="19" t="n"/>
      <c r="N202" s="18">
        <f>IF($M202&lt;&gt;"",$M202,IF($L202&lt;&gt;"",$L202*CARBON_FRACTION_OM,""))</f>
        <v/>
      </c>
      <c r="O202" s="18">
        <f>IF(OR($E202="",$F202=""),"",MAX(0,MIN($F202,REFERENCE_DEPTH_CM)-MIN($E202,REFERENCE_DEPTH_CM)))</f>
        <v/>
      </c>
      <c r="P202" s="18">
        <f>IF(OR($J202="",$N202="",$G202=""),"",$J202*($N202/100)*$G202*10)</f>
        <v/>
      </c>
      <c r="Q202" s="18">
        <f>IF(OR($J202="",$N202="",$O202=""),"",$J202*($N202/100)*$O202*10)</f>
        <v/>
      </c>
      <c r="R202" s="18">
        <f>IF(OR(NOT(ISNUMBER($P202)),NOT(ISNUMBER($G202)),$G202=0),0,$P202/$G202)</f>
        <v/>
      </c>
      <c r="S202" s="18">
        <f>IF(OR($B202="",NOT(ISNUMBER($F202))),"",SUMIFS('3. Peat Data'!$P$5:$P$604,'3. Peat Data'!$B$5:$B$604,$B202,'3. Peat Data'!$F$5:$F$604,"&lt;="&amp;$F202))</f>
        <v/>
      </c>
      <c r="T202" s="18">
        <f>IF(AND($A202="",$B202="",$E202=""),"",IF(AND($B202&lt;&gt;"",COUNTIF('2. Core Log'!$A$5:$A$124,$B202)=0),"Core ID not in Core Log. ","")&amp;IF(AND($A202&lt;&gt;"",COUNTIF('1. Plot &amp; Site Log'!$A$5:$A$64,$A202)=0),"Plot ID not in Plot &amp; Site Log. ","")&amp;IF(AND(ISNUMBER($E202),ISNUMBER($F202),$F202&lt;=$E202),"Bottom depth is not below top depth. ","")&amp;IF($I202="","Say which bulk-density basis the lab reported. ","")&amp;IF(AND(ISNUMBER($J202),OR($J202&lt;QC_BD_MIN,$J202&gt;QC_BD_MAX)),"Bulk density outside "&amp;QC_BD_MIN&amp;"–"&amp;QC_BD_MAX&amp;" g/cm³ for peat. Above the top of that range usually means the mineral contact has been passed. ","")&amp;IF(AND(ISNUMBER($N202),$N202&gt;QC_CARBON_PCT_MAX),"Carbon above "&amp;QC_CARBON_PCT_MAX&amp;"% — check units; this may be organic matter rather than carbon. ","")&amp;IF(AND($L202&lt;&gt;"",$M202&lt;&gt;""),"Both LOI and measured carbon given — the measured value is used. ","")&amp;IF(AND($M202="",$L202&lt;&gt;"",OM_FACTOR_IS_LOCAL&lt;&gt;"Yes"),"Carbon derived from LOI using the default factor of "&amp;CARBON_FRACTION_OM&amp;", which has not been calibrated locally. See R1. Reference. ","")&amp;IF(AND(ISNUMBER($O202),$O202=0,ISNUMBER($E202)),"Section lies entirely below the reference depth — it counts to the full-profile stock only. ",""))</f>
        <v/>
      </c>
      <c r="U202" s="14" t="n"/>
    </row>
    <row r="203">
      <c r="A203" s="14" t="n"/>
      <c r="B203" s="14" t="n"/>
      <c r="C203" s="14" t="n"/>
      <c r="D203" s="14" t="n"/>
      <c r="E203" s="14" t="n"/>
      <c r="F203" s="14" t="n"/>
      <c r="G203" s="14">
        <f>IF(OR($E203="",$F203=""),"",$F203-$E203)</f>
        <v/>
      </c>
      <c r="H203" s="14" t="n"/>
      <c r="I203" s="14" t="n"/>
      <c r="J203" s="19" t="n"/>
      <c r="K203" s="19" t="n"/>
      <c r="L203" s="19" t="n"/>
      <c r="M203" s="19" t="n"/>
      <c r="N203" s="18">
        <f>IF($M203&lt;&gt;"",$M203,IF($L203&lt;&gt;"",$L203*CARBON_FRACTION_OM,""))</f>
        <v/>
      </c>
      <c r="O203" s="18">
        <f>IF(OR($E203="",$F203=""),"",MAX(0,MIN($F203,REFERENCE_DEPTH_CM)-MIN($E203,REFERENCE_DEPTH_CM)))</f>
        <v/>
      </c>
      <c r="P203" s="18">
        <f>IF(OR($J203="",$N203="",$G203=""),"",$J203*($N203/100)*$G203*10)</f>
        <v/>
      </c>
      <c r="Q203" s="18">
        <f>IF(OR($J203="",$N203="",$O203=""),"",$J203*($N203/100)*$O203*10)</f>
        <v/>
      </c>
      <c r="R203" s="18">
        <f>IF(OR(NOT(ISNUMBER($P203)),NOT(ISNUMBER($G203)),$G203=0),0,$P203/$G203)</f>
        <v/>
      </c>
      <c r="S203" s="18">
        <f>IF(OR($B203="",NOT(ISNUMBER($F203))),"",SUMIFS('3. Peat Data'!$P$5:$P$604,'3. Peat Data'!$B$5:$B$604,$B203,'3. Peat Data'!$F$5:$F$604,"&lt;="&amp;$F203))</f>
        <v/>
      </c>
      <c r="T203" s="18">
        <f>IF(AND($A203="",$B203="",$E203=""),"",IF(AND($B203&lt;&gt;"",COUNTIF('2. Core Log'!$A$5:$A$124,$B203)=0),"Core ID not in Core Log. ","")&amp;IF(AND($A203&lt;&gt;"",COUNTIF('1. Plot &amp; Site Log'!$A$5:$A$64,$A203)=0),"Plot ID not in Plot &amp; Site Log. ","")&amp;IF(AND(ISNUMBER($E203),ISNUMBER($F203),$F203&lt;=$E203),"Bottom depth is not below top depth. ","")&amp;IF($I203="","Say which bulk-density basis the lab reported. ","")&amp;IF(AND(ISNUMBER($J203),OR($J203&lt;QC_BD_MIN,$J203&gt;QC_BD_MAX)),"Bulk density outside "&amp;QC_BD_MIN&amp;"–"&amp;QC_BD_MAX&amp;" g/cm³ for peat. Above the top of that range usually means the mineral contact has been passed. ","")&amp;IF(AND(ISNUMBER($N203),$N203&gt;QC_CARBON_PCT_MAX),"Carbon above "&amp;QC_CARBON_PCT_MAX&amp;"% — check units; this may be organic matter rather than carbon. ","")&amp;IF(AND($L203&lt;&gt;"",$M203&lt;&gt;""),"Both LOI and measured carbon given — the measured value is used. ","")&amp;IF(AND($M203="",$L203&lt;&gt;"",OM_FACTOR_IS_LOCAL&lt;&gt;"Yes"),"Carbon derived from LOI using the default factor of "&amp;CARBON_FRACTION_OM&amp;", which has not been calibrated locally. See R1. Reference. ","")&amp;IF(AND(ISNUMBER($O203),$O203=0,ISNUMBER($E203)),"Section lies entirely below the reference depth — it counts to the full-profile stock only. ",""))</f>
        <v/>
      </c>
      <c r="U203" s="14" t="n"/>
    </row>
    <row r="204">
      <c r="A204" s="14" t="n"/>
      <c r="B204" s="14" t="n"/>
      <c r="C204" s="14" t="n"/>
      <c r="D204" s="14" t="n"/>
      <c r="E204" s="14" t="n"/>
      <c r="F204" s="14" t="n"/>
      <c r="G204" s="14">
        <f>IF(OR($E204="",$F204=""),"",$F204-$E204)</f>
        <v/>
      </c>
      <c r="H204" s="14" t="n"/>
      <c r="I204" s="14" t="n"/>
      <c r="J204" s="19" t="n"/>
      <c r="K204" s="19" t="n"/>
      <c r="L204" s="19" t="n"/>
      <c r="M204" s="19" t="n"/>
      <c r="N204" s="18">
        <f>IF($M204&lt;&gt;"",$M204,IF($L204&lt;&gt;"",$L204*CARBON_FRACTION_OM,""))</f>
        <v/>
      </c>
      <c r="O204" s="18">
        <f>IF(OR($E204="",$F204=""),"",MAX(0,MIN($F204,REFERENCE_DEPTH_CM)-MIN($E204,REFERENCE_DEPTH_CM)))</f>
        <v/>
      </c>
      <c r="P204" s="18">
        <f>IF(OR($J204="",$N204="",$G204=""),"",$J204*($N204/100)*$G204*10)</f>
        <v/>
      </c>
      <c r="Q204" s="18">
        <f>IF(OR($J204="",$N204="",$O204=""),"",$J204*($N204/100)*$O204*10)</f>
        <v/>
      </c>
      <c r="R204" s="18">
        <f>IF(OR(NOT(ISNUMBER($P204)),NOT(ISNUMBER($G204)),$G204=0),0,$P204/$G204)</f>
        <v/>
      </c>
      <c r="S204" s="18">
        <f>IF(OR($B204="",NOT(ISNUMBER($F204))),"",SUMIFS('3. Peat Data'!$P$5:$P$604,'3. Peat Data'!$B$5:$B$604,$B204,'3. Peat Data'!$F$5:$F$604,"&lt;="&amp;$F204))</f>
        <v/>
      </c>
      <c r="T204" s="18">
        <f>IF(AND($A204="",$B204="",$E204=""),"",IF(AND($B204&lt;&gt;"",COUNTIF('2. Core Log'!$A$5:$A$124,$B204)=0),"Core ID not in Core Log. ","")&amp;IF(AND($A204&lt;&gt;"",COUNTIF('1. Plot &amp; Site Log'!$A$5:$A$64,$A204)=0),"Plot ID not in Plot &amp; Site Log. ","")&amp;IF(AND(ISNUMBER($E204),ISNUMBER($F204),$F204&lt;=$E204),"Bottom depth is not below top depth. ","")&amp;IF($I204="","Say which bulk-density basis the lab reported. ","")&amp;IF(AND(ISNUMBER($J204),OR($J204&lt;QC_BD_MIN,$J204&gt;QC_BD_MAX)),"Bulk density outside "&amp;QC_BD_MIN&amp;"–"&amp;QC_BD_MAX&amp;" g/cm³ for peat. Above the top of that range usually means the mineral contact has been passed. ","")&amp;IF(AND(ISNUMBER($N204),$N204&gt;QC_CARBON_PCT_MAX),"Carbon above "&amp;QC_CARBON_PCT_MAX&amp;"% — check units; this may be organic matter rather than carbon. ","")&amp;IF(AND($L204&lt;&gt;"",$M204&lt;&gt;""),"Both LOI and measured carbon given — the measured value is used. ","")&amp;IF(AND($M204="",$L204&lt;&gt;"",OM_FACTOR_IS_LOCAL&lt;&gt;"Yes"),"Carbon derived from LOI using the default factor of "&amp;CARBON_FRACTION_OM&amp;", which has not been calibrated locally. See R1. Reference. ","")&amp;IF(AND(ISNUMBER($O204),$O204=0,ISNUMBER($E204)),"Section lies entirely below the reference depth — it counts to the full-profile stock only. ",""))</f>
        <v/>
      </c>
      <c r="U204" s="14" t="n"/>
    </row>
    <row r="205">
      <c r="A205" s="14" t="n"/>
      <c r="B205" s="14" t="n"/>
      <c r="C205" s="14" t="n"/>
      <c r="D205" s="14" t="n"/>
      <c r="E205" s="14" t="n"/>
      <c r="F205" s="14" t="n"/>
      <c r="G205" s="14">
        <f>IF(OR($E205="",$F205=""),"",$F205-$E205)</f>
        <v/>
      </c>
      <c r="H205" s="14" t="n"/>
      <c r="I205" s="14" t="n"/>
      <c r="J205" s="19" t="n"/>
      <c r="K205" s="19" t="n"/>
      <c r="L205" s="19" t="n"/>
      <c r="M205" s="19" t="n"/>
      <c r="N205" s="18">
        <f>IF($M205&lt;&gt;"",$M205,IF($L205&lt;&gt;"",$L205*CARBON_FRACTION_OM,""))</f>
        <v/>
      </c>
      <c r="O205" s="18">
        <f>IF(OR($E205="",$F205=""),"",MAX(0,MIN($F205,REFERENCE_DEPTH_CM)-MIN($E205,REFERENCE_DEPTH_CM)))</f>
        <v/>
      </c>
      <c r="P205" s="18">
        <f>IF(OR($J205="",$N205="",$G205=""),"",$J205*($N205/100)*$G205*10)</f>
        <v/>
      </c>
      <c r="Q205" s="18">
        <f>IF(OR($J205="",$N205="",$O205=""),"",$J205*($N205/100)*$O205*10)</f>
        <v/>
      </c>
      <c r="R205" s="18">
        <f>IF(OR(NOT(ISNUMBER($P205)),NOT(ISNUMBER($G205)),$G205=0),0,$P205/$G205)</f>
        <v/>
      </c>
      <c r="S205" s="18">
        <f>IF(OR($B205="",NOT(ISNUMBER($F205))),"",SUMIFS('3. Peat Data'!$P$5:$P$604,'3. Peat Data'!$B$5:$B$604,$B205,'3. Peat Data'!$F$5:$F$604,"&lt;="&amp;$F205))</f>
        <v/>
      </c>
      <c r="T205" s="18">
        <f>IF(AND($A205="",$B205="",$E205=""),"",IF(AND($B205&lt;&gt;"",COUNTIF('2. Core Log'!$A$5:$A$124,$B205)=0),"Core ID not in Core Log. ","")&amp;IF(AND($A205&lt;&gt;"",COUNTIF('1. Plot &amp; Site Log'!$A$5:$A$64,$A205)=0),"Plot ID not in Plot &amp; Site Log. ","")&amp;IF(AND(ISNUMBER($E205),ISNUMBER($F205),$F205&lt;=$E205),"Bottom depth is not below top depth. ","")&amp;IF($I205="","Say which bulk-density basis the lab reported. ","")&amp;IF(AND(ISNUMBER($J205),OR($J205&lt;QC_BD_MIN,$J205&gt;QC_BD_MAX)),"Bulk density outside "&amp;QC_BD_MIN&amp;"–"&amp;QC_BD_MAX&amp;" g/cm³ for peat. Above the top of that range usually means the mineral contact has been passed. ","")&amp;IF(AND(ISNUMBER($N205),$N205&gt;QC_CARBON_PCT_MAX),"Carbon above "&amp;QC_CARBON_PCT_MAX&amp;"% — check units; this may be organic matter rather than carbon. ","")&amp;IF(AND($L205&lt;&gt;"",$M205&lt;&gt;""),"Both LOI and measured carbon given — the measured value is used. ","")&amp;IF(AND($M205="",$L205&lt;&gt;"",OM_FACTOR_IS_LOCAL&lt;&gt;"Yes"),"Carbon derived from LOI using the default factor of "&amp;CARBON_FRACTION_OM&amp;", which has not been calibrated locally. See R1. Reference. ","")&amp;IF(AND(ISNUMBER($O205),$O205=0,ISNUMBER($E205)),"Section lies entirely below the reference depth — it counts to the full-profile stock only. ",""))</f>
        <v/>
      </c>
      <c r="U205" s="14" t="n"/>
    </row>
    <row r="206">
      <c r="A206" s="14" t="n"/>
      <c r="B206" s="14" t="n"/>
      <c r="C206" s="14" t="n"/>
      <c r="D206" s="14" t="n"/>
      <c r="E206" s="14" t="n"/>
      <c r="F206" s="14" t="n"/>
      <c r="G206" s="14">
        <f>IF(OR($E206="",$F206=""),"",$F206-$E206)</f>
        <v/>
      </c>
      <c r="H206" s="14" t="n"/>
      <c r="I206" s="14" t="n"/>
      <c r="J206" s="19" t="n"/>
      <c r="K206" s="19" t="n"/>
      <c r="L206" s="19" t="n"/>
      <c r="M206" s="19" t="n"/>
      <c r="N206" s="18">
        <f>IF($M206&lt;&gt;"",$M206,IF($L206&lt;&gt;"",$L206*CARBON_FRACTION_OM,""))</f>
        <v/>
      </c>
      <c r="O206" s="18">
        <f>IF(OR($E206="",$F206=""),"",MAX(0,MIN($F206,REFERENCE_DEPTH_CM)-MIN($E206,REFERENCE_DEPTH_CM)))</f>
        <v/>
      </c>
      <c r="P206" s="18">
        <f>IF(OR($J206="",$N206="",$G206=""),"",$J206*($N206/100)*$G206*10)</f>
        <v/>
      </c>
      <c r="Q206" s="18">
        <f>IF(OR($J206="",$N206="",$O206=""),"",$J206*($N206/100)*$O206*10)</f>
        <v/>
      </c>
      <c r="R206" s="18">
        <f>IF(OR(NOT(ISNUMBER($P206)),NOT(ISNUMBER($G206)),$G206=0),0,$P206/$G206)</f>
        <v/>
      </c>
      <c r="S206" s="18">
        <f>IF(OR($B206="",NOT(ISNUMBER($F206))),"",SUMIFS('3. Peat Data'!$P$5:$P$604,'3. Peat Data'!$B$5:$B$604,$B206,'3. Peat Data'!$F$5:$F$604,"&lt;="&amp;$F206))</f>
        <v/>
      </c>
      <c r="T206" s="18">
        <f>IF(AND($A206="",$B206="",$E206=""),"",IF(AND($B206&lt;&gt;"",COUNTIF('2. Core Log'!$A$5:$A$124,$B206)=0),"Core ID not in Core Log. ","")&amp;IF(AND($A206&lt;&gt;"",COUNTIF('1. Plot &amp; Site Log'!$A$5:$A$64,$A206)=0),"Plot ID not in Plot &amp; Site Log. ","")&amp;IF(AND(ISNUMBER($E206),ISNUMBER($F206),$F206&lt;=$E206),"Bottom depth is not below top depth. ","")&amp;IF($I206="","Say which bulk-density basis the lab reported. ","")&amp;IF(AND(ISNUMBER($J206),OR($J206&lt;QC_BD_MIN,$J206&gt;QC_BD_MAX)),"Bulk density outside "&amp;QC_BD_MIN&amp;"–"&amp;QC_BD_MAX&amp;" g/cm³ for peat. Above the top of that range usually means the mineral contact has been passed. ","")&amp;IF(AND(ISNUMBER($N206),$N206&gt;QC_CARBON_PCT_MAX),"Carbon above "&amp;QC_CARBON_PCT_MAX&amp;"% — check units; this may be organic matter rather than carbon. ","")&amp;IF(AND($L206&lt;&gt;"",$M206&lt;&gt;""),"Both LOI and measured carbon given — the measured value is used. ","")&amp;IF(AND($M206="",$L206&lt;&gt;"",OM_FACTOR_IS_LOCAL&lt;&gt;"Yes"),"Carbon derived from LOI using the default factor of "&amp;CARBON_FRACTION_OM&amp;", which has not been calibrated locally. See R1. Reference. ","")&amp;IF(AND(ISNUMBER($O206),$O206=0,ISNUMBER($E206)),"Section lies entirely below the reference depth — it counts to the full-profile stock only. ",""))</f>
        <v/>
      </c>
      <c r="U206" s="14" t="n"/>
    </row>
    <row r="207">
      <c r="A207" s="14" t="n"/>
      <c r="B207" s="14" t="n"/>
      <c r="C207" s="14" t="n"/>
      <c r="D207" s="14" t="n"/>
      <c r="E207" s="14" t="n"/>
      <c r="F207" s="14" t="n"/>
      <c r="G207" s="14">
        <f>IF(OR($E207="",$F207=""),"",$F207-$E207)</f>
        <v/>
      </c>
      <c r="H207" s="14" t="n"/>
      <c r="I207" s="14" t="n"/>
      <c r="J207" s="19" t="n"/>
      <c r="K207" s="19" t="n"/>
      <c r="L207" s="19" t="n"/>
      <c r="M207" s="19" t="n"/>
      <c r="N207" s="18">
        <f>IF($M207&lt;&gt;"",$M207,IF($L207&lt;&gt;"",$L207*CARBON_FRACTION_OM,""))</f>
        <v/>
      </c>
      <c r="O207" s="18">
        <f>IF(OR($E207="",$F207=""),"",MAX(0,MIN($F207,REFERENCE_DEPTH_CM)-MIN($E207,REFERENCE_DEPTH_CM)))</f>
        <v/>
      </c>
      <c r="P207" s="18">
        <f>IF(OR($J207="",$N207="",$G207=""),"",$J207*($N207/100)*$G207*10)</f>
        <v/>
      </c>
      <c r="Q207" s="18">
        <f>IF(OR($J207="",$N207="",$O207=""),"",$J207*($N207/100)*$O207*10)</f>
        <v/>
      </c>
      <c r="R207" s="18">
        <f>IF(OR(NOT(ISNUMBER($P207)),NOT(ISNUMBER($G207)),$G207=0),0,$P207/$G207)</f>
        <v/>
      </c>
      <c r="S207" s="18">
        <f>IF(OR($B207="",NOT(ISNUMBER($F207))),"",SUMIFS('3. Peat Data'!$P$5:$P$604,'3. Peat Data'!$B$5:$B$604,$B207,'3. Peat Data'!$F$5:$F$604,"&lt;="&amp;$F207))</f>
        <v/>
      </c>
      <c r="T207" s="18">
        <f>IF(AND($A207="",$B207="",$E207=""),"",IF(AND($B207&lt;&gt;"",COUNTIF('2. Core Log'!$A$5:$A$124,$B207)=0),"Core ID not in Core Log. ","")&amp;IF(AND($A207&lt;&gt;"",COUNTIF('1. Plot &amp; Site Log'!$A$5:$A$64,$A207)=0),"Plot ID not in Plot &amp; Site Log. ","")&amp;IF(AND(ISNUMBER($E207),ISNUMBER($F207),$F207&lt;=$E207),"Bottom depth is not below top depth. ","")&amp;IF($I207="","Say which bulk-density basis the lab reported. ","")&amp;IF(AND(ISNUMBER($J207),OR($J207&lt;QC_BD_MIN,$J207&gt;QC_BD_MAX)),"Bulk density outside "&amp;QC_BD_MIN&amp;"–"&amp;QC_BD_MAX&amp;" g/cm³ for peat. Above the top of that range usually means the mineral contact has been passed. ","")&amp;IF(AND(ISNUMBER($N207),$N207&gt;QC_CARBON_PCT_MAX),"Carbon above "&amp;QC_CARBON_PCT_MAX&amp;"% — check units; this may be organic matter rather than carbon. ","")&amp;IF(AND($L207&lt;&gt;"",$M207&lt;&gt;""),"Both LOI and measured carbon given — the measured value is used. ","")&amp;IF(AND($M207="",$L207&lt;&gt;"",OM_FACTOR_IS_LOCAL&lt;&gt;"Yes"),"Carbon derived from LOI using the default factor of "&amp;CARBON_FRACTION_OM&amp;", which has not been calibrated locally. See R1. Reference. ","")&amp;IF(AND(ISNUMBER($O207),$O207=0,ISNUMBER($E207)),"Section lies entirely below the reference depth — it counts to the full-profile stock only. ",""))</f>
        <v/>
      </c>
      <c r="U207" s="14" t="n"/>
    </row>
    <row r="208">
      <c r="A208" s="14" t="n"/>
      <c r="B208" s="14" t="n"/>
      <c r="C208" s="14" t="n"/>
      <c r="D208" s="14" t="n"/>
      <c r="E208" s="14" t="n"/>
      <c r="F208" s="14" t="n"/>
      <c r="G208" s="14">
        <f>IF(OR($E208="",$F208=""),"",$F208-$E208)</f>
        <v/>
      </c>
      <c r="H208" s="14" t="n"/>
      <c r="I208" s="14" t="n"/>
      <c r="J208" s="19" t="n"/>
      <c r="K208" s="19" t="n"/>
      <c r="L208" s="19" t="n"/>
      <c r="M208" s="19" t="n"/>
      <c r="N208" s="18">
        <f>IF($M208&lt;&gt;"",$M208,IF($L208&lt;&gt;"",$L208*CARBON_FRACTION_OM,""))</f>
        <v/>
      </c>
      <c r="O208" s="18">
        <f>IF(OR($E208="",$F208=""),"",MAX(0,MIN($F208,REFERENCE_DEPTH_CM)-MIN($E208,REFERENCE_DEPTH_CM)))</f>
        <v/>
      </c>
      <c r="P208" s="18">
        <f>IF(OR($J208="",$N208="",$G208=""),"",$J208*($N208/100)*$G208*10)</f>
        <v/>
      </c>
      <c r="Q208" s="18">
        <f>IF(OR($J208="",$N208="",$O208=""),"",$J208*($N208/100)*$O208*10)</f>
        <v/>
      </c>
      <c r="R208" s="18">
        <f>IF(OR(NOT(ISNUMBER($P208)),NOT(ISNUMBER($G208)),$G208=0),0,$P208/$G208)</f>
        <v/>
      </c>
      <c r="S208" s="18">
        <f>IF(OR($B208="",NOT(ISNUMBER($F208))),"",SUMIFS('3. Peat Data'!$P$5:$P$604,'3. Peat Data'!$B$5:$B$604,$B208,'3. Peat Data'!$F$5:$F$604,"&lt;="&amp;$F208))</f>
        <v/>
      </c>
      <c r="T208" s="18">
        <f>IF(AND($A208="",$B208="",$E208=""),"",IF(AND($B208&lt;&gt;"",COUNTIF('2. Core Log'!$A$5:$A$124,$B208)=0),"Core ID not in Core Log. ","")&amp;IF(AND($A208&lt;&gt;"",COUNTIF('1. Plot &amp; Site Log'!$A$5:$A$64,$A208)=0),"Plot ID not in Plot &amp; Site Log. ","")&amp;IF(AND(ISNUMBER($E208),ISNUMBER($F208),$F208&lt;=$E208),"Bottom depth is not below top depth. ","")&amp;IF($I208="","Say which bulk-density basis the lab reported. ","")&amp;IF(AND(ISNUMBER($J208),OR($J208&lt;QC_BD_MIN,$J208&gt;QC_BD_MAX)),"Bulk density outside "&amp;QC_BD_MIN&amp;"–"&amp;QC_BD_MAX&amp;" g/cm³ for peat. Above the top of that range usually means the mineral contact has been passed. ","")&amp;IF(AND(ISNUMBER($N208),$N208&gt;QC_CARBON_PCT_MAX),"Carbon above "&amp;QC_CARBON_PCT_MAX&amp;"% — check units; this may be organic matter rather than carbon. ","")&amp;IF(AND($L208&lt;&gt;"",$M208&lt;&gt;""),"Both LOI and measured carbon given — the measured value is used. ","")&amp;IF(AND($M208="",$L208&lt;&gt;"",OM_FACTOR_IS_LOCAL&lt;&gt;"Yes"),"Carbon derived from LOI using the default factor of "&amp;CARBON_FRACTION_OM&amp;", which has not been calibrated locally. See R1. Reference. ","")&amp;IF(AND(ISNUMBER($O208),$O208=0,ISNUMBER($E208)),"Section lies entirely below the reference depth — it counts to the full-profile stock only. ",""))</f>
        <v/>
      </c>
      <c r="U208" s="14" t="n"/>
    </row>
    <row r="209">
      <c r="A209" s="14" t="n"/>
      <c r="B209" s="14" t="n"/>
      <c r="C209" s="14" t="n"/>
      <c r="D209" s="14" t="n"/>
      <c r="E209" s="14" t="n"/>
      <c r="F209" s="14" t="n"/>
      <c r="G209" s="14">
        <f>IF(OR($E209="",$F209=""),"",$F209-$E209)</f>
        <v/>
      </c>
      <c r="H209" s="14" t="n"/>
      <c r="I209" s="14" t="n"/>
      <c r="J209" s="19" t="n"/>
      <c r="K209" s="19" t="n"/>
      <c r="L209" s="19" t="n"/>
      <c r="M209" s="19" t="n"/>
      <c r="N209" s="18">
        <f>IF($M209&lt;&gt;"",$M209,IF($L209&lt;&gt;"",$L209*CARBON_FRACTION_OM,""))</f>
        <v/>
      </c>
      <c r="O209" s="18">
        <f>IF(OR($E209="",$F209=""),"",MAX(0,MIN($F209,REFERENCE_DEPTH_CM)-MIN($E209,REFERENCE_DEPTH_CM)))</f>
        <v/>
      </c>
      <c r="P209" s="18">
        <f>IF(OR($J209="",$N209="",$G209=""),"",$J209*($N209/100)*$G209*10)</f>
        <v/>
      </c>
      <c r="Q209" s="18">
        <f>IF(OR($J209="",$N209="",$O209=""),"",$J209*($N209/100)*$O209*10)</f>
        <v/>
      </c>
      <c r="R209" s="18">
        <f>IF(OR(NOT(ISNUMBER($P209)),NOT(ISNUMBER($G209)),$G209=0),0,$P209/$G209)</f>
        <v/>
      </c>
      <c r="S209" s="18">
        <f>IF(OR($B209="",NOT(ISNUMBER($F209))),"",SUMIFS('3. Peat Data'!$P$5:$P$604,'3. Peat Data'!$B$5:$B$604,$B209,'3. Peat Data'!$F$5:$F$604,"&lt;="&amp;$F209))</f>
        <v/>
      </c>
      <c r="T209" s="18">
        <f>IF(AND($A209="",$B209="",$E209=""),"",IF(AND($B209&lt;&gt;"",COUNTIF('2. Core Log'!$A$5:$A$124,$B209)=0),"Core ID not in Core Log. ","")&amp;IF(AND($A209&lt;&gt;"",COUNTIF('1. Plot &amp; Site Log'!$A$5:$A$64,$A209)=0),"Plot ID not in Plot &amp; Site Log. ","")&amp;IF(AND(ISNUMBER($E209),ISNUMBER($F209),$F209&lt;=$E209),"Bottom depth is not below top depth. ","")&amp;IF($I209="","Say which bulk-density basis the lab reported. ","")&amp;IF(AND(ISNUMBER($J209),OR($J209&lt;QC_BD_MIN,$J209&gt;QC_BD_MAX)),"Bulk density outside "&amp;QC_BD_MIN&amp;"–"&amp;QC_BD_MAX&amp;" g/cm³ for peat. Above the top of that range usually means the mineral contact has been passed. ","")&amp;IF(AND(ISNUMBER($N209),$N209&gt;QC_CARBON_PCT_MAX),"Carbon above "&amp;QC_CARBON_PCT_MAX&amp;"% — check units; this may be organic matter rather than carbon. ","")&amp;IF(AND($L209&lt;&gt;"",$M209&lt;&gt;""),"Both LOI and measured carbon given — the measured value is used. ","")&amp;IF(AND($M209="",$L209&lt;&gt;"",OM_FACTOR_IS_LOCAL&lt;&gt;"Yes"),"Carbon derived from LOI using the default factor of "&amp;CARBON_FRACTION_OM&amp;", which has not been calibrated locally. See R1. Reference. ","")&amp;IF(AND(ISNUMBER($O209),$O209=0,ISNUMBER($E209)),"Section lies entirely below the reference depth — it counts to the full-profile stock only. ",""))</f>
        <v/>
      </c>
      <c r="U209" s="14" t="n"/>
    </row>
    <row r="210">
      <c r="A210" s="14" t="n"/>
      <c r="B210" s="14" t="n"/>
      <c r="C210" s="14" t="n"/>
      <c r="D210" s="14" t="n"/>
      <c r="E210" s="14" t="n"/>
      <c r="F210" s="14" t="n"/>
      <c r="G210" s="14">
        <f>IF(OR($E210="",$F210=""),"",$F210-$E210)</f>
        <v/>
      </c>
      <c r="H210" s="14" t="n"/>
      <c r="I210" s="14" t="n"/>
      <c r="J210" s="19" t="n"/>
      <c r="K210" s="19" t="n"/>
      <c r="L210" s="19" t="n"/>
      <c r="M210" s="19" t="n"/>
      <c r="N210" s="18">
        <f>IF($M210&lt;&gt;"",$M210,IF($L210&lt;&gt;"",$L210*CARBON_FRACTION_OM,""))</f>
        <v/>
      </c>
      <c r="O210" s="18">
        <f>IF(OR($E210="",$F210=""),"",MAX(0,MIN($F210,REFERENCE_DEPTH_CM)-MIN($E210,REFERENCE_DEPTH_CM)))</f>
        <v/>
      </c>
      <c r="P210" s="18">
        <f>IF(OR($J210="",$N210="",$G210=""),"",$J210*($N210/100)*$G210*10)</f>
        <v/>
      </c>
      <c r="Q210" s="18">
        <f>IF(OR($J210="",$N210="",$O210=""),"",$J210*($N210/100)*$O210*10)</f>
        <v/>
      </c>
      <c r="R210" s="18">
        <f>IF(OR(NOT(ISNUMBER($P210)),NOT(ISNUMBER($G210)),$G210=0),0,$P210/$G210)</f>
        <v/>
      </c>
      <c r="S210" s="18">
        <f>IF(OR($B210="",NOT(ISNUMBER($F210))),"",SUMIFS('3. Peat Data'!$P$5:$P$604,'3. Peat Data'!$B$5:$B$604,$B210,'3. Peat Data'!$F$5:$F$604,"&lt;="&amp;$F210))</f>
        <v/>
      </c>
      <c r="T210" s="18">
        <f>IF(AND($A210="",$B210="",$E210=""),"",IF(AND($B210&lt;&gt;"",COUNTIF('2. Core Log'!$A$5:$A$124,$B210)=0),"Core ID not in Core Log. ","")&amp;IF(AND($A210&lt;&gt;"",COUNTIF('1. Plot &amp; Site Log'!$A$5:$A$64,$A210)=0),"Plot ID not in Plot &amp; Site Log. ","")&amp;IF(AND(ISNUMBER($E210),ISNUMBER($F210),$F210&lt;=$E210),"Bottom depth is not below top depth. ","")&amp;IF($I210="","Say which bulk-density basis the lab reported. ","")&amp;IF(AND(ISNUMBER($J210),OR($J210&lt;QC_BD_MIN,$J210&gt;QC_BD_MAX)),"Bulk density outside "&amp;QC_BD_MIN&amp;"–"&amp;QC_BD_MAX&amp;" g/cm³ for peat. Above the top of that range usually means the mineral contact has been passed. ","")&amp;IF(AND(ISNUMBER($N210),$N210&gt;QC_CARBON_PCT_MAX),"Carbon above "&amp;QC_CARBON_PCT_MAX&amp;"% — check units; this may be organic matter rather than carbon. ","")&amp;IF(AND($L210&lt;&gt;"",$M210&lt;&gt;""),"Both LOI and measured carbon given — the measured value is used. ","")&amp;IF(AND($M210="",$L210&lt;&gt;"",OM_FACTOR_IS_LOCAL&lt;&gt;"Yes"),"Carbon derived from LOI using the default factor of "&amp;CARBON_FRACTION_OM&amp;", which has not been calibrated locally. See R1. Reference. ","")&amp;IF(AND(ISNUMBER($O210),$O210=0,ISNUMBER($E210)),"Section lies entirely below the reference depth — it counts to the full-profile stock only. ",""))</f>
        <v/>
      </c>
      <c r="U210" s="14" t="n"/>
    </row>
    <row r="211">
      <c r="A211" s="14" t="n"/>
      <c r="B211" s="14" t="n"/>
      <c r="C211" s="14" t="n"/>
      <c r="D211" s="14" t="n"/>
      <c r="E211" s="14" t="n"/>
      <c r="F211" s="14" t="n"/>
      <c r="G211" s="14">
        <f>IF(OR($E211="",$F211=""),"",$F211-$E211)</f>
        <v/>
      </c>
      <c r="H211" s="14" t="n"/>
      <c r="I211" s="14" t="n"/>
      <c r="J211" s="19" t="n"/>
      <c r="K211" s="19" t="n"/>
      <c r="L211" s="19" t="n"/>
      <c r="M211" s="19" t="n"/>
      <c r="N211" s="18">
        <f>IF($M211&lt;&gt;"",$M211,IF($L211&lt;&gt;"",$L211*CARBON_FRACTION_OM,""))</f>
        <v/>
      </c>
      <c r="O211" s="18">
        <f>IF(OR($E211="",$F211=""),"",MAX(0,MIN($F211,REFERENCE_DEPTH_CM)-MIN($E211,REFERENCE_DEPTH_CM)))</f>
        <v/>
      </c>
      <c r="P211" s="18">
        <f>IF(OR($J211="",$N211="",$G211=""),"",$J211*($N211/100)*$G211*10)</f>
        <v/>
      </c>
      <c r="Q211" s="18">
        <f>IF(OR($J211="",$N211="",$O211=""),"",$J211*($N211/100)*$O211*10)</f>
        <v/>
      </c>
      <c r="R211" s="18">
        <f>IF(OR(NOT(ISNUMBER($P211)),NOT(ISNUMBER($G211)),$G211=0),0,$P211/$G211)</f>
        <v/>
      </c>
      <c r="S211" s="18">
        <f>IF(OR($B211="",NOT(ISNUMBER($F211))),"",SUMIFS('3. Peat Data'!$P$5:$P$604,'3. Peat Data'!$B$5:$B$604,$B211,'3. Peat Data'!$F$5:$F$604,"&lt;="&amp;$F211))</f>
        <v/>
      </c>
      <c r="T211" s="18">
        <f>IF(AND($A211="",$B211="",$E211=""),"",IF(AND($B211&lt;&gt;"",COUNTIF('2. Core Log'!$A$5:$A$124,$B211)=0),"Core ID not in Core Log. ","")&amp;IF(AND($A211&lt;&gt;"",COUNTIF('1. Plot &amp; Site Log'!$A$5:$A$64,$A211)=0),"Plot ID not in Plot &amp; Site Log. ","")&amp;IF(AND(ISNUMBER($E211),ISNUMBER($F211),$F211&lt;=$E211),"Bottom depth is not below top depth. ","")&amp;IF($I211="","Say which bulk-density basis the lab reported. ","")&amp;IF(AND(ISNUMBER($J211),OR($J211&lt;QC_BD_MIN,$J211&gt;QC_BD_MAX)),"Bulk density outside "&amp;QC_BD_MIN&amp;"–"&amp;QC_BD_MAX&amp;" g/cm³ for peat. Above the top of that range usually means the mineral contact has been passed. ","")&amp;IF(AND(ISNUMBER($N211),$N211&gt;QC_CARBON_PCT_MAX),"Carbon above "&amp;QC_CARBON_PCT_MAX&amp;"% — check units; this may be organic matter rather than carbon. ","")&amp;IF(AND($L211&lt;&gt;"",$M211&lt;&gt;""),"Both LOI and measured carbon given — the measured value is used. ","")&amp;IF(AND($M211="",$L211&lt;&gt;"",OM_FACTOR_IS_LOCAL&lt;&gt;"Yes"),"Carbon derived from LOI using the default factor of "&amp;CARBON_FRACTION_OM&amp;", which has not been calibrated locally. See R1. Reference. ","")&amp;IF(AND(ISNUMBER($O211),$O211=0,ISNUMBER($E211)),"Section lies entirely below the reference depth — it counts to the full-profile stock only. ",""))</f>
        <v/>
      </c>
      <c r="U211" s="14" t="n"/>
    </row>
    <row r="212">
      <c r="A212" s="14" t="n"/>
      <c r="B212" s="14" t="n"/>
      <c r="C212" s="14" t="n"/>
      <c r="D212" s="14" t="n"/>
      <c r="E212" s="14" t="n"/>
      <c r="F212" s="14" t="n"/>
      <c r="G212" s="14">
        <f>IF(OR($E212="",$F212=""),"",$F212-$E212)</f>
        <v/>
      </c>
      <c r="H212" s="14" t="n"/>
      <c r="I212" s="14" t="n"/>
      <c r="J212" s="19" t="n"/>
      <c r="K212" s="19" t="n"/>
      <c r="L212" s="19" t="n"/>
      <c r="M212" s="19" t="n"/>
      <c r="N212" s="18">
        <f>IF($M212&lt;&gt;"",$M212,IF($L212&lt;&gt;"",$L212*CARBON_FRACTION_OM,""))</f>
        <v/>
      </c>
      <c r="O212" s="18">
        <f>IF(OR($E212="",$F212=""),"",MAX(0,MIN($F212,REFERENCE_DEPTH_CM)-MIN($E212,REFERENCE_DEPTH_CM)))</f>
        <v/>
      </c>
      <c r="P212" s="18">
        <f>IF(OR($J212="",$N212="",$G212=""),"",$J212*($N212/100)*$G212*10)</f>
        <v/>
      </c>
      <c r="Q212" s="18">
        <f>IF(OR($J212="",$N212="",$O212=""),"",$J212*($N212/100)*$O212*10)</f>
        <v/>
      </c>
      <c r="R212" s="18">
        <f>IF(OR(NOT(ISNUMBER($P212)),NOT(ISNUMBER($G212)),$G212=0),0,$P212/$G212)</f>
        <v/>
      </c>
      <c r="S212" s="18">
        <f>IF(OR($B212="",NOT(ISNUMBER($F212))),"",SUMIFS('3. Peat Data'!$P$5:$P$604,'3. Peat Data'!$B$5:$B$604,$B212,'3. Peat Data'!$F$5:$F$604,"&lt;="&amp;$F212))</f>
        <v/>
      </c>
      <c r="T212" s="18">
        <f>IF(AND($A212="",$B212="",$E212=""),"",IF(AND($B212&lt;&gt;"",COUNTIF('2. Core Log'!$A$5:$A$124,$B212)=0),"Core ID not in Core Log. ","")&amp;IF(AND($A212&lt;&gt;"",COUNTIF('1. Plot &amp; Site Log'!$A$5:$A$64,$A212)=0),"Plot ID not in Plot &amp; Site Log. ","")&amp;IF(AND(ISNUMBER($E212),ISNUMBER($F212),$F212&lt;=$E212),"Bottom depth is not below top depth. ","")&amp;IF($I212="","Say which bulk-density basis the lab reported. ","")&amp;IF(AND(ISNUMBER($J212),OR($J212&lt;QC_BD_MIN,$J212&gt;QC_BD_MAX)),"Bulk density outside "&amp;QC_BD_MIN&amp;"–"&amp;QC_BD_MAX&amp;" g/cm³ for peat. Above the top of that range usually means the mineral contact has been passed. ","")&amp;IF(AND(ISNUMBER($N212),$N212&gt;QC_CARBON_PCT_MAX),"Carbon above "&amp;QC_CARBON_PCT_MAX&amp;"% — check units; this may be organic matter rather than carbon. ","")&amp;IF(AND($L212&lt;&gt;"",$M212&lt;&gt;""),"Both LOI and measured carbon given — the measured value is used. ","")&amp;IF(AND($M212="",$L212&lt;&gt;"",OM_FACTOR_IS_LOCAL&lt;&gt;"Yes"),"Carbon derived from LOI using the default factor of "&amp;CARBON_FRACTION_OM&amp;", which has not been calibrated locally. See R1. Reference. ","")&amp;IF(AND(ISNUMBER($O212),$O212=0,ISNUMBER($E212)),"Section lies entirely below the reference depth — it counts to the full-profile stock only. ",""))</f>
        <v/>
      </c>
      <c r="U212" s="14" t="n"/>
    </row>
    <row r="213">
      <c r="A213" s="14" t="n"/>
      <c r="B213" s="14" t="n"/>
      <c r="C213" s="14" t="n"/>
      <c r="D213" s="14" t="n"/>
      <c r="E213" s="14" t="n"/>
      <c r="F213" s="14" t="n"/>
      <c r="G213" s="14">
        <f>IF(OR($E213="",$F213=""),"",$F213-$E213)</f>
        <v/>
      </c>
      <c r="H213" s="14" t="n"/>
      <c r="I213" s="14" t="n"/>
      <c r="J213" s="19" t="n"/>
      <c r="K213" s="19" t="n"/>
      <c r="L213" s="19" t="n"/>
      <c r="M213" s="19" t="n"/>
      <c r="N213" s="18">
        <f>IF($M213&lt;&gt;"",$M213,IF($L213&lt;&gt;"",$L213*CARBON_FRACTION_OM,""))</f>
        <v/>
      </c>
      <c r="O213" s="18">
        <f>IF(OR($E213="",$F213=""),"",MAX(0,MIN($F213,REFERENCE_DEPTH_CM)-MIN($E213,REFERENCE_DEPTH_CM)))</f>
        <v/>
      </c>
      <c r="P213" s="18">
        <f>IF(OR($J213="",$N213="",$G213=""),"",$J213*($N213/100)*$G213*10)</f>
        <v/>
      </c>
      <c r="Q213" s="18">
        <f>IF(OR($J213="",$N213="",$O213=""),"",$J213*($N213/100)*$O213*10)</f>
        <v/>
      </c>
      <c r="R213" s="18">
        <f>IF(OR(NOT(ISNUMBER($P213)),NOT(ISNUMBER($G213)),$G213=0),0,$P213/$G213)</f>
        <v/>
      </c>
      <c r="S213" s="18">
        <f>IF(OR($B213="",NOT(ISNUMBER($F213))),"",SUMIFS('3. Peat Data'!$P$5:$P$604,'3. Peat Data'!$B$5:$B$604,$B213,'3. Peat Data'!$F$5:$F$604,"&lt;="&amp;$F213))</f>
        <v/>
      </c>
      <c r="T213" s="18">
        <f>IF(AND($A213="",$B213="",$E213=""),"",IF(AND($B213&lt;&gt;"",COUNTIF('2. Core Log'!$A$5:$A$124,$B213)=0),"Core ID not in Core Log. ","")&amp;IF(AND($A213&lt;&gt;"",COUNTIF('1. Plot &amp; Site Log'!$A$5:$A$64,$A213)=0),"Plot ID not in Plot &amp; Site Log. ","")&amp;IF(AND(ISNUMBER($E213),ISNUMBER($F213),$F213&lt;=$E213),"Bottom depth is not below top depth. ","")&amp;IF($I213="","Say which bulk-density basis the lab reported. ","")&amp;IF(AND(ISNUMBER($J213),OR($J213&lt;QC_BD_MIN,$J213&gt;QC_BD_MAX)),"Bulk density outside "&amp;QC_BD_MIN&amp;"–"&amp;QC_BD_MAX&amp;" g/cm³ for peat. Above the top of that range usually means the mineral contact has been passed. ","")&amp;IF(AND(ISNUMBER($N213),$N213&gt;QC_CARBON_PCT_MAX),"Carbon above "&amp;QC_CARBON_PCT_MAX&amp;"% — check units; this may be organic matter rather than carbon. ","")&amp;IF(AND($L213&lt;&gt;"",$M213&lt;&gt;""),"Both LOI and measured carbon given — the measured value is used. ","")&amp;IF(AND($M213="",$L213&lt;&gt;"",OM_FACTOR_IS_LOCAL&lt;&gt;"Yes"),"Carbon derived from LOI using the default factor of "&amp;CARBON_FRACTION_OM&amp;", which has not been calibrated locally. See R1. Reference. ","")&amp;IF(AND(ISNUMBER($O213),$O213=0,ISNUMBER($E213)),"Section lies entirely below the reference depth — it counts to the full-profile stock only. ",""))</f>
        <v/>
      </c>
      <c r="U213" s="14" t="n"/>
    </row>
    <row r="214">
      <c r="A214" s="14" t="n"/>
      <c r="B214" s="14" t="n"/>
      <c r="C214" s="14" t="n"/>
      <c r="D214" s="14" t="n"/>
      <c r="E214" s="14" t="n"/>
      <c r="F214" s="14" t="n"/>
      <c r="G214" s="14">
        <f>IF(OR($E214="",$F214=""),"",$F214-$E214)</f>
        <v/>
      </c>
      <c r="H214" s="14" t="n"/>
      <c r="I214" s="14" t="n"/>
      <c r="J214" s="19" t="n"/>
      <c r="K214" s="19" t="n"/>
      <c r="L214" s="19" t="n"/>
      <c r="M214" s="19" t="n"/>
      <c r="N214" s="18">
        <f>IF($M214&lt;&gt;"",$M214,IF($L214&lt;&gt;"",$L214*CARBON_FRACTION_OM,""))</f>
        <v/>
      </c>
      <c r="O214" s="18">
        <f>IF(OR($E214="",$F214=""),"",MAX(0,MIN($F214,REFERENCE_DEPTH_CM)-MIN($E214,REFERENCE_DEPTH_CM)))</f>
        <v/>
      </c>
      <c r="P214" s="18">
        <f>IF(OR($J214="",$N214="",$G214=""),"",$J214*($N214/100)*$G214*10)</f>
        <v/>
      </c>
      <c r="Q214" s="18">
        <f>IF(OR($J214="",$N214="",$O214=""),"",$J214*($N214/100)*$O214*10)</f>
        <v/>
      </c>
      <c r="R214" s="18">
        <f>IF(OR(NOT(ISNUMBER($P214)),NOT(ISNUMBER($G214)),$G214=0),0,$P214/$G214)</f>
        <v/>
      </c>
      <c r="S214" s="18">
        <f>IF(OR($B214="",NOT(ISNUMBER($F214))),"",SUMIFS('3. Peat Data'!$P$5:$P$604,'3. Peat Data'!$B$5:$B$604,$B214,'3. Peat Data'!$F$5:$F$604,"&lt;="&amp;$F214))</f>
        <v/>
      </c>
      <c r="T214" s="18">
        <f>IF(AND($A214="",$B214="",$E214=""),"",IF(AND($B214&lt;&gt;"",COUNTIF('2. Core Log'!$A$5:$A$124,$B214)=0),"Core ID not in Core Log. ","")&amp;IF(AND($A214&lt;&gt;"",COUNTIF('1. Plot &amp; Site Log'!$A$5:$A$64,$A214)=0),"Plot ID not in Plot &amp; Site Log. ","")&amp;IF(AND(ISNUMBER($E214),ISNUMBER($F214),$F214&lt;=$E214),"Bottom depth is not below top depth. ","")&amp;IF($I214="","Say which bulk-density basis the lab reported. ","")&amp;IF(AND(ISNUMBER($J214),OR($J214&lt;QC_BD_MIN,$J214&gt;QC_BD_MAX)),"Bulk density outside "&amp;QC_BD_MIN&amp;"–"&amp;QC_BD_MAX&amp;" g/cm³ for peat. Above the top of that range usually means the mineral contact has been passed. ","")&amp;IF(AND(ISNUMBER($N214),$N214&gt;QC_CARBON_PCT_MAX),"Carbon above "&amp;QC_CARBON_PCT_MAX&amp;"% — check units; this may be organic matter rather than carbon. ","")&amp;IF(AND($L214&lt;&gt;"",$M214&lt;&gt;""),"Both LOI and measured carbon given — the measured value is used. ","")&amp;IF(AND($M214="",$L214&lt;&gt;"",OM_FACTOR_IS_LOCAL&lt;&gt;"Yes"),"Carbon derived from LOI using the default factor of "&amp;CARBON_FRACTION_OM&amp;", which has not been calibrated locally. See R1. Reference. ","")&amp;IF(AND(ISNUMBER($O214),$O214=0,ISNUMBER($E214)),"Section lies entirely below the reference depth — it counts to the full-profile stock only. ",""))</f>
        <v/>
      </c>
      <c r="U214" s="14" t="n"/>
    </row>
    <row r="215">
      <c r="A215" s="14" t="n"/>
      <c r="B215" s="14" t="n"/>
      <c r="C215" s="14" t="n"/>
      <c r="D215" s="14" t="n"/>
      <c r="E215" s="14" t="n"/>
      <c r="F215" s="14" t="n"/>
      <c r="G215" s="14">
        <f>IF(OR($E215="",$F215=""),"",$F215-$E215)</f>
        <v/>
      </c>
      <c r="H215" s="14" t="n"/>
      <c r="I215" s="14" t="n"/>
      <c r="J215" s="19" t="n"/>
      <c r="K215" s="19" t="n"/>
      <c r="L215" s="19" t="n"/>
      <c r="M215" s="19" t="n"/>
      <c r="N215" s="18">
        <f>IF($M215&lt;&gt;"",$M215,IF($L215&lt;&gt;"",$L215*CARBON_FRACTION_OM,""))</f>
        <v/>
      </c>
      <c r="O215" s="18">
        <f>IF(OR($E215="",$F215=""),"",MAX(0,MIN($F215,REFERENCE_DEPTH_CM)-MIN($E215,REFERENCE_DEPTH_CM)))</f>
        <v/>
      </c>
      <c r="P215" s="18">
        <f>IF(OR($J215="",$N215="",$G215=""),"",$J215*($N215/100)*$G215*10)</f>
        <v/>
      </c>
      <c r="Q215" s="18">
        <f>IF(OR($J215="",$N215="",$O215=""),"",$J215*($N215/100)*$O215*10)</f>
        <v/>
      </c>
      <c r="R215" s="18">
        <f>IF(OR(NOT(ISNUMBER($P215)),NOT(ISNUMBER($G215)),$G215=0),0,$P215/$G215)</f>
        <v/>
      </c>
      <c r="S215" s="18">
        <f>IF(OR($B215="",NOT(ISNUMBER($F215))),"",SUMIFS('3. Peat Data'!$P$5:$P$604,'3. Peat Data'!$B$5:$B$604,$B215,'3. Peat Data'!$F$5:$F$604,"&lt;="&amp;$F215))</f>
        <v/>
      </c>
      <c r="T215" s="18">
        <f>IF(AND($A215="",$B215="",$E215=""),"",IF(AND($B215&lt;&gt;"",COUNTIF('2. Core Log'!$A$5:$A$124,$B215)=0),"Core ID not in Core Log. ","")&amp;IF(AND($A215&lt;&gt;"",COUNTIF('1. Plot &amp; Site Log'!$A$5:$A$64,$A215)=0),"Plot ID not in Plot &amp; Site Log. ","")&amp;IF(AND(ISNUMBER($E215),ISNUMBER($F215),$F215&lt;=$E215),"Bottom depth is not below top depth. ","")&amp;IF($I215="","Say which bulk-density basis the lab reported. ","")&amp;IF(AND(ISNUMBER($J215),OR($J215&lt;QC_BD_MIN,$J215&gt;QC_BD_MAX)),"Bulk density outside "&amp;QC_BD_MIN&amp;"–"&amp;QC_BD_MAX&amp;" g/cm³ for peat. Above the top of that range usually means the mineral contact has been passed. ","")&amp;IF(AND(ISNUMBER($N215),$N215&gt;QC_CARBON_PCT_MAX),"Carbon above "&amp;QC_CARBON_PCT_MAX&amp;"% — check units; this may be organic matter rather than carbon. ","")&amp;IF(AND($L215&lt;&gt;"",$M215&lt;&gt;""),"Both LOI and measured carbon given — the measured value is used. ","")&amp;IF(AND($M215="",$L215&lt;&gt;"",OM_FACTOR_IS_LOCAL&lt;&gt;"Yes"),"Carbon derived from LOI using the default factor of "&amp;CARBON_FRACTION_OM&amp;", which has not been calibrated locally. See R1. Reference. ","")&amp;IF(AND(ISNUMBER($O215),$O215=0,ISNUMBER($E215)),"Section lies entirely below the reference depth — it counts to the full-profile stock only. ",""))</f>
        <v/>
      </c>
      <c r="U215" s="14" t="n"/>
    </row>
    <row r="216">
      <c r="A216" s="14" t="n"/>
      <c r="B216" s="14" t="n"/>
      <c r="C216" s="14" t="n"/>
      <c r="D216" s="14" t="n"/>
      <c r="E216" s="14" t="n"/>
      <c r="F216" s="14" t="n"/>
      <c r="G216" s="14">
        <f>IF(OR($E216="",$F216=""),"",$F216-$E216)</f>
        <v/>
      </c>
      <c r="H216" s="14" t="n"/>
      <c r="I216" s="14" t="n"/>
      <c r="J216" s="19" t="n"/>
      <c r="K216" s="19" t="n"/>
      <c r="L216" s="19" t="n"/>
      <c r="M216" s="19" t="n"/>
      <c r="N216" s="18">
        <f>IF($M216&lt;&gt;"",$M216,IF($L216&lt;&gt;"",$L216*CARBON_FRACTION_OM,""))</f>
        <v/>
      </c>
      <c r="O216" s="18">
        <f>IF(OR($E216="",$F216=""),"",MAX(0,MIN($F216,REFERENCE_DEPTH_CM)-MIN($E216,REFERENCE_DEPTH_CM)))</f>
        <v/>
      </c>
      <c r="P216" s="18">
        <f>IF(OR($J216="",$N216="",$G216=""),"",$J216*($N216/100)*$G216*10)</f>
        <v/>
      </c>
      <c r="Q216" s="18">
        <f>IF(OR($J216="",$N216="",$O216=""),"",$J216*($N216/100)*$O216*10)</f>
        <v/>
      </c>
      <c r="R216" s="18">
        <f>IF(OR(NOT(ISNUMBER($P216)),NOT(ISNUMBER($G216)),$G216=0),0,$P216/$G216)</f>
        <v/>
      </c>
      <c r="S216" s="18">
        <f>IF(OR($B216="",NOT(ISNUMBER($F216))),"",SUMIFS('3. Peat Data'!$P$5:$P$604,'3. Peat Data'!$B$5:$B$604,$B216,'3. Peat Data'!$F$5:$F$604,"&lt;="&amp;$F216))</f>
        <v/>
      </c>
      <c r="T216" s="18">
        <f>IF(AND($A216="",$B216="",$E216=""),"",IF(AND($B216&lt;&gt;"",COUNTIF('2. Core Log'!$A$5:$A$124,$B216)=0),"Core ID not in Core Log. ","")&amp;IF(AND($A216&lt;&gt;"",COUNTIF('1. Plot &amp; Site Log'!$A$5:$A$64,$A216)=0),"Plot ID not in Plot &amp; Site Log. ","")&amp;IF(AND(ISNUMBER($E216),ISNUMBER($F216),$F216&lt;=$E216),"Bottom depth is not below top depth. ","")&amp;IF($I216="","Say which bulk-density basis the lab reported. ","")&amp;IF(AND(ISNUMBER($J216),OR($J216&lt;QC_BD_MIN,$J216&gt;QC_BD_MAX)),"Bulk density outside "&amp;QC_BD_MIN&amp;"–"&amp;QC_BD_MAX&amp;" g/cm³ for peat. Above the top of that range usually means the mineral contact has been passed. ","")&amp;IF(AND(ISNUMBER($N216),$N216&gt;QC_CARBON_PCT_MAX),"Carbon above "&amp;QC_CARBON_PCT_MAX&amp;"% — check units; this may be organic matter rather than carbon. ","")&amp;IF(AND($L216&lt;&gt;"",$M216&lt;&gt;""),"Both LOI and measured carbon given — the measured value is used. ","")&amp;IF(AND($M216="",$L216&lt;&gt;"",OM_FACTOR_IS_LOCAL&lt;&gt;"Yes"),"Carbon derived from LOI using the default factor of "&amp;CARBON_FRACTION_OM&amp;", which has not been calibrated locally. See R1. Reference. ","")&amp;IF(AND(ISNUMBER($O216),$O216=0,ISNUMBER($E216)),"Section lies entirely below the reference depth — it counts to the full-profile stock only. ",""))</f>
        <v/>
      </c>
      <c r="U216" s="14" t="n"/>
    </row>
    <row r="217">
      <c r="A217" s="14" t="n"/>
      <c r="B217" s="14" t="n"/>
      <c r="C217" s="14" t="n"/>
      <c r="D217" s="14" t="n"/>
      <c r="E217" s="14" t="n"/>
      <c r="F217" s="14" t="n"/>
      <c r="G217" s="14">
        <f>IF(OR($E217="",$F217=""),"",$F217-$E217)</f>
        <v/>
      </c>
      <c r="H217" s="14" t="n"/>
      <c r="I217" s="14" t="n"/>
      <c r="J217" s="19" t="n"/>
      <c r="K217" s="19" t="n"/>
      <c r="L217" s="19" t="n"/>
      <c r="M217" s="19" t="n"/>
      <c r="N217" s="18">
        <f>IF($M217&lt;&gt;"",$M217,IF($L217&lt;&gt;"",$L217*CARBON_FRACTION_OM,""))</f>
        <v/>
      </c>
      <c r="O217" s="18">
        <f>IF(OR($E217="",$F217=""),"",MAX(0,MIN($F217,REFERENCE_DEPTH_CM)-MIN($E217,REFERENCE_DEPTH_CM)))</f>
        <v/>
      </c>
      <c r="P217" s="18">
        <f>IF(OR($J217="",$N217="",$G217=""),"",$J217*($N217/100)*$G217*10)</f>
        <v/>
      </c>
      <c r="Q217" s="18">
        <f>IF(OR($J217="",$N217="",$O217=""),"",$J217*($N217/100)*$O217*10)</f>
        <v/>
      </c>
      <c r="R217" s="18">
        <f>IF(OR(NOT(ISNUMBER($P217)),NOT(ISNUMBER($G217)),$G217=0),0,$P217/$G217)</f>
        <v/>
      </c>
      <c r="S217" s="18">
        <f>IF(OR($B217="",NOT(ISNUMBER($F217))),"",SUMIFS('3. Peat Data'!$P$5:$P$604,'3. Peat Data'!$B$5:$B$604,$B217,'3. Peat Data'!$F$5:$F$604,"&lt;="&amp;$F217))</f>
        <v/>
      </c>
      <c r="T217" s="18">
        <f>IF(AND($A217="",$B217="",$E217=""),"",IF(AND($B217&lt;&gt;"",COUNTIF('2. Core Log'!$A$5:$A$124,$B217)=0),"Core ID not in Core Log. ","")&amp;IF(AND($A217&lt;&gt;"",COUNTIF('1. Plot &amp; Site Log'!$A$5:$A$64,$A217)=0),"Plot ID not in Plot &amp; Site Log. ","")&amp;IF(AND(ISNUMBER($E217),ISNUMBER($F217),$F217&lt;=$E217),"Bottom depth is not below top depth. ","")&amp;IF($I217="","Say which bulk-density basis the lab reported. ","")&amp;IF(AND(ISNUMBER($J217),OR($J217&lt;QC_BD_MIN,$J217&gt;QC_BD_MAX)),"Bulk density outside "&amp;QC_BD_MIN&amp;"–"&amp;QC_BD_MAX&amp;" g/cm³ for peat. Above the top of that range usually means the mineral contact has been passed. ","")&amp;IF(AND(ISNUMBER($N217),$N217&gt;QC_CARBON_PCT_MAX),"Carbon above "&amp;QC_CARBON_PCT_MAX&amp;"% — check units; this may be organic matter rather than carbon. ","")&amp;IF(AND($L217&lt;&gt;"",$M217&lt;&gt;""),"Both LOI and measured carbon given — the measured value is used. ","")&amp;IF(AND($M217="",$L217&lt;&gt;"",OM_FACTOR_IS_LOCAL&lt;&gt;"Yes"),"Carbon derived from LOI using the default factor of "&amp;CARBON_FRACTION_OM&amp;", which has not been calibrated locally. See R1. Reference. ","")&amp;IF(AND(ISNUMBER($O217),$O217=0,ISNUMBER($E217)),"Section lies entirely below the reference depth — it counts to the full-profile stock only. ",""))</f>
        <v/>
      </c>
      <c r="U217" s="14" t="n"/>
    </row>
    <row r="218">
      <c r="A218" s="14" t="n"/>
      <c r="B218" s="14" t="n"/>
      <c r="C218" s="14" t="n"/>
      <c r="D218" s="14" t="n"/>
      <c r="E218" s="14" t="n"/>
      <c r="F218" s="14" t="n"/>
      <c r="G218" s="14">
        <f>IF(OR($E218="",$F218=""),"",$F218-$E218)</f>
        <v/>
      </c>
      <c r="H218" s="14" t="n"/>
      <c r="I218" s="14" t="n"/>
      <c r="J218" s="19" t="n"/>
      <c r="K218" s="19" t="n"/>
      <c r="L218" s="19" t="n"/>
      <c r="M218" s="19" t="n"/>
      <c r="N218" s="18">
        <f>IF($M218&lt;&gt;"",$M218,IF($L218&lt;&gt;"",$L218*CARBON_FRACTION_OM,""))</f>
        <v/>
      </c>
      <c r="O218" s="18">
        <f>IF(OR($E218="",$F218=""),"",MAX(0,MIN($F218,REFERENCE_DEPTH_CM)-MIN($E218,REFERENCE_DEPTH_CM)))</f>
        <v/>
      </c>
      <c r="P218" s="18">
        <f>IF(OR($J218="",$N218="",$G218=""),"",$J218*($N218/100)*$G218*10)</f>
        <v/>
      </c>
      <c r="Q218" s="18">
        <f>IF(OR($J218="",$N218="",$O218=""),"",$J218*($N218/100)*$O218*10)</f>
        <v/>
      </c>
      <c r="R218" s="18">
        <f>IF(OR(NOT(ISNUMBER($P218)),NOT(ISNUMBER($G218)),$G218=0),0,$P218/$G218)</f>
        <v/>
      </c>
      <c r="S218" s="18">
        <f>IF(OR($B218="",NOT(ISNUMBER($F218))),"",SUMIFS('3. Peat Data'!$P$5:$P$604,'3. Peat Data'!$B$5:$B$604,$B218,'3. Peat Data'!$F$5:$F$604,"&lt;="&amp;$F218))</f>
        <v/>
      </c>
      <c r="T218" s="18">
        <f>IF(AND($A218="",$B218="",$E218=""),"",IF(AND($B218&lt;&gt;"",COUNTIF('2. Core Log'!$A$5:$A$124,$B218)=0),"Core ID not in Core Log. ","")&amp;IF(AND($A218&lt;&gt;"",COUNTIF('1. Plot &amp; Site Log'!$A$5:$A$64,$A218)=0),"Plot ID not in Plot &amp; Site Log. ","")&amp;IF(AND(ISNUMBER($E218),ISNUMBER($F218),$F218&lt;=$E218),"Bottom depth is not below top depth. ","")&amp;IF($I218="","Say which bulk-density basis the lab reported. ","")&amp;IF(AND(ISNUMBER($J218),OR($J218&lt;QC_BD_MIN,$J218&gt;QC_BD_MAX)),"Bulk density outside "&amp;QC_BD_MIN&amp;"–"&amp;QC_BD_MAX&amp;" g/cm³ for peat. Above the top of that range usually means the mineral contact has been passed. ","")&amp;IF(AND(ISNUMBER($N218),$N218&gt;QC_CARBON_PCT_MAX),"Carbon above "&amp;QC_CARBON_PCT_MAX&amp;"% — check units; this may be organic matter rather than carbon. ","")&amp;IF(AND($L218&lt;&gt;"",$M218&lt;&gt;""),"Both LOI and measured carbon given — the measured value is used. ","")&amp;IF(AND($M218="",$L218&lt;&gt;"",OM_FACTOR_IS_LOCAL&lt;&gt;"Yes"),"Carbon derived from LOI using the default factor of "&amp;CARBON_FRACTION_OM&amp;", which has not been calibrated locally. See R1. Reference. ","")&amp;IF(AND(ISNUMBER($O218),$O218=0,ISNUMBER($E218)),"Section lies entirely below the reference depth — it counts to the full-profile stock only. ",""))</f>
        <v/>
      </c>
      <c r="U218" s="14" t="n"/>
    </row>
    <row r="219">
      <c r="A219" s="14" t="n"/>
      <c r="B219" s="14" t="n"/>
      <c r="C219" s="14" t="n"/>
      <c r="D219" s="14" t="n"/>
      <c r="E219" s="14" t="n"/>
      <c r="F219" s="14" t="n"/>
      <c r="G219" s="14">
        <f>IF(OR($E219="",$F219=""),"",$F219-$E219)</f>
        <v/>
      </c>
      <c r="H219" s="14" t="n"/>
      <c r="I219" s="14" t="n"/>
      <c r="J219" s="19" t="n"/>
      <c r="K219" s="19" t="n"/>
      <c r="L219" s="19" t="n"/>
      <c r="M219" s="19" t="n"/>
      <c r="N219" s="18">
        <f>IF($M219&lt;&gt;"",$M219,IF($L219&lt;&gt;"",$L219*CARBON_FRACTION_OM,""))</f>
        <v/>
      </c>
      <c r="O219" s="18">
        <f>IF(OR($E219="",$F219=""),"",MAX(0,MIN($F219,REFERENCE_DEPTH_CM)-MIN($E219,REFERENCE_DEPTH_CM)))</f>
        <v/>
      </c>
      <c r="P219" s="18">
        <f>IF(OR($J219="",$N219="",$G219=""),"",$J219*($N219/100)*$G219*10)</f>
        <v/>
      </c>
      <c r="Q219" s="18">
        <f>IF(OR($J219="",$N219="",$O219=""),"",$J219*($N219/100)*$O219*10)</f>
        <v/>
      </c>
      <c r="R219" s="18">
        <f>IF(OR(NOT(ISNUMBER($P219)),NOT(ISNUMBER($G219)),$G219=0),0,$P219/$G219)</f>
        <v/>
      </c>
      <c r="S219" s="18">
        <f>IF(OR($B219="",NOT(ISNUMBER($F219))),"",SUMIFS('3. Peat Data'!$P$5:$P$604,'3. Peat Data'!$B$5:$B$604,$B219,'3. Peat Data'!$F$5:$F$604,"&lt;="&amp;$F219))</f>
        <v/>
      </c>
      <c r="T219" s="18">
        <f>IF(AND($A219="",$B219="",$E219=""),"",IF(AND($B219&lt;&gt;"",COUNTIF('2. Core Log'!$A$5:$A$124,$B219)=0),"Core ID not in Core Log. ","")&amp;IF(AND($A219&lt;&gt;"",COUNTIF('1. Plot &amp; Site Log'!$A$5:$A$64,$A219)=0),"Plot ID not in Plot &amp; Site Log. ","")&amp;IF(AND(ISNUMBER($E219),ISNUMBER($F219),$F219&lt;=$E219),"Bottom depth is not below top depth. ","")&amp;IF($I219="","Say which bulk-density basis the lab reported. ","")&amp;IF(AND(ISNUMBER($J219),OR($J219&lt;QC_BD_MIN,$J219&gt;QC_BD_MAX)),"Bulk density outside "&amp;QC_BD_MIN&amp;"–"&amp;QC_BD_MAX&amp;" g/cm³ for peat. Above the top of that range usually means the mineral contact has been passed. ","")&amp;IF(AND(ISNUMBER($N219),$N219&gt;QC_CARBON_PCT_MAX),"Carbon above "&amp;QC_CARBON_PCT_MAX&amp;"% — check units; this may be organic matter rather than carbon. ","")&amp;IF(AND($L219&lt;&gt;"",$M219&lt;&gt;""),"Both LOI and measured carbon given — the measured value is used. ","")&amp;IF(AND($M219="",$L219&lt;&gt;"",OM_FACTOR_IS_LOCAL&lt;&gt;"Yes"),"Carbon derived from LOI using the default factor of "&amp;CARBON_FRACTION_OM&amp;", which has not been calibrated locally. See R1. Reference. ","")&amp;IF(AND(ISNUMBER($O219),$O219=0,ISNUMBER($E219)),"Section lies entirely below the reference depth — it counts to the full-profile stock only. ",""))</f>
        <v/>
      </c>
      <c r="U219" s="14" t="n"/>
    </row>
    <row r="220">
      <c r="A220" s="14" t="n"/>
      <c r="B220" s="14" t="n"/>
      <c r="C220" s="14" t="n"/>
      <c r="D220" s="14" t="n"/>
      <c r="E220" s="14" t="n"/>
      <c r="F220" s="14" t="n"/>
      <c r="G220" s="14">
        <f>IF(OR($E220="",$F220=""),"",$F220-$E220)</f>
        <v/>
      </c>
      <c r="H220" s="14" t="n"/>
      <c r="I220" s="14" t="n"/>
      <c r="J220" s="19" t="n"/>
      <c r="K220" s="19" t="n"/>
      <c r="L220" s="19" t="n"/>
      <c r="M220" s="19" t="n"/>
      <c r="N220" s="18">
        <f>IF($M220&lt;&gt;"",$M220,IF($L220&lt;&gt;"",$L220*CARBON_FRACTION_OM,""))</f>
        <v/>
      </c>
      <c r="O220" s="18">
        <f>IF(OR($E220="",$F220=""),"",MAX(0,MIN($F220,REFERENCE_DEPTH_CM)-MIN($E220,REFERENCE_DEPTH_CM)))</f>
        <v/>
      </c>
      <c r="P220" s="18">
        <f>IF(OR($J220="",$N220="",$G220=""),"",$J220*($N220/100)*$G220*10)</f>
        <v/>
      </c>
      <c r="Q220" s="18">
        <f>IF(OR($J220="",$N220="",$O220=""),"",$J220*($N220/100)*$O220*10)</f>
        <v/>
      </c>
      <c r="R220" s="18">
        <f>IF(OR(NOT(ISNUMBER($P220)),NOT(ISNUMBER($G220)),$G220=0),0,$P220/$G220)</f>
        <v/>
      </c>
      <c r="S220" s="18">
        <f>IF(OR($B220="",NOT(ISNUMBER($F220))),"",SUMIFS('3. Peat Data'!$P$5:$P$604,'3. Peat Data'!$B$5:$B$604,$B220,'3. Peat Data'!$F$5:$F$604,"&lt;="&amp;$F220))</f>
        <v/>
      </c>
      <c r="T220" s="18">
        <f>IF(AND($A220="",$B220="",$E220=""),"",IF(AND($B220&lt;&gt;"",COUNTIF('2. Core Log'!$A$5:$A$124,$B220)=0),"Core ID not in Core Log. ","")&amp;IF(AND($A220&lt;&gt;"",COUNTIF('1. Plot &amp; Site Log'!$A$5:$A$64,$A220)=0),"Plot ID not in Plot &amp; Site Log. ","")&amp;IF(AND(ISNUMBER($E220),ISNUMBER($F220),$F220&lt;=$E220),"Bottom depth is not below top depth. ","")&amp;IF($I220="","Say which bulk-density basis the lab reported. ","")&amp;IF(AND(ISNUMBER($J220),OR($J220&lt;QC_BD_MIN,$J220&gt;QC_BD_MAX)),"Bulk density outside "&amp;QC_BD_MIN&amp;"–"&amp;QC_BD_MAX&amp;" g/cm³ for peat. Above the top of that range usually means the mineral contact has been passed. ","")&amp;IF(AND(ISNUMBER($N220),$N220&gt;QC_CARBON_PCT_MAX),"Carbon above "&amp;QC_CARBON_PCT_MAX&amp;"% — check units; this may be organic matter rather than carbon. ","")&amp;IF(AND($L220&lt;&gt;"",$M220&lt;&gt;""),"Both LOI and measured carbon given — the measured value is used. ","")&amp;IF(AND($M220="",$L220&lt;&gt;"",OM_FACTOR_IS_LOCAL&lt;&gt;"Yes"),"Carbon derived from LOI using the default factor of "&amp;CARBON_FRACTION_OM&amp;", which has not been calibrated locally. See R1. Reference. ","")&amp;IF(AND(ISNUMBER($O220),$O220=0,ISNUMBER($E220)),"Section lies entirely below the reference depth — it counts to the full-profile stock only. ",""))</f>
        <v/>
      </c>
      <c r="U220" s="14" t="n"/>
    </row>
    <row r="221">
      <c r="A221" s="14" t="n"/>
      <c r="B221" s="14" t="n"/>
      <c r="C221" s="14" t="n"/>
      <c r="D221" s="14" t="n"/>
      <c r="E221" s="14" t="n"/>
      <c r="F221" s="14" t="n"/>
      <c r="G221" s="14">
        <f>IF(OR($E221="",$F221=""),"",$F221-$E221)</f>
        <v/>
      </c>
      <c r="H221" s="14" t="n"/>
      <c r="I221" s="14" t="n"/>
      <c r="J221" s="19" t="n"/>
      <c r="K221" s="19" t="n"/>
      <c r="L221" s="19" t="n"/>
      <c r="M221" s="19" t="n"/>
      <c r="N221" s="18">
        <f>IF($M221&lt;&gt;"",$M221,IF($L221&lt;&gt;"",$L221*CARBON_FRACTION_OM,""))</f>
        <v/>
      </c>
      <c r="O221" s="18">
        <f>IF(OR($E221="",$F221=""),"",MAX(0,MIN($F221,REFERENCE_DEPTH_CM)-MIN($E221,REFERENCE_DEPTH_CM)))</f>
        <v/>
      </c>
      <c r="P221" s="18">
        <f>IF(OR($J221="",$N221="",$G221=""),"",$J221*($N221/100)*$G221*10)</f>
        <v/>
      </c>
      <c r="Q221" s="18">
        <f>IF(OR($J221="",$N221="",$O221=""),"",$J221*($N221/100)*$O221*10)</f>
        <v/>
      </c>
      <c r="R221" s="18">
        <f>IF(OR(NOT(ISNUMBER($P221)),NOT(ISNUMBER($G221)),$G221=0),0,$P221/$G221)</f>
        <v/>
      </c>
      <c r="S221" s="18">
        <f>IF(OR($B221="",NOT(ISNUMBER($F221))),"",SUMIFS('3. Peat Data'!$P$5:$P$604,'3. Peat Data'!$B$5:$B$604,$B221,'3. Peat Data'!$F$5:$F$604,"&lt;="&amp;$F221))</f>
        <v/>
      </c>
      <c r="T221" s="18">
        <f>IF(AND($A221="",$B221="",$E221=""),"",IF(AND($B221&lt;&gt;"",COUNTIF('2. Core Log'!$A$5:$A$124,$B221)=0),"Core ID not in Core Log. ","")&amp;IF(AND($A221&lt;&gt;"",COUNTIF('1. Plot &amp; Site Log'!$A$5:$A$64,$A221)=0),"Plot ID not in Plot &amp; Site Log. ","")&amp;IF(AND(ISNUMBER($E221),ISNUMBER($F221),$F221&lt;=$E221),"Bottom depth is not below top depth. ","")&amp;IF($I221="","Say which bulk-density basis the lab reported. ","")&amp;IF(AND(ISNUMBER($J221),OR($J221&lt;QC_BD_MIN,$J221&gt;QC_BD_MAX)),"Bulk density outside "&amp;QC_BD_MIN&amp;"–"&amp;QC_BD_MAX&amp;" g/cm³ for peat. Above the top of that range usually means the mineral contact has been passed. ","")&amp;IF(AND(ISNUMBER($N221),$N221&gt;QC_CARBON_PCT_MAX),"Carbon above "&amp;QC_CARBON_PCT_MAX&amp;"% — check units; this may be organic matter rather than carbon. ","")&amp;IF(AND($L221&lt;&gt;"",$M221&lt;&gt;""),"Both LOI and measured carbon given — the measured value is used. ","")&amp;IF(AND($M221="",$L221&lt;&gt;"",OM_FACTOR_IS_LOCAL&lt;&gt;"Yes"),"Carbon derived from LOI using the default factor of "&amp;CARBON_FRACTION_OM&amp;", which has not been calibrated locally. See R1. Reference. ","")&amp;IF(AND(ISNUMBER($O221),$O221=0,ISNUMBER($E221)),"Section lies entirely below the reference depth — it counts to the full-profile stock only. ",""))</f>
        <v/>
      </c>
      <c r="U221" s="14" t="n"/>
    </row>
    <row r="222">
      <c r="A222" s="14" t="n"/>
      <c r="B222" s="14" t="n"/>
      <c r="C222" s="14" t="n"/>
      <c r="D222" s="14" t="n"/>
      <c r="E222" s="14" t="n"/>
      <c r="F222" s="14" t="n"/>
      <c r="G222" s="14">
        <f>IF(OR($E222="",$F222=""),"",$F222-$E222)</f>
        <v/>
      </c>
      <c r="H222" s="14" t="n"/>
      <c r="I222" s="14" t="n"/>
      <c r="J222" s="19" t="n"/>
      <c r="K222" s="19" t="n"/>
      <c r="L222" s="19" t="n"/>
      <c r="M222" s="19" t="n"/>
      <c r="N222" s="18">
        <f>IF($M222&lt;&gt;"",$M222,IF($L222&lt;&gt;"",$L222*CARBON_FRACTION_OM,""))</f>
        <v/>
      </c>
      <c r="O222" s="18">
        <f>IF(OR($E222="",$F222=""),"",MAX(0,MIN($F222,REFERENCE_DEPTH_CM)-MIN($E222,REFERENCE_DEPTH_CM)))</f>
        <v/>
      </c>
      <c r="P222" s="18">
        <f>IF(OR($J222="",$N222="",$G222=""),"",$J222*($N222/100)*$G222*10)</f>
        <v/>
      </c>
      <c r="Q222" s="18">
        <f>IF(OR($J222="",$N222="",$O222=""),"",$J222*($N222/100)*$O222*10)</f>
        <v/>
      </c>
      <c r="R222" s="18">
        <f>IF(OR(NOT(ISNUMBER($P222)),NOT(ISNUMBER($G222)),$G222=0),0,$P222/$G222)</f>
        <v/>
      </c>
      <c r="S222" s="18">
        <f>IF(OR($B222="",NOT(ISNUMBER($F222))),"",SUMIFS('3. Peat Data'!$P$5:$P$604,'3. Peat Data'!$B$5:$B$604,$B222,'3. Peat Data'!$F$5:$F$604,"&lt;="&amp;$F222))</f>
        <v/>
      </c>
      <c r="T222" s="18">
        <f>IF(AND($A222="",$B222="",$E222=""),"",IF(AND($B222&lt;&gt;"",COUNTIF('2. Core Log'!$A$5:$A$124,$B222)=0),"Core ID not in Core Log. ","")&amp;IF(AND($A222&lt;&gt;"",COUNTIF('1. Plot &amp; Site Log'!$A$5:$A$64,$A222)=0),"Plot ID not in Plot &amp; Site Log. ","")&amp;IF(AND(ISNUMBER($E222),ISNUMBER($F222),$F222&lt;=$E222),"Bottom depth is not below top depth. ","")&amp;IF($I222="","Say which bulk-density basis the lab reported. ","")&amp;IF(AND(ISNUMBER($J222),OR($J222&lt;QC_BD_MIN,$J222&gt;QC_BD_MAX)),"Bulk density outside "&amp;QC_BD_MIN&amp;"–"&amp;QC_BD_MAX&amp;" g/cm³ for peat. Above the top of that range usually means the mineral contact has been passed. ","")&amp;IF(AND(ISNUMBER($N222),$N222&gt;QC_CARBON_PCT_MAX),"Carbon above "&amp;QC_CARBON_PCT_MAX&amp;"% — check units; this may be organic matter rather than carbon. ","")&amp;IF(AND($L222&lt;&gt;"",$M222&lt;&gt;""),"Both LOI and measured carbon given — the measured value is used. ","")&amp;IF(AND($M222="",$L222&lt;&gt;"",OM_FACTOR_IS_LOCAL&lt;&gt;"Yes"),"Carbon derived from LOI using the default factor of "&amp;CARBON_FRACTION_OM&amp;", which has not been calibrated locally. See R1. Reference. ","")&amp;IF(AND(ISNUMBER($O222),$O222=0,ISNUMBER($E222)),"Section lies entirely below the reference depth — it counts to the full-profile stock only. ",""))</f>
        <v/>
      </c>
      <c r="U222" s="14" t="n"/>
    </row>
    <row r="223">
      <c r="A223" s="14" t="n"/>
      <c r="B223" s="14" t="n"/>
      <c r="C223" s="14" t="n"/>
      <c r="D223" s="14" t="n"/>
      <c r="E223" s="14" t="n"/>
      <c r="F223" s="14" t="n"/>
      <c r="G223" s="14">
        <f>IF(OR($E223="",$F223=""),"",$F223-$E223)</f>
        <v/>
      </c>
      <c r="H223" s="14" t="n"/>
      <c r="I223" s="14" t="n"/>
      <c r="J223" s="19" t="n"/>
      <c r="K223" s="19" t="n"/>
      <c r="L223" s="19" t="n"/>
      <c r="M223" s="19" t="n"/>
      <c r="N223" s="18">
        <f>IF($M223&lt;&gt;"",$M223,IF($L223&lt;&gt;"",$L223*CARBON_FRACTION_OM,""))</f>
        <v/>
      </c>
      <c r="O223" s="18">
        <f>IF(OR($E223="",$F223=""),"",MAX(0,MIN($F223,REFERENCE_DEPTH_CM)-MIN($E223,REFERENCE_DEPTH_CM)))</f>
        <v/>
      </c>
      <c r="P223" s="18">
        <f>IF(OR($J223="",$N223="",$G223=""),"",$J223*($N223/100)*$G223*10)</f>
        <v/>
      </c>
      <c r="Q223" s="18">
        <f>IF(OR($J223="",$N223="",$O223=""),"",$J223*($N223/100)*$O223*10)</f>
        <v/>
      </c>
      <c r="R223" s="18">
        <f>IF(OR(NOT(ISNUMBER($P223)),NOT(ISNUMBER($G223)),$G223=0),0,$P223/$G223)</f>
        <v/>
      </c>
      <c r="S223" s="18">
        <f>IF(OR($B223="",NOT(ISNUMBER($F223))),"",SUMIFS('3. Peat Data'!$P$5:$P$604,'3. Peat Data'!$B$5:$B$604,$B223,'3. Peat Data'!$F$5:$F$604,"&lt;="&amp;$F223))</f>
        <v/>
      </c>
      <c r="T223" s="18">
        <f>IF(AND($A223="",$B223="",$E223=""),"",IF(AND($B223&lt;&gt;"",COUNTIF('2. Core Log'!$A$5:$A$124,$B223)=0),"Core ID not in Core Log. ","")&amp;IF(AND($A223&lt;&gt;"",COUNTIF('1. Plot &amp; Site Log'!$A$5:$A$64,$A223)=0),"Plot ID not in Plot &amp; Site Log. ","")&amp;IF(AND(ISNUMBER($E223),ISNUMBER($F223),$F223&lt;=$E223),"Bottom depth is not below top depth. ","")&amp;IF($I223="","Say which bulk-density basis the lab reported. ","")&amp;IF(AND(ISNUMBER($J223),OR($J223&lt;QC_BD_MIN,$J223&gt;QC_BD_MAX)),"Bulk density outside "&amp;QC_BD_MIN&amp;"–"&amp;QC_BD_MAX&amp;" g/cm³ for peat. Above the top of that range usually means the mineral contact has been passed. ","")&amp;IF(AND(ISNUMBER($N223),$N223&gt;QC_CARBON_PCT_MAX),"Carbon above "&amp;QC_CARBON_PCT_MAX&amp;"% — check units; this may be organic matter rather than carbon. ","")&amp;IF(AND($L223&lt;&gt;"",$M223&lt;&gt;""),"Both LOI and measured carbon given — the measured value is used. ","")&amp;IF(AND($M223="",$L223&lt;&gt;"",OM_FACTOR_IS_LOCAL&lt;&gt;"Yes"),"Carbon derived from LOI using the default factor of "&amp;CARBON_FRACTION_OM&amp;", which has not been calibrated locally. See R1. Reference. ","")&amp;IF(AND(ISNUMBER($O223),$O223=0,ISNUMBER($E223)),"Section lies entirely below the reference depth — it counts to the full-profile stock only. ",""))</f>
        <v/>
      </c>
      <c r="U223" s="14" t="n"/>
    </row>
    <row r="224">
      <c r="A224" s="14" t="n"/>
      <c r="B224" s="14" t="n"/>
      <c r="C224" s="14" t="n"/>
      <c r="D224" s="14" t="n"/>
      <c r="E224" s="14" t="n"/>
      <c r="F224" s="14" t="n"/>
      <c r="G224" s="14">
        <f>IF(OR($E224="",$F224=""),"",$F224-$E224)</f>
        <v/>
      </c>
      <c r="H224" s="14" t="n"/>
      <c r="I224" s="14" t="n"/>
      <c r="J224" s="19" t="n"/>
      <c r="K224" s="19" t="n"/>
      <c r="L224" s="19" t="n"/>
      <c r="M224" s="19" t="n"/>
      <c r="N224" s="18">
        <f>IF($M224&lt;&gt;"",$M224,IF($L224&lt;&gt;"",$L224*CARBON_FRACTION_OM,""))</f>
        <v/>
      </c>
      <c r="O224" s="18">
        <f>IF(OR($E224="",$F224=""),"",MAX(0,MIN($F224,REFERENCE_DEPTH_CM)-MIN($E224,REFERENCE_DEPTH_CM)))</f>
        <v/>
      </c>
      <c r="P224" s="18">
        <f>IF(OR($J224="",$N224="",$G224=""),"",$J224*($N224/100)*$G224*10)</f>
        <v/>
      </c>
      <c r="Q224" s="18">
        <f>IF(OR($J224="",$N224="",$O224=""),"",$J224*($N224/100)*$O224*10)</f>
        <v/>
      </c>
      <c r="R224" s="18">
        <f>IF(OR(NOT(ISNUMBER($P224)),NOT(ISNUMBER($G224)),$G224=0),0,$P224/$G224)</f>
        <v/>
      </c>
      <c r="S224" s="18">
        <f>IF(OR($B224="",NOT(ISNUMBER($F224))),"",SUMIFS('3. Peat Data'!$P$5:$P$604,'3. Peat Data'!$B$5:$B$604,$B224,'3. Peat Data'!$F$5:$F$604,"&lt;="&amp;$F224))</f>
        <v/>
      </c>
      <c r="T224" s="18">
        <f>IF(AND($A224="",$B224="",$E224=""),"",IF(AND($B224&lt;&gt;"",COUNTIF('2. Core Log'!$A$5:$A$124,$B224)=0),"Core ID not in Core Log. ","")&amp;IF(AND($A224&lt;&gt;"",COUNTIF('1. Plot &amp; Site Log'!$A$5:$A$64,$A224)=0),"Plot ID not in Plot &amp; Site Log. ","")&amp;IF(AND(ISNUMBER($E224),ISNUMBER($F224),$F224&lt;=$E224),"Bottom depth is not below top depth. ","")&amp;IF($I224="","Say which bulk-density basis the lab reported. ","")&amp;IF(AND(ISNUMBER($J224),OR($J224&lt;QC_BD_MIN,$J224&gt;QC_BD_MAX)),"Bulk density outside "&amp;QC_BD_MIN&amp;"–"&amp;QC_BD_MAX&amp;" g/cm³ for peat. Above the top of that range usually means the mineral contact has been passed. ","")&amp;IF(AND(ISNUMBER($N224),$N224&gt;QC_CARBON_PCT_MAX),"Carbon above "&amp;QC_CARBON_PCT_MAX&amp;"% — check units; this may be organic matter rather than carbon. ","")&amp;IF(AND($L224&lt;&gt;"",$M224&lt;&gt;""),"Both LOI and measured carbon given — the measured value is used. ","")&amp;IF(AND($M224="",$L224&lt;&gt;"",OM_FACTOR_IS_LOCAL&lt;&gt;"Yes"),"Carbon derived from LOI using the default factor of "&amp;CARBON_FRACTION_OM&amp;", which has not been calibrated locally. See R1. Reference. ","")&amp;IF(AND(ISNUMBER($O224),$O224=0,ISNUMBER($E224)),"Section lies entirely below the reference depth — it counts to the full-profile stock only. ",""))</f>
        <v/>
      </c>
      <c r="U224" s="14" t="n"/>
    </row>
    <row r="225">
      <c r="A225" s="14" t="n"/>
      <c r="B225" s="14" t="n"/>
      <c r="C225" s="14" t="n"/>
      <c r="D225" s="14" t="n"/>
      <c r="E225" s="14" t="n"/>
      <c r="F225" s="14" t="n"/>
      <c r="G225" s="14">
        <f>IF(OR($E225="",$F225=""),"",$F225-$E225)</f>
        <v/>
      </c>
      <c r="H225" s="14" t="n"/>
      <c r="I225" s="14" t="n"/>
      <c r="J225" s="19" t="n"/>
      <c r="K225" s="19" t="n"/>
      <c r="L225" s="19" t="n"/>
      <c r="M225" s="19" t="n"/>
      <c r="N225" s="18">
        <f>IF($M225&lt;&gt;"",$M225,IF($L225&lt;&gt;"",$L225*CARBON_FRACTION_OM,""))</f>
        <v/>
      </c>
      <c r="O225" s="18">
        <f>IF(OR($E225="",$F225=""),"",MAX(0,MIN($F225,REFERENCE_DEPTH_CM)-MIN($E225,REFERENCE_DEPTH_CM)))</f>
        <v/>
      </c>
      <c r="P225" s="18">
        <f>IF(OR($J225="",$N225="",$G225=""),"",$J225*($N225/100)*$G225*10)</f>
        <v/>
      </c>
      <c r="Q225" s="18">
        <f>IF(OR($J225="",$N225="",$O225=""),"",$J225*($N225/100)*$O225*10)</f>
        <v/>
      </c>
      <c r="R225" s="18">
        <f>IF(OR(NOT(ISNUMBER($P225)),NOT(ISNUMBER($G225)),$G225=0),0,$P225/$G225)</f>
        <v/>
      </c>
      <c r="S225" s="18">
        <f>IF(OR($B225="",NOT(ISNUMBER($F225))),"",SUMIFS('3. Peat Data'!$P$5:$P$604,'3. Peat Data'!$B$5:$B$604,$B225,'3. Peat Data'!$F$5:$F$604,"&lt;="&amp;$F225))</f>
        <v/>
      </c>
      <c r="T225" s="18">
        <f>IF(AND($A225="",$B225="",$E225=""),"",IF(AND($B225&lt;&gt;"",COUNTIF('2. Core Log'!$A$5:$A$124,$B225)=0),"Core ID not in Core Log. ","")&amp;IF(AND($A225&lt;&gt;"",COUNTIF('1. Plot &amp; Site Log'!$A$5:$A$64,$A225)=0),"Plot ID not in Plot &amp; Site Log. ","")&amp;IF(AND(ISNUMBER($E225),ISNUMBER($F225),$F225&lt;=$E225),"Bottom depth is not below top depth. ","")&amp;IF($I225="","Say which bulk-density basis the lab reported. ","")&amp;IF(AND(ISNUMBER($J225),OR($J225&lt;QC_BD_MIN,$J225&gt;QC_BD_MAX)),"Bulk density outside "&amp;QC_BD_MIN&amp;"–"&amp;QC_BD_MAX&amp;" g/cm³ for peat. Above the top of that range usually means the mineral contact has been passed. ","")&amp;IF(AND(ISNUMBER($N225),$N225&gt;QC_CARBON_PCT_MAX),"Carbon above "&amp;QC_CARBON_PCT_MAX&amp;"% — check units; this may be organic matter rather than carbon. ","")&amp;IF(AND($L225&lt;&gt;"",$M225&lt;&gt;""),"Both LOI and measured carbon given — the measured value is used. ","")&amp;IF(AND($M225="",$L225&lt;&gt;"",OM_FACTOR_IS_LOCAL&lt;&gt;"Yes"),"Carbon derived from LOI using the default factor of "&amp;CARBON_FRACTION_OM&amp;", which has not been calibrated locally. See R1. Reference. ","")&amp;IF(AND(ISNUMBER($O225),$O225=0,ISNUMBER($E225)),"Section lies entirely below the reference depth — it counts to the full-profile stock only. ",""))</f>
        <v/>
      </c>
      <c r="U225" s="14" t="n"/>
    </row>
    <row r="226">
      <c r="A226" s="14" t="n"/>
      <c r="B226" s="14" t="n"/>
      <c r="C226" s="14" t="n"/>
      <c r="D226" s="14" t="n"/>
      <c r="E226" s="14" t="n"/>
      <c r="F226" s="14" t="n"/>
      <c r="G226" s="14">
        <f>IF(OR($E226="",$F226=""),"",$F226-$E226)</f>
        <v/>
      </c>
      <c r="H226" s="14" t="n"/>
      <c r="I226" s="14" t="n"/>
      <c r="J226" s="19" t="n"/>
      <c r="K226" s="19" t="n"/>
      <c r="L226" s="19" t="n"/>
      <c r="M226" s="19" t="n"/>
      <c r="N226" s="18">
        <f>IF($M226&lt;&gt;"",$M226,IF($L226&lt;&gt;"",$L226*CARBON_FRACTION_OM,""))</f>
        <v/>
      </c>
      <c r="O226" s="18">
        <f>IF(OR($E226="",$F226=""),"",MAX(0,MIN($F226,REFERENCE_DEPTH_CM)-MIN($E226,REFERENCE_DEPTH_CM)))</f>
        <v/>
      </c>
      <c r="P226" s="18">
        <f>IF(OR($J226="",$N226="",$G226=""),"",$J226*($N226/100)*$G226*10)</f>
        <v/>
      </c>
      <c r="Q226" s="18">
        <f>IF(OR($J226="",$N226="",$O226=""),"",$J226*($N226/100)*$O226*10)</f>
        <v/>
      </c>
      <c r="R226" s="18">
        <f>IF(OR(NOT(ISNUMBER($P226)),NOT(ISNUMBER($G226)),$G226=0),0,$P226/$G226)</f>
        <v/>
      </c>
      <c r="S226" s="18">
        <f>IF(OR($B226="",NOT(ISNUMBER($F226))),"",SUMIFS('3. Peat Data'!$P$5:$P$604,'3. Peat Data'!$B$5:$B$604,$B226,'3. Peat Data'!$F$5:$F$604,"&lt;="&amp;$F226))</f>
        <v/>
      </c>
      <c r="T226" s="18">
        <f>IF(AND($A226="",$B226="",$E226=""),"",IF(AND($B226&lt;&gt;"",COUNTIF('2. Core Log'!$A$5:$A$124,$B226)=0),"Core ID not in Core Log. ","")&amp;IF(AND($A226&lt;&gt;"",COUNTIF('1. Plot &amp; Site Log'!$A$5:$A$64,$A226)=0),"Plot ID not in Plot &amp; Site Log. ","")&amp;IF(AND(ISNUMBER($E226),ISNUMBER($F226),$F226&lt;=$E226),"Bottom depth is not below top depth. ","")&amp;IF($I226="","Say which bulk-density basis the lab reported. ","")&amp;IF(AND(ISNUMBER($J226),OR($J226&lt;QC_BD_MIN,$J226&gt;QC_BD_MAX)),"Bulk density outside "&amp;QC_BD_MIN&amp;"–"&amp;QC_BD_MAX&amp;" g/cm³ for peat. Above the top of that range usually means the mineral contact has been passed. ","")&amp;IF(AND(ISNUMBER($N226),$N226&gt;QC_CARBON_PCT_MAX),"Carbon above "&amp;QC_CARBON_PCT_MAX&amp;"% — check units; this may be organic matter rather than carbon. ","")&amp;IF(AND($L226&lt;&gt;"",$M226&lt;&gt;""),"Both LOI and measured carbon given — the measured value is used. ","")&amp;IF(AND($M226="",$L226&lt;&gt;"",OM_FACTOR_IS_LOCAL&lt;&gt;"Yes"),"Carbon derived from LOI using the default factor of "&amp;CARBON_FRACTION_OM&amp;", which has not been calibrated locally. See R1. Reference. ","")&amp;IF(AND(ISNUMBER($O226),$O226=0,ISNUMBER($E226)),"Section lies entirely below the reference depth — it counts to the full-profile stock only. ",""))</f>
        <v/>
      </c>
      <c r="U226" s="14" t="n"/>
    </row>
    <row r="227">
      <c r="A227" s="14" t="n"/>
      <c r="B227" s="14" t="n"/>
      <c r="C227" s="14" t="n"/>
      <c r="D227" s="14" t="n"/>
      <c r="E227" s="14" t="n"/>
      <c r="F227" s="14" t="n"/>
      <c r="G227" s="14">
        <f>IF(OR($E227="",$F227=""),"",$F227-$E227)</f>
        <v/>
      </c>
      <c r="H227" s="14" t="n"/>
      <c r="I227" s="14" t="n"/>
      <c r="J227" s="19" t="n"/>
      <c r="K227" s="19" t="n"/>
      <c r="L227" s="19" t="n"/>
      <c r="M227" s="19" t="n"/>
      <c r="N227" s="18">
        <f>IF($M227&lt;&gt;"",$M227,IF($L227&lt;&gt;"",$L227*CARBON_FRACTION_OM,""))</f>
        <v/>
      </c>
      <c r="O227" s="18">
        <f>IF(OR($E227="",$F227=""),"",MAX(0,MIN($F227,REFERENCE_DEPTH_CM)-MIN($E227,REFERENCE_DEPTH_CM)))</f>
        <v/>
      </c>
      <c r="P227" s="18">
        <f>IF(OR($J227="",$N227="",$G227=""),"",$J227*($N227/100)*$G227*10)</f>
        <v/>
      </c>
      <c r="Q227" s="18">
        <f>IF(OR($J227="",$N227="",$O227=""),"",$J227*($N227/100)*$O227*10)</f>
        <v/>
      </c>
      <c r="R227" s="18">
        <f>IF(OR(NOT(ISNUMBER($P227)),NOT(ISNUMBER($G227)),$G227=0),0,$P227/$G227)</f>
        <v/>
      </c>
      <c r="S227" s="18">
        <f>IF(OR($B227="",NOT(ISNUMBER($F227))),"",SUMIFS('3. Peat Data'!$P$5:$P$604,'3. Peat Data'!$B$5:$B$604,$B227,'3. Peat Data'!$F$5:$F$604,"&lt;="&amp;$F227))</f>
        <v/>
      </c>
      <c r="T227" s="18">
        <f>IF(AND($A227="",$B227="",$E227=""),"",IF(AND($B227&lt;&gt;"",COUNTIF('2. Core Log'!$A$5:$A$124,$B227)=0),"Core ID not in Core Log. ","")&amp;IF(AND($A227&lt;&gt;"",COUNTIF('1. Plot &amp; Site Log'!$A$5:$A$64,$A227)=0),"Plot ID not in Plot &amp; Site Log. ","")&amp;IF(AND(ISNUMBER($E227),ISNUMBER($F227),$F227&lt;=$E227),"Bottom depth is not below top depth. ","")&amp;IF($I227="","Say which bulk-density basis the lab reported. ","")&amp;IF(AND(ISNUMBER($J227),OR($J227&lt;QC_BD_MIN,$J227&gt;QC_BD_MAX)),"Bulk density outside "&amp;QC_BD_MIN&amp;"–"&amp;QC_BD_MAX&amp;" g/cm³ for peat. Above the top of that range usually means the mineral contact has been passed. ","")&amp;IF(AND(ISNUMBER($N227),$N227&gt;QC_CARBON_PCT_MAX),"Carbon above "&amp;QC_CARBON_PCT_MAX&amp;"% — check units; this may be organic matter rather than carbon. ","")&amp;IF(AND($L227&lt;&gt;"",$M227&lt;&gt;""),"Both LOI and measured carbon given — the measured value is used. ","")&amp;IF(AND($M227="",$L227&lt;&gt;"",OM_FACTOR_IS_LOCAL&lt;&gt;"Yes"),"Carbon derived from LOI using the default factor of "&amp;CARBON_FRACTION_OM&amp;", which has not been calibrated locally. See R1. Reference. ","")&amp;IF(AND(ISNUMBER($O227),$O227=0,ISNUMBER($E227)),"Section lies entirely below the reference depth — it counts to the full-profile stock only. ",""))</f>
        <v/>
      </c>
      <c r="U227" s="14" t="n"/>
    </row>
    <row r="228">
      <c r="A228" s="14" t="n"/>
      <c r="B228" s="14" t="n"/>
      <c r="C228" s="14" t="n"/>
      <c r="D228" s="14" t="n"/>
      <c r="E228" s="14" t="n"/>
      <c r="F228" s="14" t="n"/>
      <c r="G228" s="14">
        <f>IF(OR($E228="",$F228=""),"",$F228-$E228)</f>
        <v/>
      </c>
      <c r="H228" s="14" t="n"/>
      <c r="I228" s="14" t="n"/>
      <c r="J228" s="19" t="n"/>
      <c r="K228" s="19" t="n"/>
      <c r="L228" s="19" t="n"/>
      <c r="M228" s="19" t="n"/>
      <c r="N228" s="18">
        <f>IF($M228&lt;&gt;"",$M228,IF($L228&lt;&gt;"",$L228*CARBON_FRACTION_OM,""))</f>
        <v/>
      </c>
      <c r="O228" s="18">
        <f>IF(OR($E228="",$F228=""),"",MAX(0,MIN($F228,REFERENCE_DEPTH_CM)-MIN($E228,REFERENCE_DEPTH_CM)))</f>
        <v/>
      </c>
      <c r="P228" s="18">
        <f>IF(OR($J228="",$N228="",$G228=""),"",$J228*($N228/100)*$G228*10)</f>
        <v/>
      </c>
      <c r="Q228" s="18">
        <f>IF(OR($J228="",$N228="",$O228=""),"",$J228*($N228/100)*$O228*10)</f>
        <v/>
      </c>
      <c r="R228" s="18">
        <f>IF(OR(NOT(ISNUMBER($P228)),NOT(ISNUMBER($G228)),$G228=0),0,$P228/$G228)</f>
        <v/>
      </c>
      <c r="S228" s="18">
        <f>IF(OR($B228="",NOT(ISNUMBER($F228))),"",SUMIFS('3. Peat Data'!$P$5:$P$604,'3. Peat Data'!$B$5:$B$604,$B228,'3. Peat Data'!$F$5:$F$604,"&lt;="&amp;$F228))</f>
        <v/>
      </c>
      <c r="T228" s="18">
        <f>IF(AND($A228="",$B228="",$E228=""),"",IF(AND($B228&lt;&gt;"",COUNTIF('2. Core Log'!$A$5:$A$124,$B228)=0),"Core ID not in Core Log. ","")&amp;IF(AND($A228&lt;&gt;"",COUNTIF('1. Plot &amp; Site Log'!$A$5:$A$64,$A228)=0),"Plot ID not in Plot &amp; Site Log. ","")&amp;IF(AND(ISNUMBER($E228),ISNUMBER($F228),$F228&lt;=$E228),"Bottom depth is not below top depth. ","")&amp;IF($I228="","Say which bulk-density basis the lab reported. ","")&amp;IF(AND(ISNUMBER($J228),OR($J228&lt;QC_BD_MIN,$J228&gt;QC_BD_MAX)),"Bulk density outside "&amp;QC_BD_MIN&amp;"–"&amp;QC_BD_MAX&amp;" g/cm³ for peat. Above the top of that range usually means the mineral contact has been passed. ","")&amp;IF(AND(ISNUMBER($N228),$N228&gt;QC_CARBON_PCT_MAX),"Carbon above "&amp;QC_CARBON_PCT_MAX&amp;"% — check units; this may be organic matter rather than carbon. ","")&amp;IF(AND($L228&lt;&gt;"",$M228&lt;&gt;""),"Both LOI and measured carbon given — the measured value is used. ","")&amp;IF(AND($M228="",$L228&lt;&gt;"",OM_FACTOR_IS_LOCAL&lt;&gt;"Yes"),"Carbon derived from LOI using the default factor of "&amp;CARBON_FRACTION_OM&amp;", which has not been calibrated locally. See R1. Reference. ","")&amp;IF(AND(ISNUMBER($O228),$O228=0,ISNUMBER($E228)),"Section lies entirely below the reference depth — it counts to the full-profile stock only. ",""))</f>
        <v/>
      </c>
      <c r="U228" s="14" t="n"/>
    </row>
    <row r="229">
      <c r="A229" s="14" t="n"/>
      <c r="B229" s="14" t="n"/>
      <c r="C229" s="14" t="n"/>
      <c r="D229" s="14" t="n"/>
      <c r="E229" s="14" t="n"/>
      <c r="F229" s="14" t="n"/>
      <c r="G229" s="14">
        <f>IF(OR($E229="",$F229=""),"",$F229-$E229)</f>
        <v/>
      </c>
      <c r="H229" s="14" t="n"/>
      <c r="I229" s="14" t="n"/>
      <c r="J229" s="19" t="n"/>
      <c r="K229" s="19" t="n"/>
      <c r="L229" s="19" t="n"/>
      <c r="M229" s="19" t="n"/>
      <c r="N229" s="18">
        <f>IF($M229&lt;&gt;"",$M229,IF($L229&lt;&gt;"",$L229*CARBON_FRACTION_OM,""))</f>
        <v/>
      </c>
      <c r="O229" s="18">
        <f>IF(OR($E229="",$F229=""),"",MAX(0,MIN($F229,REFERENCE_DEPTH_CM)-MIN($E229,REFERENCE_DEPTH_CM)))</f>
        <v/>
      </c>
      <c r="P229" s="18">
        <f>IF(OR($J229="",$N229="",$G229=""),"",$J229*($N229/100)*$G229*10)</f>
        <v/>
      </c>
      <c r="Q229" s="18">
        <f>IF(OR($J229="",$N229="",$O229=""),"",$J229*($N229/100)*$O229*10)</f>
        <v/>
      </c>
      <c r="R229" s="18">
        <f>IF(OR(NOT(ISNUMBER($P229)),NOT(ISNUMBER($G229)),$G229=0),0,$P229/$G229)</f>
        <v/>
      </c>
      <c r="S229" s="18">
        <f>IF(OR($B229="",NOT(ISNUMBER($F229))),"",SUMIFS('3. Peat Data'!$P$5:$P$604,'3. Peat Data'!$B$5:$B$604,$B229,'3. Peat Data'!$F$5:$F$604,"&lt;="&amp;$F229))</f>
        <v/>
      </c>
      <c r="T229" s="18">
        <f>IF(AND($A229="",$B229="",$E229=""),"",IF(AND($B229&lt;&gt;"",COUNTIF('2. Core Log'!$A$5:$A$124,$B229)=0),"Core ID not in Core Log. ","")&amp;IF(AND($A229&lt;&gt;"",COUNTIF('1. Plot &amp; Site Log'!$A$5:$A$64,$A229)=0),"Plot ID not in Plot &amp; Site Log. ","")&amp;IF(AND(ISNUMBER($E229),ISNUMBER($F229),$F229&lt;=$E229),"Bottom depth is not below top depth. ","")&amp;IF($I229="","Say which bulk-density basis the lab reported. ","")&amp;IF(AND(ISNUMBER($J229),OR($J229&lt;QC_BD_MIN,$J229&gt;QC_BD_MAX)),"Bulk density outside "&amp;QC_BD_MIN&amp;"–"&amp;QC_BD_MAX&amp;" g/cm³ for peat. Above the top of that range usually means the mineral contact has been passed. ","")&amp;IF(AND(ISNUMBER($N229),$N229&gt;QC_CARBON_PCT_MAX),"Carbon above "&amp;QC_CARBON_PCT_MAX&amp;"% — check units; this may be organic matter rather than carbon. ","")&amp;IF(AND($L229&lt;&gt;"",$M229&lt;&gt;""),"Both LOI and measured carbon given — the measured value is used. ","")&amp;IF(AND($M229="",$L229&lt;&gt;"",OM_FACTOR_IS_LOCAL&lt;&gt;"Yes"),"Carbon derived from LOI using the default factor of "&amp;CARBON_FRACTION_OM&amp;", which has not been calibrated locally. See R1. Reference. ","")&amp;IF(AND(ISNUMBER($O229),$O229=0,ISNUMBER($E229)),"Section lies entirely below the reference depth — it counts to the full-profile stock only. ",""))</f>
        <v/>
      </c>
      <c r="U229" s="14" t="n"/>
    </row>
    <row r="230">
      <c r="A230" s="14" t="n"/>
      <c r="B230" s="14" t="n"/>
      <c r="C230" s="14" t="n"/>
      <c r="D230" s="14" t="n"/>
      <c r="E230" s="14" t="n"/>
      <c r="F230" s="14" t="n"/>
      <c r="G230" s="14">
        <f>IF(OR($E230="",$F230=""),"",$F230-$E230)</f>
        <v/>
      </c>
      <c r="H230" s="14" t="n"/>
      <c r="I230" s="14" t="n"/>
      <c r="J230" s="19" t="n"/>
      <c r="K230" s="19" t="n"/>
      <c r="L230" s="19" t="n"/>
      <c r="M230" s="19" t="n"/>
      <c r="N230" s="18">
        <f>IF($M230&lt;&gt;"",$M230,IF($L230&lt;&gt;"",$L230*CARBON_FRACTION_OM,""))</f>
        <v/>
      </c>
      <c r="O230" s="18">
        <f>IF(OR($E230="",$F230=""),"",MAX(0,MIN($F230,REFERENCE_DEPTH_CM)-MIN($E230,REFERENCE_DEPTH_CM)))</f>
        <v/>
      </c>
      <c r="P230" s="18">
        <f>IF(OR($J230="",$N230="",$G230=""),"",$J230*($N230/100)*$G230*10)</f>
        <v/>
      </c>
      <c r="Q230" s="18">
        <f>IF(OR($J230="",$N230="",$O230=""),"",$J230*($N230/100)*$O230*10)</f>
        <v/>
      </c>
      <c r="R230" s="18">
        <f>IF(OR(NOT(ISNUMBER($P230)),NOT(ISNUMBER($G230)),$G230=0),0,$P230/$G230)</f>
        <v/>
      </c>
      <c r="S230" s="18">
        <f>IF(OR($B230="",NOT(ISNUMBER($F230))),"",SUMIFS('3. Peat Data'!$P$5:$P$604,'3. Peat Data'!$B$5:$B$604,$B230,'3. Peat Data'!$F$5:$F$604,"&lt;="&amp;$F230))</f>
        <v/>
      </c>
      <c r="T230" s="18">
        <f>IF(AND($A230="",$B230="",$E230=""),"",IF(AND($B230&lt;&gt;"",COUNTIF('2. Core Log'!$A$5:$A$124,$B230)=0),"Core ID not in Core Log. ","")&amp;IF(AND($A230&lt;&gt;"",COUNTIF('1. Plot &amp; Site Log'!$A$5:$A$64,$A230)=0),"Plot ID not in Plot &amp; Site Log. ","")&amp;IF(AND(ISNUMBER($E230),ISNUMBER($F230),$F230&lt;=$E230),"Bottom depth is not below top depth. ","")&amp;IF($I230="","Say which bulk-density basis the lab reported. ","")&amp;IF(AND(ISNUMBER($J230),OR($J230&lt;QC_BD_MIN,$J230&gt;QC_BD_MAX)),"Bulk density outside "&amp;QC_BD_MIN&amp;"–"&amp;QC_BD_MAX&amp;" g/cm³ for peat. Above the top of that range usually means the mineral contact has been passed. ","")&amp;IF(AND(ISNUMBER($N230),$N230&gt;QC_CARBON_PCT_MAX),"Carbon above "&amp;QC_CARBON_PCT_MAX&amp;"% — check units; this may be organic matter rather than carbon. ","")&amp;IF(AND($L230&lt;&gt;"",$M230&lt;&gt;""),"Both LOI and measured carbon given — the measured value is used. ","")&amp;IF(AND($M230="",$L230&lt;&gt;"",OM_FACTOR_IS_LOCAL&lt;&gt;"Yes"),"Carbon derived from LOI using the default factor of "&amp;CARBON_FRACTION_OM&amp;", which has not been calibrated locally. See R1. Reference. ","")&amp;IF(AND(ISNUMBER($O230),$O230=0,ISNUMBER($E230)),"Section lies entirely below the reference depth — it counts to the full-profile stock only. ",""))</f>
        <v/>
      </c>
      <c r="U230" s="14" t="n"/>
    </row>
    <row r="231">
      <c r="A231" s="14" t="n"/>
      <c r="B231" s="14" t="n"/>
      <c r="C231" s="14" t="n"/>
      <c r="D231" s="14" t="n"/>
      <c r="E231" s="14" t="n"/>
      <c r="F231" s="14" t="n"/>
      <c r="G231" s="14">
        <f>IF(OR($E231="",$F231=""),"",$F231-$E231)</f>
        <v/>
      </c>
      <c r="H231" s="14" t="n"/>
      <c r="I231" s="14" t="n"/>
      <c r="J231" s="19" t="n"/>
      <c r="K231" s="19" t="n"/>
      <c r="L231" s="19" t="n"/>
      <c r="M231" s="19" t="n"/>
      <c r="N231" s="18">
        <f>IF($M231&lt;&gt;"",$M231,IF($L231&lt;&gt;"",$L231*CARBON_FRACTION_OM,""))</f>
        <v/>
      </c>
      <c r="O231" s="18">
        <f>IF(OR($E231="",$F231=""),"",MAX(0,MIN($F231,REFERENCE_DEPTH_CM)-MIN($E231,REFERENCE_DEPTH_CM)))</f>
        <v/>
      </c>
      <c r="P231" s="18">
        <f>IF(OR($J231="",$N231="",$G231=""),"",$J231*($N231/100)*$G231*10)</f>
        <v/>
      </c>
      <c r="Q231" s="18">
        <f>IF(OR($J231="",$N231="",$O231=""),"",$J231*($N231/100)*$O231*10)</f>
        <v/>
      </c>
      <c r="R231" s="18">
        <f>IF(OR(NOT(ISNUMBER($P231)),NOT(ISNUMBER($G231)),$G231=0),0,$P231/$G231)</f>
        <v/>
      </c>
      <c r="S231" s="18">
        <f>IF(OR($B231="",NOT(ISNUMBER($F231))),"",SUMIFS('3. Peat Data'!$P$5:$P$604,'3. Peat Data'!$B$5:$B$604,$B231,'3. Peat Data'!$F$5:$F$604,"&lt;="&amp;$F231))</f>
        <v/>
      </c>
      <c r="T231" s="18">
        <f>IF(AND($A231="",$B231="",$E231=""),"",IF(AND($B231&lt;&gt;"",COUNTIF('2. Core Log'!$A$5:$A$124,$B231)=0),"Core ID not in Core Log. ","")&amp;IF(AND($A231&lt;&gt;"",COUNTIF('1. Plot &amp; Site Log'!$A$5:$A$64,$A231)=0),"Plot ID not in Plot &amp; Site Log. ","")&amp;IF(AND(ISNUMBER($E231),ISNUMBER($F231),$F231&lt;=$E231),"Bottom depth is not below top depth. ","")&amp;IF($I231="","Say which bulk-density basis the lab reported. ","")&amp;IF(AND(ISNUMBER($J231),OR($J231&lt;QC_BD_MIN,$J231&gt;QC_BD_MAX)),"Bulk density outside "&amp;QC_BD_MIN&amp;"–"&amp;QC_BD_MAX&amp;" g/cm³ for peat. Above the top of that range usually means the mineral contact has been passed. ","")&amp;IF(AND(ISNUMBER($N231),$N231&gt;QC_CARBON_PCT_MAX),"Carbon above "&amp;QC_CARBON_PCT_MAX&amp;"% — check units; this may be organic matter rather than carbon. ","")&amp;IF(AND($L231&lt;&gt;"",$M231&lt;&gt;""),"Both LOI and measured carbon given — the measured value is used. ","")&amp;IF(AND($M231="",$L231&lt;&gt;"",OM_FACTOR_IS_LOCAL&lt;&gt;"Yes"),"Carbon derived from LOI using the default factor of "&amp;CARBON_FRACTION_OM&amp;", which has not been calibrated locally. See R1. Reference. ","")&amp;IF(AND(ISNUMBER($O231),$O231=0,ISNUMBER($E231)),"Section lies entirely below the reference depth — it counts to the full-profile stock only. ",""))</f>
        <v/>
      </c>
      <c r="U231" s="14" t="n"/>
    </row>
    <row r="232">
      <c r="A232" s="14" t="n"/>
      <c r="B232" s="14" t="n"/>
      <c r="C232" s="14" t="n"/>
      <c r="D232" s="14" t="n"/>
      <c r="E232" s="14" t="n"/>
      <c r="F232" s="14" t="n"/>
      <c r="G232" s="14">
        <f>IF(OR($E232="",$F232=""),"",$F232-$E232)</f>
        <v/>
      </c>
      <c r="H232" s="14" t="n"/>
      <c r="I232" s="14" t="n"/>
      <c r="J232" s="19" t="n"/>
      <c r="K232" s="19" t="n"/>
      <c r="L232" s="19" t="n"/>
      <c r="M232" s="19" t="n"/>
      <c r="N232" s="18">
        <f>IF($M232&lt;&gt;"",$M232,IF($L232&lt;&gt;"",$L232*CARBON_FRACTION_OM,""))</f>
        <v/>
      </c>
      <c r="O232" s="18">
        <f>IF(OR($E232="",$F232=""),"",MAX(0,MIN($F232,REFERENCE_DEPTH_CM)-MIN($E232,REFERENCE_DEPTH_CM)))</f>
        <v/>
      </c>
      <c r="P232" s="18">
        <f>IF(OR($J232="",$N232="",$G232=""),"",$J232*($N232/100)*$G232*10)</f>
        <v/>
      </c>
      <c r="Q232" s="18">
        <f>IF(OR($J232="",$N232="",$O232=""),"",$J232*($N232/100)*$O232*10)</f>
        <v/>
      </c>
      <c r="R232" s="18">
        <f>IF(OR(NOT(ISNUMBER($P232)),NOT(ISNUMBER($G232)),$G232=0),0,$P232/$G232)</f>
        <v/>
      </c>
      <c r="S232" s="18">
        <f>IF(OR($B232="",NOT(ISNUMBER($F232))),"",SUMIFS('3. Peat Data'!$P$5:$P$604,'3. Peat Data'!$B$5:$B$604,$B232,'3. Peat Data'!$F$5:$F$604,"&lt;="&amp;$F232))</f>
        <v/>
      </c>
      <c r="T232" s="18">
        <f>IF(AND($A232="",$B232="",$E232=""),"",IF(AND($B232&lt;&gt;"",COUNTIF('2. Core Log'!$A$5:$A$124,$B232)=0),"Core ID not in Core Log. ","")&amp;IF(AND($A232&lt;&gt;"",COUNTIF('1. Plot &amp; Site Log'!$A$5:$A$64,$A232)=0),"Plot ID not in Plot &amp; Site Log. ","")&amp;IF(AND(ISNUMBER($E232),ISNUMBER($F232),$F232&lt;=$E232),"Bottom depth is not below top depth. ","")&amp;IF($I232="","Say which bulk-density basis the lab reported. ","")&amp;IF(AND(ISNUMBER($J232),OR($J232&lt;QC_BD_MIN,$J232&gt;QC_BD_MAX)),"Bulk density outside "&amp;QC_BD_MIN&amp;"–"&amp;QC_BD_MAX&amp;" g/cm³ for peat. Above the top of that range usually means the mineral contact has been passed. ","")&amp;IF(AND(ISNUMBER($N232),$N232&gt;QC_CARBON_PCT_MAX),"Carbon above "&amp;QC_CARBON_PCT_MAX&amp;"% — check units; this may be organic matter rather than carbon. ","")&amp;IF(AND($L232&lt;&gt;"",$M232&lt;&gt;""),"Both LOI and measured carbon given — the measured value is used. ","")&amp;IF(AND($M232="",$L232&lt;&gt;"",OM_FACTOR_IS_LOCAL&lt;&gt;"Yes"),"Carbon derived from LOI using the default factor of "&amp;CARBON_FRACTION_OM&amp;", which has not been calibrated locally. See R1. Reference. ","")&amp;IF(AND(ISNUMBER($O232),$O232=0,ISNUMBER($E232)),"Section lies entirely below the reference depth — it counts to the full-profile stock only. ",""))</f>
        <v/>
      </c>
      <c r="U232" s="14" t="n"/>
    </row>
    <row r="233">
      <c r="A233" s="14" t="n"/>
      <c r="B233" s="14" t="n"/>
      <c r="C233" s="14" t="n"/>
      <c r="D233" s="14" t="n"/>
      <c r="E233" s="14" t="n"/>
      <c r="F233" s="14" t="n"/>
      <c r="G233" s="14">
        <f>IF(OR($E233="",$F233=""),"",$F233-$E233)</f>
        <v/>
      </c>
      <c r="H233" s="14" t="n"/>
      <c r="I233" s="14" t="n"/>
      <c r="J233" s="19" t="n"/>
      <c r="K233" s="19" t="n"/>
      <c r="L233" s="19" t="n"/>
      <c r="M233" s="19" t="n"/>
      <c r="N233" s="18">
        <f>IF($M233&lt;&gt;"",$M233,IF($L233&lt;&gt;"",$L233*CARBON_FRACTION_OM,""))</f>
        <v/>
      </c>
      <c r="O233" s="18">
        <f>IF(OR($E233="",$F233=""),"",MAX(0,MIN($F233,REFERENCE_DEPTH_CM)-MIN($E233,REFERENCE_DEPTH_CM)))</f>
        <v/>
      </c>
      <c r="P233" s="18">
        <f>IF(OR($J233="",$N233="",$G233=""),"",$J233*($N233/100)*$G233*10)</f>
        <v/>
      </c>
      <c r="Q233" s="18">
        <f>IF(OR($J233="",$N233="",$O233=""),"",$J233*($N233/100)*$O233*10)</f>
        <v/>
      </c>
      <c r="R233" s="18">
        <f>IF(OR(NOT(ISNUMBER($P233)),NOT(ISNUMBER($G233)),$G233=0),0,$P233/$G233)</f>
        <v/>
      </c>
      <c r="S233" s="18">
        <f>IF(OR($B233="",NOT(ISNUMBER($F233))),"",SUMIFS('3. Peat Data'!$P$5:$P$604,'3. Peat Data'!$B$5:$B$604,$B233,'3. Peat Data'!$F$5:$F$604,"&lt;="&amp;$F233))</f>
        <v/>
      </c>
      <c r="T233" s="18">
        <f>IF(AND($A233="",$B233="",$E233=""),"",IF(AND($B233&lt;&gt;"",COUNTIF('2. Core Log'!$A$5:$A$124,$B233)=0),"Core ID not in Core Log. ","")&amp;IF(AND($A233&lt;&gt;"",COUNTIF('1. Plot &amp; Site Log'!$A$5:$A$64,$A233)=0),"Plot ID not in Plot &amp; Site Log. ","")&amp;IF(AND(ISNUMBER($E233),ISNUMBER($F233),$F233&lt;=$E233),"Bottom depth is not below top depth. ","")&amp;IF($I233="","Say which bulk-density basis the lab reported. ","")&amp;IF(AND(ISNUMBER($J233),OR($J233&lt;QC_BD_MIN,$J233&gt;QC_BD_MAX)),"Bulk density outside "&amp;QC_BD_MIN&amp;"–"&amp;QC_BD_MAX&amp;" g/cm³ for peat. Above the top of that range usually means the mineral contact has been passed. ","")&amp;IF(AND(ISNUMBER($N233),$N233&gt;QC_CARBON_PCT_MAX),"Carbon above "&amp;QC_CARBON_PCT_MAX&amp;"% — check units; this may be organic matter rather than carbon. ","")&amp;IF(AND($L233&lt;&gt;"",$M233&lt;&gt;""),"Both LOI and measured carbon given — the measured value is used. ","")&amp;IF(AND($M233="",$L233&lt;&gt;"",OM_FACTOR_IS_LOCAL&lt;&gt;"Yes"),"Carbon derived from LOI using the default factor of "&amp;CARBON_FRACTION_OM&amp;", which has not been calibrated locally. See R1. Reference. ","")&amp;IF(AND(ISNUMBER($O233),$O233=0,ISNUMBER($E233)),"Section lies entirely below the reference depth — it counts to the full-profile stock only. ",""))</f>
        <v/>
      </c>
      <c r="U233" s="14" t="n"/>
    </row>
    <row r="234">
      <c r="A234" s="14" t="n"/>
      <c r="B234" s="14" t="n"/>
      <c r="C234" s="14" t="n"/>
      <c r="D234" s="14" t="n"/>
      <c r="E234" s="14" t="n"/>
      <c r="F234" s="14" t="n"/>
      <c r="G234" s="14">
        <f>IF(OR($E234="",$F234=""),"",$F234-$E234)</f>
        <v/>
      </c>
      <c r="H234" s="14" t="n"/>
      <c r="I234" s="14" t="n"/>
      <c r="J234" s="19" t="n"/>
      <c r="K234" s="19" t="n"/>
      <c r="L234" s="19" t="n"/>
      <c r="M234" s="19" t="n"/>
      <c r="N234" s="18">
        <f>IF($M234&lt;&gt;"",$M234,IF($L234&lt;&gt;"",$L234*CARBON_FRACTION_OM,""))</f>
        <v/>
      </c>
      <c r="O234" s="18">
        <f>IF(OR($E234="",$F234=""),"",MAX(0,MIN($F234,REFERENCE_DEPTH_CM)-MIN($E234,REFERENCE_DEPTH_CM)))</f>
        <v/>
      </c>
      <c r="P234" s="18">
        <f>IF(OR($J234="",$N234="",$G234=""),"",$J234*($N234/100)*$G234*10)</f>
        <v/>
      </c>
      <c r="Q234" s="18">
        <f>IF(OR($J234="",$N234="",$O234=""),"",$J234*($N234/100)*$O234*10)</f>
        <v/>
      </c>
      <c r="R234" s="18">
        <f>IF(OR(NOT(ISNUMBER($P234)),NOT(ISNUMBER($G234)),$G234=0),0,$P234/$G234)</f>
        <v/>
      </c>
      <c r="S234" s="18">
        <f>IF(OR($B234="",NOT(ISNUMBER($F234))),"",SUMIFS('3. Peat Data'!$P$5:$P$604,'3. Peat Data'!$B$5:$B$604,$B234,'3. Peat Data'!$F$5:$F$604,"&lt;="&amp;$F234))</f>
        <v/>
      </c>
      <c r="T234" s="18">
        <f>IF(AND($A234="",$B234="",$E234=""),"",IF(AND($B234&lt;&gt;"",COUNTIF('2. Core Log'!$A$5:$A$124,$B234)=0),"Core ID not in Core Log. ","")&amp;IF(AND($A234&lt;&gt;"",COUNTIF('1. Plot &amp; Site Log'!$A$5:$A$64,$A234)=0),"Plot ID not in Plot &amp; Site Log. ","")&amp;IF(AND(ISNUMBER($E234),ISNUMBER($F234),$F234&lt;=$E234),"Bottom depth is not below top depth. ","")&amp;IF($I234="","Say which bulk-density basis the lab reported. ","")&amp;IF(AND(ISNUMBER($J234),OR($J234&lt;QC_BD_MIN,$J234&gt;QC_BD_MAX)),"Bulk density outside "&amp;QC_BD_MIN&amp;"–"&amp;QC_BD_MAX&amp;" g/cm³ for peat. Above the top of that range usually means the mineral contact has been passed. ","")&amp;IF(AND(ISNUMBER($N234),$N234&gt;QC_CARBON_PCT_MAX),"Carbon above "&amp;QC_CARBON_PCT_MAX&amp;"% — check units; this may be organic matter rather than carbon. ","")&amp;IF(AND($L234&lt;&gt;"",$M234&lt;&gt;""),"Both LOI and measured carbon given — the measured value is used. ","")&amp;IF(AND($M234="",$L234&lt;&gt;"",OM_FACTOR_IS_LOCAL&lt;&gt;"Yes"),"Carbon derived from LOI using the default factor of "&amp;CARBON_FRACTION_OM&amp;", which has not been calibrated locally. See R1. Reference. ","")&amp;IF(AND(ISNUMBER($O234),$O234=0,ISNUMBER($E234)),"Section lies entirely below the reference depth — it counts to the full-profile stock only. ",""))</f>
        <v/>
      </c>
      <c r="U234" s="14" t="n"/>
    </row>
    <row r="235">
      <c r="A235" s="14" t="n"/>
      <c r="B235" s="14" t="n"/>
      <c r="C235" s="14" t="n"/>
      <c r="D235" s="14" t="n"/>
      <c r="E235" s="14" t="n"/>
      <c r="F235" s="14" t="n"/>
      <c r="G235" s="14">
        <f>IF(OR($E235="",$F235=""),"",$F235-$E235)</f>
        <v/>
      </c>
      <c r="H235" s="14" t="n"/>
      <c r="I235" s="14" t="n"/>
      <c r="J235" s="19" t="n"/>
      <c r="K235" s="19" t="n"/>
      <c r="L235" s="19" t="n"/>
      <c r="M235" s="19" t="n"/>
      <c r="N235" s="18">
        <f>IF($M235&lt;&gt;"",$M235,IF($L235&lt;&gt;"",$L235*CARBON_FRACTION_OM,""))</f>
        <v/>
      </c>
      <c r="O235" s="18">
        <f>IF(OR($E235="",$F235=""),"",MAX(0,MIN($F235,REFERENCE_DEPTH_CM)-MIN($E235,REFERENCE_DEPTH_CM)))</f>
        <v/>
      </c>
      <c r="P235" s="18">
        <f>IF(OR($J235="",$N235="",$G235=""),"",$J235*($N235/100)*$G235*10)</f>
        <v/>
      </c>
      <c r="Q235" s="18">
        <f>IF(OR($J235="",$N235="",$O235=""),"",$J235*($N235/100)*$O235*10)</f>
        <v/>
      </c>
      <c r="R235" s="18">
        <f>IF(OR(NOT(ISNUMBER($P235)),NOT(ISNUMBER($G235)),$G235=0),0,$P235/$G235)</f>
        <v/>
      </c>
      <c r="S235" s="18">
        <f>IF(OR($B235="",NOT(ISNUMBER($F235))),"",SUMIFS('3. Peat Data'!$P$5:$P$604,'3. Peat Data'!$B$5:$B$604,$B235,'3. Peat Data'!$F$5:$F$604,"&lt;="&amp;$F235))</f>
        <v/>
      </c>
      <c r="T235" s="18">
        <f>IF(AND($A235="",$B235="",$E235=""),"",IF(AND($B235&lt;&gt;"",COUNTIF('2. Core Log'!$A$5:$A$124,$B235)=0),"Core ID not in Core Log. ","")&amp;IF(AND($A235&lt;&gt;"",COUNTIF('1. Plot &amp; Site Log'!$A$5:$A$64,$A235)=0),"Plot ID not in Plot &amp; Site Log. ","")&amp;IF(AND(ISNUMBER($E235),ISNUMBER($F235),$F235&lt;=$E235),"Bottom depth is not below top depth. ","")&amp;IF($I235="","Say which bulk-density basis the lab reported. ","")&amp;IF(AND(ISNUMBER($J235),OR($J235&lt;QC_BD_MIN,$J235&gt;QC_BD_MAX)),"Bulk density outside "&amp;QC_BD_MIN&amp;"–"&amp;QC_BD_MAX&amp;" g/cm³ for peat. Above the top of that range usually means the mineral contact has been passed. ","")&amp;IF(AND(ISNUMBER($N235),$N235&gt;QC_CARBON_PCT_MAX),"Carbon above "&amp;QC_CARBON_PCT_MAX&amp;"% — check units; this may be organic matter rather than carbon. ","")&amp;IF(AND($L235&lt;&gt;"",$M235&lt;&gt;""),"Both LOI and measured carbon given — the measured value is used. ","")&amp;IF(AND($M235="",$L235&lt;&gt;"",OM_FACTOR_IS_LOCAL&lt;&gt;"Yes"),"Carbon derived from LOI using the default factor of "&amp;CARBON_FRACTION_OM&amp;", which has not been calibrated locally. See R1. Reference. ","")&amp;IF(AND(ISNUMBER($O235),$O235=0,ISNUMBER($E235)),"Section lies entirely below the reference depth — it counts to the full-profile stock only. ",""))</f>
        <v/>
      </c>
      <c r="U235" s="14" t="n"/>
    </row>
    <row r="236">
      <c r="A236" s="14" t="n"/>
      <c r="B236" s="14" t="n"/>
      <c r="C236" s="14" t="n"/>
      <c r="D236" s="14" t="n"/>
      <c r="E236" s="14" t="n"/>
      <c r="F236" s="14" t="n"/>
      <c r="G236" s="14">
        <f>IF(OR($E236="",$F236=""),"",$F236-$E236)</f>
        <v/>
      </c>
      <c r="H236" s="14" t="n"/>
      <c r="I236" s="14" t="n"/>
      <c r="J236" s="19" t="n"/>
      <c r="K236" s="19" t="n"/>
      <c r="L236" s="19" t="n"/>
      <c r="M236" s="19" t="n"/>
      <c r="N236" s="18">
        <f>IF($M236&lt;&gt;"",$M236,IF($L236&lt;&gt;"",$L236*CARBON_FRACTION_OM,""))</f>
        <v/>
      </c>
      <c r="O236" s="18">
        <f>IF(OR($E236="",$F236=""),"",MAX(0,MIN($F236,REFERENCE_DEPTH_CM)-MIN($E236,REFERENCE_DEPTH_CM)))</f>
        <v/>
      </c>
      <c r="P236" s="18">
        <f>IF(OR($J236="",$N236="",$G236=""),"",$J236*($N236/100)*$G236*10)</f>
        <v/>
      </c>
      <c r="Q236" s="18">
        <f>IF(OR($J236="",$N236="",$O236=""),"",$J236*($N236/100)*$O236*10)</f>
        <v/>
      </c>
      <c r="R236" s="18">
        <f>IF(OR(NOT(ISNUMBER($P236)),NOT(ISNUMBER($G236)),$G236=0),0,$P236/$G236)</f>
        <v/>
      </c>
      <c r="S236" s="18">
        <f>IF(OR($B236="",NOT(ISNUMBER($F236))),"",SUMIFS('3. Peat Data'!$P$5:$P$604,'3. Peat Data'!$B$5:$B$604,$B236,'3. Peat Data'!$F$5:$F$604,"&lt;="&amp;$F236))</f>
        <v/>
      </c>
      <c r="T236" s="18">
        <f>IF(AND($A236="",$B236="",$E236=""),"",IF(AND($B236&lt;&gt;"",COUNTIF('2. Core Log'!$A$5:$A$124,$B236)=0),"Core ID not in Core Log. ","")&amp;IF(AND($A236&lt;&gt;"",COUNTIF('1. Plot &amp; Site Log'!$A$5:$A$64,$A236)=0),"Plot ID not in Plot &amp; Site Log. ","")&amp;IF(AND(ISNUMBER($E236),ISNUMBER($F236),$F236&lt;=$E236),"Bottom depth is not below top depth. ","")&amp;IF($I236="","Say which bulk-density basis the lab reported. ","")&amp;IF(AND(ISNUMBER($J236),OR($J236&lt;QC_BD_MIN,$J236&gt;QC_BD_MAX)),"Bulk density outside "&amp;QC_BD_MIN&amp;"–"&amp;QC_BD_MAX&amp;" g/cm³ for peat. Above the top of that range usually means the mineral contact has been passed. ","")&amp;IF(AND(ISNUMBER($N236),$N236&gt;QC_CARBON_PCT_MAX),"Carbon above "&amp;QC_CARBON_PCT_MAX&amp;"% — check units; this may be organic matter rather than carbon. ","")&amp;IF(AND($L236&lt;&gt;"",$M236&lt;&gt;""),"Both LOI and measured carbon given — the measured value is used. ","")&amp;IF(AND($M236="",$L236&lt;&gt;"",OM_FACTOR_IS_LOCAL&lt;&gt;"Yes"),"Carbon derived from LOI using the default factor of "&amp;CARBON_FRACTION_OM&amp;", which has not been calibrated locally. See R1. Reference. ","")&amp;IF(AND(ISNUMBER($O236),$O236=0,ISNUMBER($E236)),"Section lies entirely below the reference depth — it counts to the full-profile stock only. ",""))</f>
        <v/>
      </c>
      <c r="U236" s="14" t="n"/>
    </row>
    <row r="237">
      <c r="A237" s="14" t="n"/>
      <c r="B237" s="14" t="n"/>
      <c r="C237" s="14" t="n"/>
      <c r="D237" s="14" t="n"/>
      <c r="E237" s="14" t="n"/>
      <c r="F237" s="14" t="n"/>
      <c r="G237" s="14">
        <f>IF(OR($E237="",$F237=""),"",$F237-$E237)</f>
        <v/>
      </c>
      <c r="H237" s="14" t="n"/>
      <c r="I237" s="14" t="n"/>
      <c r="J237" s="19" t="n"/>
      <c r="K237" s="19" t="n"/>
      <c r="L237" s="19" t="n"/>
      <c r="M237" s="19" t="n"/>
      <c r="N237" s="18">
        <f>IF($M237&lt;&gt;"",$M237,IF($L237&lt;&gt;"",$L237*CARBON_FRACTION_OM,""))</f>
        <v/>
      </c>
      <c r="O237" s="18">
        <f>IF(OR($E237="",$F237=""),"",MAX(0,MIN($F237,REFERENCE_DEPTH_CM)-MIN($E237,REFERENCE_DEPTH_CM)))</f>
        <v/>
      </c>
      <c r="P237" s="18">
        <f>IF(OR($J237="",$N237="",$G237=""),"",$J237*($N237/100)*$G237*10)</f>
        <v/>
      </c>
      <c r="Q237" s="18">
        <f>IF(OR($J237="",$N237="",$O237=""),"",$J237*($N237/100)*$O237*10)</f>
        <v/>
      </c>
      <c r="R237" s="18">
        <f>IF(OR(NOT(ISNUMBER($P237)),NOT(ISNUMBER($G237)),$G237=0),0,$P237/$G237)</f>
        <v/>
      </c>
      <c r="S237" s="18">
        <f>IF(OR($B237="",NOT(ISNUMBER($F237))),"",SUMIFS('3. Peat Data'!$P$5:$P$604,'3. Peat Data'!$B$5:$B$604,$B237,'3. Peat Data'!$F$5:$F$604,"&lt;="&amp;$F237))</f>
        <v/>
      </c>
      <c r="T237" s="18">
        <f>IF(AND($A237="",$B237="",$E237=""),"",IF(AND($B237&lt;&gt;"",COUNTIF('2. Core Log'!$A$5:$A$124,$B237)=0),"Core ID not in Core Log. ","")&amp;IF(AND($A237&lt;&gt;"",COUNTIF('1. Plot &amp; Site Log'!$A$5:$A$64,$A237)=0),"Plot ID not in Plot &amp; Site Log. ","")&amp;IF(AND(ISNUMBER($E237),ISNUMBER($F237),$F237&lt;=$E237),"Bottom depth is not below top depth. ","")&amp;IF($I237="","Say which bulk-density basis the lab reported. ","")&amp;IF(AND(ISNUMBER($J237),OR($J237&lt;QC_BD_MIN,$J237&gt;QC_BD_MAX)),"Bulk density outside "&amp;QC_BD_MIN&amp;"–"&amp;QC_BD_MAX&amp;" g/cm³ for peat. Above the top of that range usually means the mineral contact has been passed. ","")&amp;IF(AND(ISNUMBER($N237),$N237&gt;QC_CARBON_PCT_MAX),"Carbon above "&amp;QC_CARBON_PCT_MAX&amp;"% — check units; this may be organic matter rather than carbon. ","")&amp;IF(AND($L237&lt;&gt;"",$M237&lt;&gt;""),"Both LOI and measured carbon given — the measured value is used. ","")&amp;IF(AND($M237="",$L237&lt;&gt;"",OM_FACTOR_IS_LOCAL&lt;&gt;"Yes"),"Carbon derived from LOI using the default factor of "&amp;CARBON_FRACTION_OM&amp;", which has not been calibrated locally. See R1. Reference. ","")&amp;IF(AND(ISNUMBER($O237),$O237=0,ISNUMBER($E237)),"Section lies entirely below the reference depth — it counts to the full-profile stock only. ",""))</f>
        <v/>
      </c>
      <c r="U237" s="14" t="n"/>
    </row>
    <row r="238">
      <c r="A238" s="14" t="n"/>
      <c r="B238" s="14" t="n"/>
      <c r="C238" s="14" t="n"/>
      <c r="D238" s="14" t="n"/>
      <c r="E238" s="14" t="n"/>
      <c r="F238" s="14" t="n"/>
      <c r="G238" s="14">
        <f>IF(OR($E238="",$F238=""),"",$F238-$E238)</f>
        <v/>
      </c>
      <c r="H238" s="14" t="n"/>
      <c r="I238" s="14" t="n"/>
      <c r="J238" s="19" t="n"/>
      <c r="K238" s="19" t="n"/>
      <c r="L238" s="19" t="n"/>
      <c r="M238" s="19" t="n"/>
      <c r="N238" s="18">
        <f>IF($M238&lt;&gt;"",$M238,IF($L238&lt;&gt;"",$L238*CARBON_FRACTION_OM,""))</f>
        <v/>
      </c>
      <c r="O238" s="18">
        <f>IF(OR($E238="",$F238=""),"",MAX(0,MIN($F238,REFERENCE_DEPTH_CM)-MIN($E238,REFERENCE_DEPTH_CM)))</f>
        <v/>
      </c>
      <c r="P238" s="18">
        <f>IF(OR($J238="",$N238="",$G238=""),"",$J238*($N238/100)*$G238*10)</f>
        <v/>
      </c>
      <c r="Q238" s="18">
        <f>IF(OR($J238="",$N238="",$O238=""),"",$J238*($N238/100)*$O238*10)</f>
        <v/>
      </c>
      <c r="R238" s="18">
        <f>IF(OR(NOT(ISNUMBER($P238)),NOT(ISNUMBER($G238)),$G238=0),0,$P238/$G238)</f>
        <v/>
      </c>
      <c r="S238" s="18">
        <f>IF(OR($B238="",NOT(ISNUMBER($F238))),"",SUMIFS('3. Peat Data'!$P$5:$P$604,'3. Peat Data'!$B$5:$B$604,$B238,'3. Peat Data'!$F$5:$F$604,"&lt;="&amp;$F238))</f>
        <v/>
      </c>
      <c r="T238" s="18">
        <f>IF(AND($A238="",$B238="",$E238=""),"",IF(AND($B238&lt;&gt;"",COUNTIF('2. Core Log'!$A$5:$A$124,$B238)=0),"Core ID not in Core Log. ","")&amp;IF(AND($A238&lt;&gt;"",COUNTIF('1. Plot &amp; Site Log'!$A$5:$A$64,$A238)=0),"Plot ID not in Plot &amp; Site Log. ","")&amp;IF(AND(ISNUMBER($E238),ISNUMBER($F238),$F238&lt;=$E238),"Bottom depth is not below top depth. ","")&amp;IF($I238="","Say which bulk-density basis the lab reported. ","")&amp;IF(AND(ISNUMBER($J238),OR($J238&lt;QC_BD_MIN,$J238&gt;QC_BD_MAX)),"Bulk density outside "&amp;QC_BD_MIN&amp;"–"&amp;QC_BD_MAX&amp;" g/cm³ for peat. Above the top of that range usually means the mineral contact has been passed. ","")&amp;IF(AND(ISNUMBER($N238),$N238&gt;QC_CARBON_PCT_MAX),"Carbon above "&amp;QC_CARBON_PCT_MAX&amp;"% — check units; this may be organic matter rather than carbon. ","")&amp;IF(AND($L238&lt;&gt;"",$M238&lt;&gt;""),"Both LOI and measured carbon given — the measured value is used. ","")&amp;IF(AND($M238="",$L238&lt;&gt;"",OM_FACTOR_IS_LOCAL&lt;&gt;"Yes"),"Carbon derived from LOI using the default factor of "&amp;CARBON_FRACTION_OM&amp;", which has not been calibrated locally. See R1. Reference. ","")&amp;IF(AND(ISNUMBER($O238),$O238=0,ISNUMBER($E238)),"Section lies entirely below the reference depth — it counts to the full-profile stock only. ",""))</f>
        <v/>
      </c>
      <c r="U238" s="14" t="n"/>
    </row>
    <row r="239">
      <c r="A239" s="14" t="n"/>
      <c r="B239" s="14" t="n"/>
      <c r="C239" s="14" t="n"/>
      <c r="D239" s="14" t="n"/>
      <c r="E239" s="14" t="n"/>
      <c r="F239" s="14" t="n"/>
      <c r="G239" s="14">
        <f>IF(OR($E239="",$F239=""),"",$F239-$E239)</f>
        <v/>
      </c>
      <c r="H239" s="14" t="n"/>
      <c r="I239" s="14" t="n"/>
      <c r="J239" s="19" t="n"/>
      <c r="K239" s="19" t="n"/>
      <c r="L239" s="19" t="n"/>
      <c r="M239" s="19" t="n"/>
      <c r="N239" s="18">
        <f>IF($M239&lt;&gt;"",$M239,IF($L239&lt;&gt;"",$L239*CARBON_FRACTION_OM,""))</f>
        <v/>
      </c>
      <c r="O239" s="18">
        <f>IF(OR($E239="",$F239=""),"",MAX(0,MIN($F239,REFERENCE_DEPTH_CM)-MIN($E239,REFERENCE_DEPTH_CM)))</f>
        <v/>
      </c>
      <c r="P239" s="18">
        <f>IF(OR($J239="",$N239="",$G239=""),"",$J239*($N239/100)*$G239*10)</f>
        <v/>
      </c>
      <c r="Q239" s="18">
        <f>IF(OR($J239="",$N239="",$O239=""),"",$J239*($N239/100)*$O239*10)</f>
        <v/>
      </c>
      <c r="R239" s="18">
        <f>IF(OR(NOT(ISNUMBER($P239)),NOT(ISNUMBER($G239)),$G239=0),0,$P239/$G239)</f>
        <v/>
      </c>
      <c r="S239" s="18">
        <f>IF(OR($B239="",NOT(ISNUMBER($F239))),"",SUMIFS('3. Peat Data'!$P$5:$P$604,'3. Peat Data'!$B$5:$B$604,$B239,'3. Peat Data'!$F$5:$F$604,"&lt;="&amp;$F239))</f>
        <v/>
      </c>
      <c r="T239" s="18">
        <f>IF(AND($A239="",$B239="",$E239=""),"",IF(AND($B239&lt;&gt;"",COUNTIF('2. Core Log'!$A$5:$A$124,$B239)=0),"Core ID not in Core Log. ","")&amp;IF(AND($A239&lt;&gt;"",COUNTIF('1. Plot &amp; Site Log'!$A$5:$A$64,$A239)=0),"Plot ID not in Plot &amp; Site Log. ","")&amp;IF(AND(ISNUMBER($E239),ISNUMBER($F239),$F239&lt;=$E239),"Bottom depth is not below top depth. ","")&amp;IF($I239="","Say which bulk-density basis the lab reported. ","")&amp;IF(AND(ISNUMBER($J239),OR($J239&lt;QC_BD_MIN,$J239&gt;QC_BD_MAX)),"Bulk density outside "&amp;QC_BD_MIN&amp;"–"&amp;QC_BD_MAX&amp;" g/cm³ for peat. Above the top of that range usually means the mineral contact has been passed. ","")&amp;IF(AND(ISNUMBER($N239),$N239&gt;QC_CARBON_PCT_MAX),"Carbon above "&amp;QC_CARBON_PCT_MAX&amp;"% — check units; this may be organic matter rather than carbon. ","")&amp;IF(AND($L239&lt;&gt;"",$M239&lt;&gt;""),"Both LOI and measured carbon given — the measured value is used. ","")&amp;IF(AND($M239="",$L239&lt;&gt;"",OM_FACTOR_IS_LOCAL&lt;&gt;"Yes"),"Carbon derived from LOI using the default factor of "&amp;CARBON_FRACTION_OM&amp;", which has not been calibrated locally. See R1. Reference. ","")&amp;IF(AND(ISNUMBER($O239),$O239=0,ISNUMBER($E239)),"Section lies entirely below the reference depth — it counts to the full-profile stock only. ",""))</f>
        <v/>
      </c>
      <c r="U239" s="14" t="n"/>
    </row>
    <row r="240">
      <c r="A240" s="14" t="n"/>
      <c r="B240" s="14" t="n"/>
      <c r="C240" s="14" t="n"/>
      <c r="D240" s="14" t="n"/>
      <c r="E240" s="14" t="n"/>
      <c r="F240" s="14" t="n"/>
      <c r="G240" s="14">
        <f>IF(OR($E240="",$F240=""),"",$F240-$E240)</f>
        <v/>
      </c>
      <c r="H240" s="14" t="n"/>
      <c r="I240" s="14" t="n"/>
      <c r="J240" s="19" t="n"/>
      <c r="K240" s="19" t="n"/>
      <c r="L240" s="19" t="n"/>
      <c r="M240" s="19" t="n"/>
      <c r="N240" s="18">
        <f>IF($M240&lt;&gt;"",$M240,IF($L240&lt;&gt;"",$L240*CARBON_FRACTION_OM,""))</f>
        <v/>
      </c>
      <c r="O240" s="18">
        <f>IF(OR($E240="",$F240=""),"",MAX(0,MIN($F240,REFERENCE_DEPTH_CM)-MIN($E240,REFERENCE_DEPTH_CM)))</f>
        <v/>
      </c>
      <c r="P240" s="18">
        <f>IF(OR($J240="",$N240="",$G240=""),"",$J240*($N240/100)*$G240*10)</f>
        <v/>
      </c>
      <c r="Q240" s="18">
        <f>IF(OR($J240="",$N240="",$O240=""),"",$J240*($N240/100)*$O240*10)</f>
        <v/>
      </c>
      <c r="R240" s="18">
        <f>IF(OR(NOT(ISNUMBER($P240)),NOT(ISNUMBER($G240)),$G240=0),0,$P240/$G240)</f>
        <v/>
      </c>
      <c r="S240" s="18">
        <f>IF(OR($B240="",NOT(ISNUMBER($F240))),"",SUMIFS('3. Peat Data'!$P$5:$P$604,'3. Peat Data'!$B$5:$B$604,$B240,'3. Peat Data'!$F$5:$F$604,"&lt;="&amp;$F240))</f>
        <v/>
      </c>
      <c r="T240" s="18">
        <f>IF(AND($A240="",$B240="",$E240=""),"",IF(AND($B240&lt;&gt;"",COUNTIF('2. Core Log'!$A$5:$A$124,$B240)=0),"Core ID not in Core Log. ","")&amp;IF(AND($A240&lt;&gt;"",COUNTIF('1. Plot &amp; Site Log'!$A$5:$A$64,$A240)=0),"Plot ID not in Plot &amp; Site Log. ","")&amp;IF(AND(ISNUMBER($E240),ISNUMBER($F240),$F240&lt;=$E240),"Bottom depth is not below top depth. ","")&amp;IF($I240="","Say which bulk-density basis the lab reported. ","")&amp;IF(AND(ISNUMBER($J240),OR($J240&lt;QC_BD_MIN,$J240&gt;QC_BD_MAX)),"Bulk density outside "&amp;QC_BD_MIN&amp;"–"&amp;QC_BD_MAX&amp;" g/cm³ for peat. Above the top of that range usually means the mineral contact has been passed. ","")&amp;IF(AND(ISNUMBER($N240),$N240&gt;QC_CARBON_PCT_MAX),"Carbon above "&amp;QC_CARBON_PCT_MAX&amp;"% — check units; this may be organic matter rather than carbon. ","")&amp;IF(AND($L240&lt;&gt;"",$M240&lt;&gt;""),"Both LOI and measured carbon given — the measured value is used. ","")&amp;IF(AND($M240="",$L240&lt;&gt;"",OM_FACTOR_IS_LOCAL&lt;&gt;"Yes"),"Carbon derived from LOI using the default factor of "&amp;CARBON_FRACTION_OM&amp;", which has not been calibrated locally. See R1. Reference. ","")&amp;IF(AND(ISNUMBER($O240),$O240=0,ISNUMBER($E240)),"Section lies entirely below the reference depth — it counts to the full-profile stock only. ",""))</f>
        <v/>
      </c>
      <c r="U240" s="14" t="n"/>
    </row>
    <row r="241">
      <c r="A241" s="14" t="n"/>
      <c r="B241" s="14" t="n"/>
      <c r="C241" s="14" t="n"/>
      <c r="D241" s="14" t="n"/>
      <c r="E241" s="14" t="n"/>
      <c r="F241" s="14" t="n"/>
      <c r="G241" s="14">
        <f>IF(OR($E241="",$F241=""),"",$F241-$E241)</f>
        <v/>
      </c>
      <c r="H241" s="14" t="n"/>
      <c r="I241" s="14" t="n"/>
      <c r="J241" s="19" t="n"/>
      <c r="K241" s="19" t="n"/>
      <c r="L241" s="19" t="n"/>
      <c r="M241" s="19" t="n"/>
      <c r="N241" s="18">
        <f>IF($M241&lt;&gt;"",$M241,IF($L241&lt;&gt;"",$L241*CARBON_FRACTION_OM,""))</f>
        <v/>
      </c>
      <c r="O241" s="18">
        <f>IF(OR($E241="",$F241=""),"",MAX(0,MIN($F241,REFERENCE_DEPTH_CM)-MIN($E241,REFERENCE_DEPTH_CM)))</f>
        <v/>
      </c>
      <c r="P241" s="18">
        <f>IF(OR($J241="",$N241="",$G241=""),"",$J241*($N241/100)*$G241*10)</f>
        <v/>
      </c>
      <c r="Q241" s="18">
        <f>IF(OR($J241="",$N241="",$O241=""),"",$J241*($N241/100)*$O241*10)</f>
        <v/>
      </c>
      <c r="R241" s="18">
        <f>IF(OR(NOT(ISNUMBER($P241)),NOT(ISNUMBER($G241)),$G241=0),0,$P241/$G241)</f>
        <v/>
      </c>
      <c r="S241" s="18">
        <f>IF(OR($B241="",NOT(ISNUMBER($F241))),"",SUMIFS('3. Peat Data'!$P$5:$P$604,'3. Peat Data'!$B$5:$B$604,$B241,'3. Peat Data'!$F$5:$F$604,"&lt;="&amp;$F241))</f>
        <v/>
      </c>
      <c r="T241" s="18">
        <f>IF(AND($A241="",$B241="",$E241=""),"",IF(AND($B241&lt;&gt;"",COUNTIF('2. Core Log'!$A$5:$A$124,$B241)=0),"Core ID not in Core Log. ","")&amp;IF(AND($A241&lt;&gt;"",COUNTIF('1. Plot &amp; Site Log'!$A$5:$A$64,$A241)=0),"Plot ID not in Plot &amp; Site Log. ","")&amp;IF(AND(ISNUMBER($E241),ISNUMBER($F241),$F241&lt;=$E241),"Bottom depth is not below top depth. ","")&amp;IF($I241="","Say which bulk-density basis the lab reported. ","")&amp;IF(AND(ISNUMBER($J241),OR($J241&lt;QC_BD_MIN,$J241&gt;QC_BD_MAX)),"Bulk density outside "&amp;QC_BD_MIN&amp;"–"&amp;QC_BD_MAX&amp;" g/cm³ for peat. Above the top of that range usually means the mineral contact has been passed. ","")&amp;IF(AND(ISNUMBER($N241),$N241&gt;QC_CARBON_PCT_MAX),"Carbon above "&amp;QC_CARBON_PCT_MAX&amp;"% — check units; this may be organic matter rather than carbon. ","")&amp;IF(AND($L241&lt;&gt;"",$M241&lt;&gt;""),"Both LOI and measured carbon given — the measured value is used. ","")&amp;IF(AND($M241="",$L241&lt;&gt;"",OM_FACTOR_IS_LOCAL&lt;&gt;"Yes"),"Carbon derived from LOI using the default factor of "&amp;CARBON_FRACTION_OM&amp;", which has not been calibrated locally. See R1. Reference. ","")&amp;IF(AND(ISNUMBER($O241),$O241=0,ISNUMBER($E241)),"Section lies entirely below the reference depth — it counts to the full-profile stock only. ",""))</f>
        <v/>
      </c>
      <c r="U241" s="14" t="n"/>
    </row>
    <row r="242">
      <c r="A242" s="14" t="n"/>
      <c r="B242" s="14" t="n"/>
      <c r="C242" s="14" t="n"/>
      <c r="D242" s="14" t="n"/>
      <c r="E242" s="14" t="n"/>
      <c r="F242" s="14" t="n"/>
      <c r="G242" s="14">
        <f>IF(OR($E242="",$F242=""),"",$F242-$E242)</f>
        <v/>
      </c>
      <c r="H242" s="14" t="n"/>
      <c r="I242" s="14" t="n"/>
      <c r="J242" s="19" t="n"/>
      <c r="K242" s="19" t="n"/>
      <c r="L242" s="19" t="n"/>
      <c r="M242" s="19" t="n"/>
      <c r="N242" s="18">
        <f>IF($M242&lt;&gt;"",$M242,IF($L242&lt;&gt;"",$L242*CARBON_FRACTION_OM,""))</f>
        <v/>
      </c>
      <c r="O242" s="18">
        <f>IF(OR($E242="",$F242=""),"",MAX(0,MIN($F242,REFERENCE_DEPTH_CM)-MIN($E242,REFERENCE_DEPTH_CM)))</f>
        <v/>
      </c>
      <c r="P242" s="18">
        <f>IF(OR($J242="",$N242="",$G242=""),"",$J242*($N242/100)*$G242*10)</f>
        <v/>
      </c>
      <c r="Q242" s="18">
        <f>IF(OR($J242="",$N242="",$O242=""),"",$J242*($N242/100)*$O242*10)</f>
        <v/>
      </c>
      <c r="R242" s="18">
        <f>IF(OR(NOT(ISNUMBER($P242)),NOT(ISNUMBER($G242)),$G242=0),0,$P242/$G242)</f>
        <v/>
      </c>
      <c r="S242" s="18">
        <f>IF(OR($B242="",NOT(ISNUMBER($F242))),"",SUMIFS('3. Peat Data'!$P$5:$P$604,'3. Peat Data'!$B$5:$B$604,$B242,'3. Peat Data'!$F$5:$F$604,"&lt;="&amp;$F242))</f>
        <v/>
      </c>
      <c r="T242" s="18">
        <f>IF(AND($A242="",$B242="",$E242=""),"",IF(AND($B242&lt;&gt;"",COUNTIF('2. Core Log'!$A$5:$A$124,$B242)=0),"Core ID not in Core Log. ","")&amp;IF(AND($A242&lt;&gt;"",COUNTIF('1. Plot &amp; Site Log'!$A$5:$A$64,$A242)=0),"Plot ID not in Plot &amp; Site Log. ","")&amp;IF(AND(ISNUMBER($E242),ISNUMBER($F242),$F242&lt;=$E242),"Bottom depth is not below top depth. ","")&amp;IF($I242="","Say which bulk-density basis the lab reported. ","")&amp;IF(AND(ISNUMBER($J242),OR($J242&lt;QC_BD_MIN,$J242&gt;QC_BD_MAX)),"Bulk density outside "&amp;QC_BD_MIN&amp;"–"&amp;QC_BD_MAX&amp;" g/cm³ for peat. Above the top of that range usually means the mineral contact has been passed. ","")&amp;IF(AND(ISNUMBER($N242),$N242&gt;QC_CARBON_PCT_MAX),"Carbon above "&amp;QC_CARBON_PCT_MAX&amp;"% — check units; this may be organic matter rather than carbon. ","")&amp;IF(AND($L242&lt;&gt;"",$M242&lt;&gt;""),"Both LOI and measured carbon given — the measured value is used. ","")&amp;IF(AND($M242="",$L242&lt;&gt;"",OM_FACTOR_IS_LOCAL&lt;&gt;"Yes"),"Carbon derived from LOI using the default factor of "&amp;CARBON_FRACTION_OM&amp;", which has not been calibrated locally. See R1. Reference. ","")&amp;IF(AND(ISNUMBER($O242),$O242=0,ISNUMBER($E242)),"Section lies entirely below the reference depth — it counts to the full-profile stock only. ",""))</f>
        <v/>
      </c>
      <c r="U242" s="14" t="n"/>
    </row>
    <row r="243">
      <c r="A243" s="14" t="n"/>
      <c r="B243" s="14" t="n"/>
      <c r="C243" s="14" t="n"/>
      <c r="D243" s="14" t="n"/>
      <c r="E243" s="14" t="n"/>
      <c r="F243" s="14" t="n"/>
      <c r="G243" s="14">
        <f>IF(OR($E243="",$F243=""),"",$F243-$E243)</f>
        <v/>
      </c>
      <c r="H243" s="14" t="n"/>
      <c r="I243" s="14" t="n"/>
      <c r="J243" s="19" t="n"/>
      <c r="K243" s="19" t="n"/>
      <c r="L243" s="19" t="n"/>
      <c r="M243" s="19" t="n"/>
      <c r="N243" s="18">
        <f>IF($M243&lt;&gt;"",$M243,IF($L243&lt;&gt;"",$L243*CARBON_FRACTION_OM,""))</f>
        <v/>
      </c>
      <c r="O243" s="18">
        <f>IF(OR($E243="",$F243=""),"",MAX(0,MIN($F243,REFERENCE_DEPTH_CM)-MIN($E243,REFERENCE_DEPTH_CM)))</f>
        <v/>
      </c>
      <c r="P243" s="18">
        <f>IF(OR($J243="",$N243="",$G243=""),"",$J243*($N243/100)*$G243*10)</f>
        <v/>
      </c>
      <c r="Q243" s="18">
        <f>IF(OR($J243="",$N243="",$O243=""),"",$J243*($N243/100)*$O243*10)</f>
        <v/>
      </c>
      <c r="R243" s="18">
        <f>IF(OR(NOT(ISNUMBER($P243)),NOT(ISNUMBER($G243)),$G243=0),0,$P243/$G243)</f>
        <v/>
      </c>
      <c r="S243" s="18">
        <f>IF(OR($B243="",NOT(ISNUMBER($F243))),"",SUMIFS('3. Peat Data'!$P$5:$P$604,'3. Peat Data'!$B$5:$B$604,$B243,'3. Peat Data'!$F$5:$F$604,"&lt;="&amp;$F243))</f>
        <v/>
      </c>
      <c r="T243" s="18">
        <f>IF(AND($A243="",$B243="",$E243=""),"",IF(AND($B243&lt;&gt;"",COUNTIF('2. Core Log'!$A$5:$A$124,$B243)=0),"Core ID not in Core Log. ","")&amp;IF(AND($A243&lt;&gt;"",COUNTIF('1. Plot &amp; Site Log'!$A$5:$A$64,$A243)=0),"Plot ID not in Plot &amp; Site Log. ","")&amp;IF(AND(ISNUMBER($E243),ISNUMBER($F243),$F243&lt;=$E243),"Bottom depth is not below top depth. ","")&amp;IF($I243="","Say which bulk-density basis the lab reported. ","")&amp;IF(AND(ISNUMBER($J243),OR($J243&lt;QC_BD_MIN,$J243&gt;QC_BD_MAX)),"Bulk density outside "&amp;QC_BD_MIN&amp;"–"&amp;QC_BD_MAX&amp;" g/cm³ for peat. Above the top of that range usually means the mineral contact has been passed. ","")&amp;IF(AND(ISNUMBER($N243),$N243&gt;QC_CARBON_PCT_MAX),"Carbon above "&amp;QC_CARBON_PCT_MAX&amp;"% — check units; this may be organic matter rather than carbon. ","")&amp;IF(AND($L243&lt;&gt;"",$M243&lt;&gt;""),"Both LOI and measured carbon given — the measured value is used. ","")&amp;IF(AND($M243="",$L243&lt;&gt;"",OM_FACTOR_IS_LOCAL&lt;&gt;"Yes"),"Carbon derived from LOI using the default factor of "&amp;CARBON_FRACTION_OM&amp;", which has not been calibrated locally. See R1. Reference. ","")&amp;IF(AND(ISNUMBER($O243),$O243=0,ISNUMBER($E243)),"Section lies entirely below the reference depth — it counts to the full-profile stock only. ",""))</f>
        <v/>
      </c>
      <c r="U243" s="14" t="n"/>
    </row>
    <row r="244">
      <c r="A244" s="14" t="n"/>
      <c r="B244" s="14" t="n"/>
      <c r="C244" s="14" t="n"/>
      <c r="D244" s="14" t="n"/>
      <c r="E244" s="14" t="n"/>
      <c r="F244" s="14" t="n"/>
      <c r="G244" s="14">
        <f>IF(OR($E244="",$F244=""),"",$F244-$E244)</f>
        <v/>
      </c>
      <c r="H244" s="14" t="n"/>
      <c r="I244" s="14" t="n"/>
      <c r="J244" s="19" t="n"/>
      <c r="K244" s="19" t="n"/>
      <c r="L244" s="19" t="n"/>
      <c r="M244" s="19" t="n"/>
      <c r="N244" s="18">
        <f>IF($M244&lt;&gt;"",$M244,IF($L244&lt;&gt;"",$L244*CARBON_FRACTION_OM,""))</f>
        <v/>
      </c>
      <c r="O244" s="18">
        <f>IF(OR($E244="",$F244=""),"",MAX(0,MIN($F244,REFERENCE_DEPTH_CM)-MIN($E244,REFERENCE_DEPTH_CM)))</f>
        <v/>
      </c>
      <c r="P244" s="18">
        <f>IF(OR($J244="",$N244="",$G244=""),"",$J244*($N244/100)*$G244*10)</f>
        <v/>
      </c>
      <c r="Q244" s="18">
        <f>IF(OR($J244="",$N244="",$O244=""),"",$J244*($N244/100)*$O244*10)</f>
        <v/>
      </c>
      <c r="R244" s="18">
        <f>IF(OR(NOT(ISNUMBER($P244)),NOT(ISNUMBER($G244)),$G244=0),0,$P244/$G244)</f>
        <v/>
      </c>
      <c r="S244" s="18">
        <f>IF(OR($B244="",NOT(ISNUMBER($F244))),"",SUMIFS('3. Peat Data'!$P$5:$P$604,'3. Peat Data'!$B$5:$B$604,$B244,'3. Peat Data'!$F$5:$F$604,"&lt;="&amp;$F244))</f>
        <v/>
      </c>
      <c r="T244" s="18">
        <f>IF(AND($A244="",$B244="",$E244=""),"",IF(AND($B244&lt;&gt;"",COUNTIF('2. Core Log'!$A$5:$A$124,$B244)=0),"Core ID not in Core Log. ","")&amp;IF(AND($A244&lt;&gt;"",COUNTIF('1. Plot &amp; Site Log'!$A$5:$A$64,$A244)=0),"Plot ID not in Plot &amp; Site Log. ","")&amp;IF(AND(ISNUMBER($E244),ISNUMBER($F244),$F244&lt;=$E244),"Bottom depth is not below top depth. ","")&amp;IF($I244="","Say which bulk-density basis the lab reported. ","")&amp;IF(AND(ISNUMBER($J244),OR($J244&lt;QC_BD_MIN,$J244&gt;QC_BD_MAX)),"Bulk density outside "&amp;QC_BD_MIN&amp;"–"&amp;QC_BD_MAX&amp;" g/cm³ for peat. Above the top of that range usually means the mineral contact has been passed. ","")&amp;IF(AND(ISNUMBER($N244),$N244&gt;QC_CARBON_PCT_MAX),"Carbon above "&amp;QC_CARBON_PCT_MAX&amp;"% — check units; this may be organic matter rather than carbon. ","")&amp;IF(AND($L244&lt;&gt;"",$M244&lt;&gt;""),"Both LOI and measured carbon given — the measured value is used. ","")&amp;IF(AND($M244="",$L244&lt;&gt;"",OM_FACTOR_IS_LOCAL&lt;&gt;"Yes"),"Carbon derived from LOI using the default factor of "&amp;CARBON_FRACTION_OM&amp;", which has not been calibrated locally. See R1. Reference. ","")&amp;IF(AND(ISNUMBER($O244),$O244=0,ISNUMBER($E244)),"Section lies entirely below the reference depth — it counts to the full-profile stock only. ",""))</f>
        <v/>
      </c>
      <c r="U244" s="14" t="n"/>
    </row>
    <row r="245">
      <c r="A245" s="14" t="n"/>
      <c r="B245" s="14" t="n"/>
      <c r="C245" s="14" t="n"/>
      <c r="D245" s="14" t="n"/>
      <c r="E245" s="14" t="n"/>
      <c r="F245" s="14" t="n"/>
      <c r="G245" s="14">
        <f>IF(OR($E245="",$F245=""),"",$F245-$E245)</f>
        <v/>
      </c>
      <c r="H245" s="14" t="n"/>
      <c r="I245" s="14" t="n"/>
      <c r="J245" s="19" t="n"/>
      <c r="K245" s="19" t="n"/>
      <c r="L245" s="19" t="n"/>
      <c r="M245" s="19" t="n"/>
      <c r="N245" s="18">
        <f>IF($M245&lt;&gt;"",$M245,IF($L245&lt;&gt;"",$L245*CARBON_FRACTION_OM,""))</f>
        <v/>
      </c>
      <c r="O245" s="18">
        <f>IF(OR($E245="",$F245=""),"",MAX(0,MIN($F245,REFERENCE_DEPTH_CM)-MIN($E245,REFERENCE_DEPTH_CM)))</f>
        <v/>
      </c>
      <c r="P245" s="18">
        <f>IF(OR($J245="",$N245="",$G245=""),"",$J245*($N245/100)*$G245*10)</f>
        <v/>
      </c>
      <c r="Q245" s="18">
        <f>IF(OR($J245="",$N245="",$O245=""),"",$J245*($N245/100)*$O245*10)</f>
        <v/>
      </c>
      <c r="R245" s="18">
        <f>IF(OR(NOT(ISNUMBER($P245)),NOT(ISNUMBER($G245)),$G245=0),0,$P245/$G245)</f>
        <v/>
      </c>
      <c r="S245" s="18">
        <f>IF(OR($B245="",NOT(ISNUMBER($F245))),"",SUMIFS('3. Peat Data'!$P$5:$P$604,'3. Peat Data'!$B$5:$B$604,$B245,'3. Peat Data'!$F$5:$F$604,"&lt;="&amp;$F245))</f>
        <v/>
      </c>
      <c r="T245" s="18">
        <f>IF(AND($A245="",$B245="",$E245=""),"",IF(AND($B245&lt;&gt;"",COUNTIF('2. Core Log'!$A$5:$A$124,$B245)=0),"Core ID not in Core Log. ","")&amp;IF(AND($A245&lt;&gt;"",COUNTIF('1. Plot &amp; Site Log'!$A$5:$A$64,$A245)=0),"Plot ID not in Plot &amp; Site Log. ","")&amp;IF(AND(ISNUMBER($E245),ISNUMBER($F245),$F245&lt;=$E245),"Bottom depth is not below top depth. ","")&amp;IF($I245="","Say which bulk-density basis the lab reported. ","")&amp;IF(AND(ISNUMBER($J245),OR($J245&lt;QC_BD_MIN,$J245&gt;QC_BD_MAX)),"Bulk density outside "&amp;QC_BD_MIN&amp;"–"&amp;QC_BD_MAX&amp;" g/cm³ for peat. Above the top of that range usually means the mineral contact has been passed. ","")&amp;IF(AND(ISNUMBER($N245),$N245&gt;QC_CARBON_PCT_MAX),"Carbon above "&amp;QC_CARBON_PCT_MAX&amp;"% — check units; this may be organic matter rather than carbon. ","")&amp;IF(AND($L245&lt;&gt;"",$M245&lt;&gt;""),"Both LOI and measured carbon given — the measured value is used. ","")&amp;IF(AND($M245="",$L245&lt;&gt;"",OM_FACTOR_IS_LOCAL&lt;&gt;"Yes"),"Carbon derived from LOI using the default factor of "&amp;CARBON_FRACTION_OM&amp;", which has not been calibrated locally. See R1. Reference. ","")&amp;IF(AND(ISNUMBER($O245),$O245=0,ISNUMBER($E245)),"Section lies entirely below the reference depth — it counts to the full-profile stock only. ",""))</f>
        <v/>
      </c>
      <c r="U245" s="14" t="n"/>
    </row>
    <row r="246">
      <c r="A246" s="14" t="n"/>
      <c r="B246" s="14" t="n"/>
      <c r="C246" s="14" t="n"/>
      <c r="D246" s="14" t="n"/>
      <c r="E246" s="14" t="n"/>
      <c r="F246" s="14" t="n"/>
      <c r="G246" s="14">
        <f>IF(OR($E246="",$F246=""),"",$F246-$E246)</f>
        <v/>
      </c>
      <c r="H246" s="14" t="n"/>
      <c r="I246" s="14" t="n"/>
      <c r="J246" s="19" t="n"/>
      <c r="K246" s="19" t="n"/>
      <c r="L246" s="19" t="n"/>
      <c r="M246" s="19" t="n"/>
      <c r="N246" s="18">
        <f>IF($M246&lt;&gt;"",$M246,IF($L246&lt;&gt;"",$L246*CARBON_FRACTION_OM,""))</f>
        <v/>
      </c>
      <c r="O246" s="18">
        <f>IF(OR($E246="",$F246=""),"",MAX(0,MIN($F246,REFERENCE_DEPTH_CM)-MIN($E246,REFERENCE_DEPTH_CM)))</f>
        <v/>
      </c>
      <c r="P246" s="18">
        <f>IF(OR($J246="",$N246="",$G246=""),"",$J246*($N246/100)*$G246*10)</f>
        <v/>
      </c>
      <c r="Q246" s="18">
        <f>IF(OR($J246="",$N246="",$O246=""),"",$J246*($N246/100)*$O246*10)</f>
        <v/>
      </c>
      <c r="R246" s="18">
        <f>IF(OR(NOT(ISNUMBER($P246)),NOT(ISNUMBER($G246)),$G246=0),0,$P246/$G246)</f>
        <v/>
      </c>
      <c r="S246" s="18">
        <f>IF(OR($B246="",NOT(ISNUMBER($F246))),"",SUMIFS('3. Peat Data'!$P$5:$P$604,'3. Peat Data'!$B$5:$B$604,$B246,'3. Peat Data'!$F$5:$F$604,"&lt;="&amp;$F246))</f>
        <v/>
      </c>
      <c r="T246" s="18">
        <f>IF(AND($A246="",$B246="",$E246=""),"",IF(AND($B246&lt;&gt;"",COUNTIF('2. Core Log'!$A$5:$A$124,$B246)=0),"Core ID not in Core Log. ","")&amp;IF(AND($A246&lt;&gt;"",COUNTIF('1. Plot &amp; Site Log'!$A$5:$A$64,$A246)=0),"Plot ID not in Plot &amp; Site Log. ","")&amp;IF(AND(ISNUMBER($E246),ISNUMBER($F246),$F246&lt;=$E246),"Bottom depth is not below top depth. ","")&amp;IF($I246="","Say which bulk-density basis the lab reported. ","")&amp;IF(AND(ISNUMBER($J246),OR($J246&lt;QC_BD_MIN,$J246&gt;QC_BD_MAX)),"Bulk density outside "&amp;QC_BD_MIN&amp;"–"&amp;QC_BD_MAX&amp;" g/cm³ for peat. Above the top of that range usually means the mineral contact has been passed. ","")&amp;IF(AND(ISNUMBER($N246),$N246&gt;QC_CARBON_PCT_MAX),"Carbon above "&amp;QC_CARBON_PCT_MAX&amp;"% — check units; this may be organic matter rather than carbon. ","")&amp;IF(AND($L246&lt;&gt;"",$M246&lt;&gt;""),"Both LOI and measured carbon given — the measured value is used. ","")&amp;IF(AND($M246="",$L246&lt;&gt;"",OM_FACTOR_IS_LOCAL&lt;&gt;"Yes"),"Carbon derived from LOI using the default factor of "&amp;CARBON_FRACTION_OM&amp;", which has not been calibrated locally. See R1. Reference. ","")&amp;IF(AND(ISNUMBER($O246),$O246=0,ISNUMBER($E246)),"Section lies entirely below the reference depth — it counts to the full-profile stock only. ",""))</f>
        <v/>
      </c>
      <c r="U246" s="14" t="n"/>
    </row>
    <row r="247">
      <c r="A247" s="14" t="n"/>
      <c r="B247" s="14" t="n"/>
      <c r="C247" s="14" t="n"/>
      <c r="D247" s="14" t="n"/>
      <c r="E247" s="14" t="n"/>
      <c r="F247" s="14" t="n"/>
      <c r="G247" s="14">
        <f>IF(OR($E247="",$F247=""),"",$F247-$E247)</f>
        <v/>
      </c>
      <c r="H247" s="14" t="n"/>
      <c r="I247" s="14" t="n"/>
      <c r="J247" s="19" t="n"/>
      <c r="K247" s="19" t="n"/>
      <c r="L247" s="19" t="n"/>
      <c r="M247" s="19" t="n"/>
      <c r="N247" s="18">
        <f>IF($M247&lt;&gt;"",$M247,IF($L247&lt;&gt;"",$L247*CARBON_FRACTION_OM,""))</f>
        <v/>
      </c>
      <c r="O247" s="18">
        <f>IF(OR($E247="",$F247=""),"",MAX(0,MIN($F247,REFERENCE_DEPTH_CM)-MIN($E247,REFERENCE_DEPTH_CM)))</f>
        <v/>
      </c>
      <c r="P247" s="18">
        <f>IF(OR($J247="",$N247="",$G247=""),"",$J247*($N247/100)*$G247*10)</f>
        <v/>
      </c>
      <c r="Q247" s="18">
        <f>IF(OR($J247="",$N247="",$O247=""),"",$J247*($N247/100)*$O247*10)</f>
        <v/>
      </c>
      <c r="R247" s="18">
        <f>IF(OR(NOT(ISNUMBER($P247)),NOT(ISNUMBER($G247)),$G247=0),0,$P247/$G247)</f>
        <v/>
      </c>
      <c r="S247" s="18">
        <f>IF(OR($B247="",NOT(ISNUMBER($F247))),"",SUMIFS('3. Peat Data'!$P$5:$P$604,'3. Peat Data'!$B$5:$B$604,$B247,'3. Peat Data'!$F$5:$F$604,"&lt;="&amp;$F247))</f>
        <v/>
      </c>
      <c r="T247" s="18">
        <f>IF(AND($A247="",$B247="",$E247=""),"",IF(AND($B247&lt;&gt;"",COUNTIF('2. Core Log'!$A$5:$A$124,$B247)=0),"Core ID not in Core Log. ","")&amp;IF(AND($A247&lt;&gt;"",COUNTIF('1. Plot &amp; Site Log'!$A$5:$A$64,$A247)=0),"Plot ID not in Plot &amp; Site Log. ","")&amp;IF(AND(ISNUMBER($E247),ISNUMBER($F247),$F247&lt;=$E247),"Bottom depth is not below top depth. ","")&amp;IF($I247="","Say which bulk-density basis the lab reported. ","")&amp;IF(AND(ISNUMBER($J247),OR($J247&lt;QC_BD_MIN,$J247&gt;QC_BD_MAX)),"Bulk density outside "&amp;QC_BD_MIN&amp;"–"&amp;QC_BD_MAX&amp;" g/cm³ for peat. Above the top of that range usually means the mineral contact has been passed. ","")&amp;IF(AND(ISNUMBER($N247),$N247&gt;QC_CARBON_PCT_MAX),"Carbon above "&amp;QC_CARBON_PCT_MAX&amp;"% — check units; this may be organic matter rather than carbon. ","")&amp;IF(AND($L247&lt;&gt;"",$M247&lt;&gt;""),"Both LOI and measured carbon given — the measured value is used. ","")&amp;IF(AND($M247="",$L247&lt;&gt;"",OM_FACTOR_IS_LOCAL&lt;&gt;"Yes"),"Carbon derived from LOI using the default factor of "&amp;CARBON_FRACTION_OM&amp;", which has not been calibrated locally. See R1. Reference. ","")&amp;IF(AND(ISNUMBER($O247),$O247=0,ISNUMBER($E247)),"Section lies entirely below the reference depth — it counts to the full-profile stock only. ",""))</f>
        <v/>
      </c>
      <c r="U247" s="14" t="n"/>
    </row>
    <row r="248">
      <c r="A248" s="14" t="n"/>
      <c r="B248" s="14" t="n"/>
      <c r="C248" s="14" t="n"/>
      <c r="D248" s="14" t="n"/>
      <c r="E248" s="14" t="n"/>
      <c r="F248" s="14" t="n"/>
      <c r="G248" s="14">
        <f>IF(OR($E248="",$F248=""),"",$F248-$E248)</f>
        <v/>
      </c>
      <c r="H248" s="14" t="n"/>
      <c r="I248" s="14" t="n"/>
      <c r="J248" s="19" t="n"/>
      <c r="K248" s="19" t="n"/>
      <c r="L248" s="19" t="n"/>
      <c r="M248" s="19" t="n"/>
      <c r="N248" s="18">
        <f>IF($M248&lt;&gt;"",$M248,IF($L248&lt;&gt;"",$L248*CARBON_FRACTION_OM,""))</f>
        <v/>
      </c>
      <c r="O248" s="18">
        <f>IF(OR($E248="",$F248=""),"",MAX(0,MIN($F248,REFERENCE_DEPTH_CM)-MIN($E248,REFERENCE_DEPTH_CM)))</f>
        <v/>
      </c>
      <c r="P248" s="18">
        <f>IF(OR($J248="",$N248="",$G248=""),"",$J248*($N248/100)*$G248*10)</f>
        <v/>
      </c>
      <c r="Q248" s="18">
        <f>IF(OR($J248="",$N248="",$O248=""),"",$J248*($N248/100)*$O248*10)</f>
        <v/>
      </c>
      <c r="R248" s="18">
        <f>IF(OR(NOT(ISNUMBER($P248)),NOT(ISNUMBER($G248)),$G248=0),0,$P248/$G248)</f>
        <v/>
      </c>
      <c r="S248" s="18">
        <f>IF(OR($B248="",NOT(ISNUMBER($F248))),"",SUMIFS('3. Peat Data'!$P$5:$P$604,'3. Peat Data'!$B$5:$B$604,$B248,'3. Peat Data'!$F$5:$F$604,"&lt;="&amp;$F248))</f>
        <v/>
      </c>
      <c r="T248" s="18">
        <f>IF(AND($A248="",$B248="",$E248=""),"",IF(AND($B248&lt;&gt;"",COUNTIF('2. Core Log'!$A$5:$A$124,$B248)=0),"Core ID not in Core Log. ","")&amp;IF(AND($A248&lt;&gt;"",COUNTIF('1. Plot &amp; Site Log'!$A$5:$A$64,$A248)=0),"Plot ID not in Plot &amp; Site Log. ","")&amp;IF(AND(ISNUMBER($E248),ISNUMBER($F248),$F248&lt;=$E248),"Bottom depth is not below top depth. ","")&amp;IF($I248="","Say which bulk-density basis the lab reported. ","")&amp;IF(AND(ISNUMBER($J248),OR($J248&lt;QC_BD_MIN,$J248&gt;QC_BD_MAX)),"Bulk density outside "&amp;QC_BD_MIN&amp;"–"&amp;QC_BD_MAX&amp;" g/cm³ for peat. Above the top of that range usually means the mineral contact has been passed. ","")&amp;IF(AND(ISNUMBER($N248),$N248&gt;QC_CARBON_PCT_MAX),"Carbon above "&amp;QC_CARBON_PCT_MAX&amp;"% — check units; this may be organic matter rather than carbon. ","")&amp;IF(AND($L248&lt;&gt;"",$M248&lt;&gt;""),"Both LOI and measured carbon given — the measured value is used. ","")&amp;IF(AND($M248="",$L248&lt;&gt;"",OM_FACTOR_IS_LOCAL&lt;&gt;"Yes"),"Carbon derived from LOI using the default factor of "&amp;CARBON_FRACTION_OM&amp;", which has not been calibrated locally. See R1. Reference. ","")&amp;IF(AND(ISNUMBER($O248),$O248=0,ISNUMBER($E248)),"Section lies entirely below the reference depth — it counts to the full-profile stock only. ",""))</f>
        <v/>
      </c>
      <c r="U248" s="14" t="n"/>
    </row>
    <row r="249">
      <c r="A249" s="14" t="n"/>
      <c r="B249" s="14" t="n"/>
      <c r="C249" s="14" t="n"/>
      <c r="D249" s="14" t="n"/>
      <c r="E249" s="14" t="n"/>
      <c r="F249" s="14" t="n"/>
      <c r="G249" s="14">
        <f>IF(OR($E249="",$F249=""),"",$F249-$E249)</f>
        <v/>
      </c>
      <c r="H249" s="14" t="n"/>
      <c r="I249" s="14" t="n"/>
      <c r="J249" s="19" t="n"/>
      <c r="K249" s="19" t="n"/>
      <c r="L249" s="19" t="n"/>
      <c r="M249" s="19" t="n"/>
      <c r="N249" s="18">
        <f>IF($M249&lt;&gt;"",$M249,IF($L249&lt;&gt;"",$L249*CARBON_FRACTION_OM,""))</f>
        <v/>
      </c>
      <c r="O249" s="18">
        <f>IF(OR($E249="",$F249=""),"",MAX(0,MIN($F249,REFERENCE_DEPTH_CM)-MIN($E249,REFERENCE_DEPTH_CM)))</f>
        <v/>
      </c>
      <c r="P249" s="18">
        <f>IF(OR($J249="",$N249="",$G249=""),"",$J249*($N249/100)*$G249*10)</f>
        <v/>
      </c>
      <c r="Q249" s="18">
        <f>IF(OR($J249="",$N249="",$O249=""),"",$J249*($N249/100)*$O249*10)</f>
        <v/>
      </c>
      <c r="R249" s="18">
        <f>IF(OR(NOT(ISNUMBER($P249)),NOT(ISNUMBER($G249)),$G249=0),0,$P249/$G249)</f>
        <v/>
      </c>
      <c r="S249" s="18">
        <f>IF(OR($B249="",NOT(ISNUMBER($F249))),"",SUMIFS('3. Peat Data'!$P$5:$P$604,'3. Peat Data'!$B$5:$B$604,$B249,'3. Peat Data'!$F$5:$F$604,"&lt;="&amp;$F249))</f>
        <v/>
      </c>
      <c r="T249" s="18">
        <f>IF(AND($A249="",$B249="",$E249=""),"",IF(AND($B249&lt;&gt;"",COUNTIF('2. Core Log'!$A$5:$A$124,$B249)=0),"Core ID not in Core Log. ","")&amp;IF(AND($A249&lt;&gt;"",COUNTIF('1. Plot &amp; Site Log'!$A$5:$A$64,$A249)=0),"Plot ID not in Plot &amp; Site Log. ","")&amp;IF(AND(ISNUMBER($E249),ISNUMBER($F249),$F249&lt;=$E249),"Bottom depth is not below top depth. ","")&amp;IF($I249="","Say which bulk-density basis the lab reported. ","")&amp;IF(AND(ISNUMBER($J249),OR($J249&lt;QC_BD_MIN,$J249&gt;QC_BD_MAX)),"Bulk density outside "&amp;QC_BD_MIN&amp;"–"&amp;QC_BD_MAX&amp;" g/cm³ for peat. Above the top of that range usually means the mineral contact has been passed. ","")&amp;IF(AND(ISNUMBER($N249),$N249&gt;QC_CARBON_PCT_MAX),"Carbon above "&amp;QC_CARBON_PCT_MAX&amp;"% — check units; this may be organic matter rather than carbon. ","")&amp;IF(AND($L249&lt;&gt;"",$M249&lt;&gt;""),"Both LOI and measured carbon given — the measured value is used. ","")&amp;IF(AND($M249="",$L249&lt;&gt;"",OM_FACTOR_IS_LOCAL&lt;&gt;"Yes"),"Carbon derived from LOI using the default factor of "&amp;CARBON_FRACTION_OM&amp;", which has not been calibrated locally. See R1. Reference. ","")&amp;IF(AND(ISNUMBER($O249),$O249=0,ISNUMBER($E249)),"Section lies entirely below the reference depth — it counts to the full-profile stock only. ",""))</f>
        <v/>
      </c>
      <c r="U249" s="14" t="n"/>
    </row>
    <row r="250">
      <c r="A250" s="14" t="n"/>
      <c r="B250" s="14" t="n"/>
      <c r="C250" s="14" t="n"/>
      <c r="D250" s="14" t="n"/>
      <c r="E250" s="14" t="n"/>
      <c r="F250" s="14" t="n"/>
      <c r="G250" s="14">
        <f>IF(OR($E250="",$F250=""),"",$F250-$E250)</f>
        <v/>
      </c>
      <c r="H250" s="14" t="n"/>
      <c r="I250" s="14" t="n"/>
      <c r="J250" s="19" t="n"/>
      <c r="K250" s="19" t="n"/>
      <c r="L250" s="19" t="n"/>
      <c r="M250" s="19" t="n"/>
      <c r="N250" s="18">
        <f>IF($M250&lt;&gt;"",$M250,IF($L250&lt;&gt;"",$L250*CARBON_FRACTION_OM,""))</f>
        <v/>
      </c>
      <c r="O250" s="18">
        <f>IF(OR($E250="",$F250=""),"",MAX(0,MIN($F250,REFERENCE_DEPTH_CM)-MIN($E250,REFERENCE_DEPTH_CM)))</f>
        <v/>
      </c>
      <c r="P250" s="18">
        <f>IF(OR($J250="",$N250="",$G250=""),"",$J250*($N250/100)*$G250*10)</f>
        <v/>
      </c>
      <c r="Q250" s="18">
        <f>IF(OR($J250="",$N250="",$O250=""),"",$J250*($N250/100)*$O250*10)</f>
        <v/>
      </c>
      <c r="R250" s="18">
        <f>IF(OR(NOT(ISNUMBER($P250)),NOT(ISNUMBER($G250)),$G250=0),0,$P250/$G250)</f>
        <v/>
      </c>
      <c r="S250" s="18">
        <f>IF(OR($B250="",NOT(ISNUMBER($F250))),"",SUMIFS('3. Peat Data'!$P$5:$P$604,'3. Peat Data'!$B$5:$B$604,$B250,'3. Peat Data'!$F$5:$F$604,"&lt;="&amp;$F250))</f>
        <v/>
      </c>
      <c r="T250" s="18">
        <f>IF(AND($A250="",$B250="",$E250=""),"",IF(AND($B250&lt;&gt;"",COUNTIF('2. Core Log'!$A$5:$A$124,$B250)=0),"Core ID not in Core Log. ","")&amp;IF(AND($A250&lt;&gt;"",COUNTIF('1. Plot &amp; Site Log'!$A$5:$A$64,$A250)=0),"Plot ID not in Plot &amp; Site Log. ","")&amp;IF(AND(ISNUMBER($E250),ISNUMBER($F250),$F250&lt;=$E250),"Bottom depth is not below top depth. ","")&amp;IF($I250="","Say which bulk-density basis the lab reported. ","")&amp;IF(AND(ISNUMBER($J250),OR($J250&lt;QC_BD_MIN,$J250&gt;QC_BD_MAX)),"Bulk density outside "&amp;QC_BD_MIN&amp;"–"&amp;QC_BD_MAX&amp;" g/cm³ for peat. Above the top of that range usually means the mineral contact has been passed. ","")&amp;IF(AND(ISNUMBER($N250),$N250&gt;QC_CARBON_PCT_MAX),"Carbon above "&amp;QC_CARBON_PCT_MAX&amp;"% — check units; this may be organic matter rather than carbon. ","")&amp;IF(AND($L250&lt;&gt;"",$M250&lt;&gt;""),"Both LOI and measured carbon given — the measured value is used. ","")&amp;IF(AND($M250="",$L250&lt;&gt;"",OM_FACTOR_IS_LOCAL&lt;&gt;"Yes"),"Carbon derived from LOI using the default factor of "&amp;CARBON_FRACTION_OM&amp;", which has not been calibrated locally. See R1. Reference. ","")&amp;IF(AND(ISNUMBER($O250),$O250=0,ISNUMBER($E250)),"Section lies entirely below the reference depth — it counts to the full-profile stock only. ",""))</f>
        <v/>
      </c>
      <c r="U250" s="14" t="n"/>
    </row>
    <row r="251">
      <c r="A251" s="14" t="n"/>
      <c r="B251" s="14" t="n"/>
      <c r="C251" s="14" t="n"/>
      <c r="D251" s="14" t="n"/>
      <c r="E251" s="14" t="n"/>
      <c r="F251" s="14" t="n"/>
      <c r="G251" s="14">
        <f>IF(OR($E251="",$F251=""),"",$F251-$E251)</f>
        <v/>
      </c>
      <c r="H251" s="14" t="n"/>
      <c r="I251" s="14" t="n"/>
      <c r="J251" s="19" t="n"/>
      <c r="K251" s="19" t="n"/>
      <c r="L251" s="19" t="n"/>
      <c r="M251" s="19" t="n"/>
      <c r="N251" s="18">
        <f>IF($M251&lt;&gt;"",$M251,IF($L251&lt;&gt;"",$L251*CARBON_FRACTION_OM,""))</f>
        <v/>
      </c>
      <c r="O251" s="18">
        <f>IF(OR($E251="",$F251=""),"",MAX(0,MIN($F251,REFERENCE_DEPTH_CM)-MIN($E251,REFERENCE_DEPTH_CM)))</f>
        <v/>
      </c>
      <c r="P251" s="18">
        <f>IF(OR($J251="",$N251="",$G251=""),"",$J251*($N251/100)*$G251*10)</f>
        <v/>
      </c>
      <c r="Q251" s="18">
        <f>IF(OR($J251="",$N251="",$O251=""),"",$J251*($N251/100)*$O251*10)</f>
        <v/>
      </c>
      <c r="R251" s="18">
        <f>IF(OR(NOT(ISNUMBER($P251)),NOT(ISNUMBER($G251)),$G251=0),0,$P251/$G251)</f>
        <v/>
      </c>
      <c r="S251" s="18">
        <f>IF(OR($B251="",NOT(ISNUMBER($F251))),"",SUMIFS('3. Peat Data'!$P$5:$P$604,'3. Peat Data'!$B$5:$B$604,$B251,'3. Peat Data'!$F$5:$F$604,"&lt;="&amp;$F251))</f>
        <v/>
      </c>
      <c r="T251" s="18">
        <f>IF(AND($A251="",$B251="",$E251=""),"",IF(AND($B251&lt;&gt;"",COUNTIF('2. Core Log'!$A$5:$A$124,$B251)=0),"Core ID not in Core Log. ","")&amp;IF(AND($A251&lt;&gt;"",COUNTIF('1. Plot &amp; Site Log'!$A$5:$A$64,$A251)=0),"Plot ID not in Plot &amp; Site Log. ","")&amp;IF(AND(ISNUMBER($E251),ISNUMBER($F251),$F251&lt;=$E251),"Bottom depth is not below top depth. ","")&amp;IF($I251="","Say which bulk-density basis the lab reported. ","")&amp;IF(AND(ISNUMBER($J251),OR($J251&lt;QC_BD_MIN,$J251&gt;QC_BD_MAX)),"Bulk density outside "&amp;QC_BD_MIN&amp;"–"&amp;QC_BD_MAX&amp;" g/cm³ for peat. Above the top of that range usually means the mineral contact has been passed. ","")&amp;IF(AND(ISNUMBER($N251),$N251&gt;QC_CARBON_PCT_MAX),"Carbon above "&amp;QC_CARBON_PCT_MAX&amp;"% — check units; this may be organic matter rather than carbon. ","")&amp;IF(AND($L251&lt;&gt;"",$M251&lt;&gt;""),"Both LOI and measured carbon given — the measured value is used. ","")&amp;IF(AND($M251="",$L251&lt;&gt;"",OM_FACTOR_IS_LOCAL&lt;&gt;"Yes"),"Carbon derived from LOI using the default factor of "&amp;CARBON_FRACTION_OM&amp;", which has not been calibrated locally. See R1. Reference. ","")&amp;IF(AND(ISNUMBER($O251),$O251=0,ISNUMBER($E251)),"Section lies entirely below the reference depth — it counts to the full-profile stock only. ",""))</f>
        <v/>
      </c>
      <c r="U251" s="14" t="n"/>
    </row>
    <row r="252">
      <c r="A252" s="14" t="n"/>
      <c r="B252" s="14" t="n"/>
      <c r="C252" s="14" t="n"/>
      <c r="D252" s="14" t="n"/>
      <c r="E252" s="14" t="n"/>
      <c r="F252" s="14" t="n"/>
      <c r="G252" s="14">
        <f>IF(OR($E252="",$F252=""),"",$F252-$E252)</f>
        <v/>
      </c>
      <c r="H252" s="14" t="n"/>
      <c r="I252" s="14" t="n"/>
      <c r="J252" s="19" t="n"/>
      <c r="K252" s="19" t="n"/>
      <c r="L252" s="19" t="n"/>
      <c r="M252" s="19" t="n"/>
      <c r="N252" s="18">
        <f>IF($M252&lt;&gt;"",$M252,IF($L252&lt;&gt;"",$L252*CARBON_FRACTION_OM,""))</f>
        <v/>
      </c>
      <c r="O252" s="18">
        <f>IF(OR($E252="",$F252=""),"",MAX(0,MIN($F252,REFERENCE_DEPTH_CM)-MIN($E252,REFERENCE_DEPTH_CM)))</f>
        <v/>
      </c>
      <c r="P252" s="18">
        <f>IF(OR($J252="",$N252="",$G252=""),"",$J252*($N252/100)*$G252*10)</f>
        <v/>
      </c>
      <c r="Q252" s="18">
        <f>IF(OR($J252="",$N252="",$O252=""),"",$J252*($N252/100)*$O252*10)</f>
        <v/>
      </c>
      <c r="R252" s="18">
        <f>IF(OR(NOT(ISNUMBER($P252)),NOT(ISNUMBER($G252)),$G252=0),0,$P252/$G252)</f>
        <v/>
      </c>
      <c r="S252" s="18">
        <f>IF(OR($B252="",NOT(ISNUMBER($F252))),"",SUMIFS('3. Peat Data'!$P$5:$P$604,'3. Peat Data'!$B$5:$B$604,$B252,'3. Peat Data'!$F$5:$F$604,"&lt;="&amp;$F252))</f>
        <v/>
      </c>
      <c r="T252" s="18">
        <f>IF(AND($A252="",$B252="",$E252=""),"",IF(AND($B252&lt;&gt;"",COUNTIF('2. Core Log'!$A$5:$A$124,$B252)=0),"Core ID not in Core Log. ","")&amp;IF(AND($A252&lt;&gt;"",COUNTIF('1. Plot &amp; Site Log'!$A$5:$A$64,$A252)=0),"Plot ID not in Plot &amp; Site Log. ","")&amp;IF(AND(ISNUMBER($E252),ISNUMBER($F252),$F252&lt;=$E252),"Bottom depth is not below top depth. ","")&amp;IF($I252="","Say which bulk-density basis the lab reported. ","")&amp;IF(AND(ISNUMBER($J252),OR($J252&lt;QC_BD_MIN,$J252&gt;QC_BD_MAX)),"Bulk density outside "&amp;QC_BD_MIN&amp;"–"&amp;QC_BD_MAX&amp;" g/cm³ for peat. Above the top of that range usually means the mineral contact has been passed. ","")&amp;IF(AND(ISNUMBER($N252),$N252&gt;QC_CARBON_PCT_MAX),"Carbon above "&amp;QC_CARBON_PCT_MAX&amp;"% — check units; this may be organic matter rather than carbon. ","")&amp;IF(AND($L252&lt;&gt;"",$M252&lt;&gt;""),"Both LOI and measured carbon given — the measured value is used. ","")&amp;IF(AND($M252="",$L252&lt;&gt;"",OM_FACTOR_IS_LOCAL&lt;&gt;"Yes"),"Carbon derived from LOI using the default factor of "&amp;CARBON_FRACTION_OM&amp;", which has not been calibrated locally. See R1. Reference. ","")&amp;IF(AND(ISNUMBER($O252),$O252=0,ISNUMBER($E252)),"Section lies entirely below the reference depth — it counts to the full-profile stock only. ",""))</f>
        <v/>
      </c>
      <c r="U252" s="14" t="n"/>
    </row>
    <row r="253">
      <c r="A253" s="14" t="n"/>
      <c r="B253" s="14" t="n"/>
      <c r="C253" s="14" t="n"/>
      <c r="D253" s="14" t="n"/>
      <c r="E253" s="14" t="n"/>
      <c r="F253" s="14" t="n"/>
      <c r="G253" s="14">
        <f>IF(OR($E253="",$F253=""),"",$F253-$E253)</f>
        <v/>
      </c>
      <c r="H253" s="14" t="n"/>
      <c r="I253" s="14" t="n"/>
      <c r="J253" s="19" t="n"/>
      <c r="K253" s="19" t="n"/>
      <c r="L253" s="19" t="n"/>
      <c r="M253" s="19" t="n"/>
      <c r="N253" s="18">
        <f>IF($M253&lt;&gt;"",$M253,IF($L253&lt;&gt;"",$L253*CARBON_FRACTION_OM,""))</f>
        <v/>
      </c>
      <c r="O253" s="18">
        <f>IF(OR($E253="",$F253=""),"",MAX(0,MIN($F253,REFERENCE_DEPTH_CM)-MIN($E253,REFERENCE_DEPTH_CM)))</f>
        <v/>
      </c>
      <c r="P253" s="18">
        <f>IF(OR($J253="",$N253="",$G253=""),"",$J253*($N253/100)*$G253*10)</f>
        <v/>
      </c>
      <c r="Q253" s="18">
        <f>IF(OR($J253="",$N253="",$O253=""),"",$J253*($N253/100)*$O253*10)</f>
        <v/>
      </c>
      <c r="R253" s="18">
        <f>IF(OR(NOT(ISNUMBER($P253)),NOT(ISNUMBER($G253)),$G253=0),0,$P253/$G253)</f>
        <v/>
      </c>
      <c r="S253" s="18">
        <f>IF(OR($B253="",NOT(ISNUMBER($F253))),"",SUMIFS('3. Peat Data'!$P$5:$P$604,'3. Peat Data'!$B$5:$B$604,$B253,'3. Peat Data'!$F$5:$F$604,"&lt;="&amp;$F253))</f>
        <v/>
      </c>
      <c r="T253" s="18">
        <f>IF(AND($A253="",$B253="",$E253=""),"",IF(AND($B253&lt;&gt;"",COUNTIF('2. Core Log'!$A$5:$A$124,$B253)=0),"Core ID not in Core Log. ","")&amp;IF(AND($A253&lt;&gt;"",COUNTIF('1. Plot &amp; Site Log'!$A$5:$A$64,$A253)=0),"Plot ID not in Plot &amp; Site Log. ","")&amp;IF(AND(ISNUMBER($E253),ISNUMBER($F253),$F253&lt;=$E253),"Bottom depth is not below top depth. ","")&amp;IF($I253="","Say which bulk-density basis the lab reported. ","")&amp;IF(AND(ISNUMBER($J253),OR($J253&lt;QC_BD_MIN,$J253&gt;QC_BD_MAX)),"Bulk density outside "&amp;QC_BD_MIN&amp;"–"&amp;QC_BD_MAX&amp;" g/cm³ for peat. Above the top of that range usually means the mineral contact has been passed. ","")&amp;IF(AND(ISNUMBER($N253),$N253&gt;QC_CARBON_PCT_MAX),"Carbon above "&amp;QC_CARBON_PCT_MAX&amp;"% — check units; this may be organic matter rather than carbon. ","")&amp;IF(AND($L253&lt;&gt;"",$M253&lt;&gt;""),"Both LOI and measured carbon given — the measured value is used. ","")&amp;IF(AND($M253="",$L253&lt;&gt;"",OM_FACTOR_IS_LOCAL&lt;&gt;"Yes"),"Carbon derived from LOI using the default factor of "&amp;CARBON_FRACTION_OM&amp;", which has not been calibrated locally. See R1. Reference. ","")&amp;IF(AND(ISNUMBER($O253),$O253=0,ISNUMBER($E253)),"Section lies entirely below the reference depth — it counts to the full-profile stock only. ",""))</f>
        <v/>
      </c>
      <c r="U253" s="14" t="n"/>
    </row>
    <row r="254">
      <c r="A254" s="14" t="n"/>
      <c r="B254" s="14" t="n"/>
      <c r="C254" s="14" t="n"/>
      <c r="D254" s="14" t="n"/>
      <c r="E254" s="14" t="n"/>
      <c r="F254" s="14" t="n"/>
      <c r="G254" s="14">
        <f>IF(OR($E254="",$F254=""),"",$F254-$E254)</f>
        <v/>
      </c>
      <c r="H254" s="14" t="n"/>
      <c r="I254" s="14" t="n"/>
      <c r="J254" s="19" t="n"/>
      <c r="K254" s="19" t="n"/>
      <c r="L254" s="19" t="n"/>
      <c r="M254" s="19" t="n"/>
      <c r="N254" s="18">
        <f>IF($M254&lt;&gt;"",$M254,IF($L254&lt;&gt;"",$L254*CARBON_FRACTION_OM,""))</f>
        <v/>
      </c>
      <c r="O254" s="18">
        <f>IF(OR($E254="",$F254=""),"",MAX(0,MIN($F254,REFERENCE_DEPTH_CM)-MIN($E254,REFERENCE_DEPTH_CM)))</f>
        <v/>
      </c>
      <c r="P254" s="18">
        <f>IF(OR($J254="",$N254="",$G254=""),"",$J254*($N254/100)*$G254*10)</f>
        <v/>
      </c>
      <c r="Q254" s="18">
        <f>IF(OR($J254="",$N254="",$O254=""),"",$J254*($N254/100)*$O254*10)</f>
        <v/>
      </c>
      <c r="R254" s="18">
        <f>IF(OR(NOT(ISNUMBER($P254)),NOT(ISNUMBER($G254)),$G254=0),0,$P254/$G254)</f>
        <v/>
      </c>
      <c r="S254" s="18">
        <f>IF(OR($B254="",NOT(ISNUMBER($F254))),"",SUMIFS('3. Peat Data'!$P$5:$P$604,'3. Peat Data'!$B$5:$B$604,$B254,'3. Peat Data'!$F$5:$F$604,"&lt;="&amp;$F254))</f>
        <v/>
      </c>
      <c r="T254" s="18">
        <f>IF(AND($A254="",$B254="",$E254=""),"",IF(AND($B254&lt;&gt;"",COUNTIF('2. Core Log'!$A$5:$A$124,$B254)=0),"Core ID not in Core Log. ","")&amp;IF(AND($A254&lt;&gt;"",COUNTIF('1. Plot &amp; Site Log'!$A$5:$A$64,$A254)=0),"Plot ID not in Plot &amp; Site Log. ","")&amp;IF(AND(ISNUMBER($E254),ISNUMBER($F254),$F254&lt;=$E254),"Bottom depth is not below top depth. ","")&amp;IF($I254="","Say which bulk-density basis the lab reported. ","")&amp;IF(AND(ISNUMBER($J254),OR($J254&lt;QC_BD_MIN,$J254&gt;QC_BD_MAX)),"Bulk density outside "&amp;QC_BD_MIN&amp;"–"&amp;QC_BD_MAX&amp;" g/cm³ for peat. Above the top of that range usually means the mineral contact has been passed. ","")&amp;IF(AND(ISNUMBER($N254),$N254&gt;QC_CARBON_PCT_MAX),"Carbon above "&amp;QC_CARBON_PCT_MAX&amp;"% — check units; this may be organic matter rather than carbon. ","")&amp;IF(AND($L254&lt;&gt;"",$M254&lt;&gt;""),"Both LOI and measured carbon given — the measured value is used. ","")&amp;IF(AND($M254="",$L254&lt;&gt;"",OM_FACTOR_IS_LOCAL&lt;&gt;"Yes"),"Carbon derived from LOI using the default factor of "&amp;CARBON_FRACTION_OM&amp;", which has not been calibrated locally. See R1. Reference. ","")&amp;IF(AND(ISNUMBER($O254),$O254=0,ISNUMBER($E254)),"Section lies entirely below the reference depth — it counts to the full-profile stock only. ",""))</f>
        <v/>
      </c>
      <c r="U254" s="14" t="n"/>
    </row>
    <row r="255">
      <c r="A255" s="14" t="n"/>
      <c r="B255" s="14" t="n"/>
      <c r="C255" s="14" t="n"/>
      <c r="D255" s="14" t="n"/>
      <c r="E255" s="14" t="n"/>
      <c r="F255" s="14" t="n"/>
      <c r="G255" s="14">
        <f>IF(OR($E255="",$F255=""),"",$F255-$E255)</f>
        <v/>
      </c>
      <c r="H255" s="14" t="n"/>
      <c r="I255" s="14" t="n"/>
      <c r="J255" s="19" t="n"/>
      <c r="K255" s="19" t="n"/>
      <c r="L255" s="19" t="n"/>
      <c r="M255" s="19" t="n"/>
      <c r="N255" s="18">
        <f>IF($M255&lt;&gt;"",$M255,IF($L255&lt;&gt;"",$L255*CARBON_FRACTION_OM,""))</f>
        <v/>
      </c>
      <c r="O255" s="18">
        <f>IF(OR($E255="",$F255=""),"",MAX(0,MIN($F255,REFERENCE_DEPTH_CM)-MIN($E255,REFERENCE_DEPTH_CM)))</f>
        <v/>
      </c>
      <c r="P255" s="18">
        <f>IF(OR($J255="",$N255="",$G255=""),"",$J255*($N255/100)*$G255*10)</f>
        <v/>
      </c>
      <c r="Q255" s="18">
        <f>IF(OR($J255="",$N255="",$O255=""),"",$J255*($N255/100)*$O255*10)</f>
        <v/>
      </c>
      <c r="R255" s="18">
        <f>IF(OR(NOT(ISNUMBER($P255)),NOT(ISNUMBER($G255)),$G255=0),0,$P255/$G255)</f>
        <v/>
      </c>
      <c r="S255" s="18">
        <f>IF(OR($B255="",NOT(ISNUMBER($F255))),"",SUMIFS('3. Peat Data'!$P$5:$P$604,'3. Peat Data'!$B$5:$B$604,$B255,'3. Peat Data'!$F$5:$F$604,"&lt;="&amp;$F255))</f>
        <v/>
      </c>
      <c r="T255" s="18">
        <f>IF(AND($A255="",$B255="",$E255=""),"",IF(AND($B255&lt;&gt;"",COUNTIF('2. Core Log'!$A$5:$A$124,$B255)=0),"Core ID not in Core Log. ","")&amp;IF(AND($A255&lt;&gt;"",COUNTIF('1. Plot &amp; Site Log'!$A$5:$A$64,$A255)=0),"Plot ID not in Plot &amp; Site Log. ","")&amp;IF(AND(ISNUMBER($E255),ISNUMBER($F255),$F255&lt;=$E255),"Bottom depth is not below top depth. ","")&amp;IF($I255="","Say which bulk-density basis the lab reported. ","")&amp;IF(AND(ISNUMBER($J255),OR($J255&lt;QC_BD_MIN,$J255&gt;QC_BD_MAX)),"Bulk density outside "&amp;QC_BD_MIN&amp;"–"&amp;QC_BD_MAX&amp;" g/cm³ for peat. Above the top of that range usually means the mineral contact has been passed. ","")&amp;IF(AND(ISNUMBER($N255),$N255&gt;QC_CARBON_PCT_MAX),"Carbon above "&amp;QC_CARBON_PCT_MAX&amp;"% — check units; this may be organic matter rather than carbon. ","")&amp;IF(AND($L255&lt;&gt;"",$M255&lt;&gt;""),"Both LOI and measured carbon given — the measured value is used. ","")&amp;IF(AND($M255="",$L255&lt;&gt;"",OM_FACTOR_IS_LOCAL&lt;&gt;"Yes"),"Carbon derived from LOI using the default factor of "&amp;CARBON_FRACTION_OM&amp;", which has not been calibrated locally. See R1. Reference. ","")&amp;IF(AND(ISNUMBER($O255),$O255=0,ISNUMBER($E255)),"Section lies entirely below the reference depth — it counts to the full-profile stock only. ",""))</f>
        <v/>
      </c>
      <c r="U255" s="14" t="n"/>
    </row>
    <row r="256">
      <c r="A256" s="14" t="n"/>
      <c r="B256" s="14" t="n"/>
      <c r="C256" s="14" t="n"/>
      <c r="D256" s="14" t="n"/>
      <c r="E256" s="14" t="n"/>
      <c r="F256" s="14" t="n"/>
      <c r="G256" s="14">
        <f>IF(OR($E256="",$F256=""),"",$F256-$E256)</f>
        <v/>
      </c>
      <c r="H256" s="14" t="n"/>
      <c r="I256" s="14" t="n"/>
      <c r="J256" s="19" t="n"/>
      <c r="K256" s="19" t="n"/>
      <c r="L256" s="19" t="n"/>
      <c r="M256" s="19" t="n"/>
      <c r="N256" s="18">
        <f>IF($M256&lt;&gt;"",$M256,IF($L256&lt;&gt;"",$L256*CARBON_FRACTION_OM,""))</f>
        <v/>
      </c>
      <c r="O256" s="18">
        <f>IF(OR($E256="",$F256=""),"",MAX(0,MIN($F256,REFERENCE_DEPTH_CM)-MIN($E256,REFERENCE_DEPTH_CM)))</f>
        <v/>
      </c>
      <c r="P256" s="18">
        <f>IF(OR($J256="",$N256="",$G256=""),"",$J256*($N256/100)*$G256*10)</f>
        <v/>
      </c>
      <c r="Q256" s="18">
        <f>IF(OR($J256="",$N256="",$O256=""),"",$J256*($N256/100)*$O256*10)</f>
        <v/>
      </c>
      <c r="R256" s="18">
        <f>IF(OR(NOT(ISNUMBER($P256)),NOT(ISNUMBER($G256)),$G256=0),0,$P256/$G256)</f>
        <v/>
      </c>
      <c r="S256" s="18">
        <f>IF(OR($B256="",NOT(ISNUMBER($F256))),"",SUMIFS('3. Peat Data'!$P$5:$P$604,'3. Peat Data'!$B$5:$B$604,$B256,'3. Peat Data'!$F$5:$F$604,"&lt;="&amp;$F256))</f>
        <v/>
      </c>
      <c r="T256" s="18">
        <f>IF(AND($A256="",$B256="",$E256=""),"",IF(AND($B256&lt;&gt;"",COUNTIF('2. Core Log'!$A$5:$A$124,$B256)=0),"Core ID not in Core Log. ","")&amp;IF(AND($A256&lt;&gt;"",COUNTIF('1. Plot &amp; Site Log'!$A$5:$A$64,$A256)=0),"Plot ID not in Plot &amp; Site Log. ","")&amp;IF(AND(ISNUMBER($E256),ISNUMBER($F256),$F256&lt;=$E256),"Bottom depth is not below top depth. ","")&amp;IF($I256="","Say which bulk-density basis the lab reported. ","")&amp;IF(AND(ISNUMBER($J256),OR($J256&lt;QC_BD_MIN,$J256&gt;QC_BD_MAX)),"Bulk density outside "&amp;QC_BD_MIN&amp;"–"&amp;QC_BD_MAX&amp;" g/cm³ for peat. Above the top of that range usually means the mineral contact has been passed. ","")&amp;IF(AND(ISNUMBER($N256),$N256&gt;QC_CARBON_PCT_MAX),"Carbon above "&amp;QC_CARBON_PCT_MAX&amp;"% — check units; this may be organic matter rather than carbon. ","")&amp;IF(AND($L256&lt;&gt;"",$M256&lt;&gt;""),"Both LOI and measured carbon given — the measured value is used. ","")&amp;IF(AND($M256="",$L256&lt;&gt;"",OM_FACTOR_IS_LOCAL&lt;&gt;"Yes"),"Carbon derived from LOI using the default factor of "&amp;CARBON_FRACTION_OM&amp;", which has not been calibrated locally. See R1. Reference. ","")&amp;IF(AND(ISNUMBER($O256),$O256=0,ISNUMBER($E256)),"Section lies entirely below the reference depth — it counts to the full-profile stock only. ",""))</f>
        <v/>
      </c>
      <c r="U256" s="14" t="n"/>
    </row>
    <row r="257">
      <c r="A257" s="14" t="n"/>
      <c r="B257" s="14" t="n"/>
      <c r="C257" s="14" t="n"/>
      <c r="D257" s="14" t="n"/>
      <c r="E257" s="14" t="n"/>
      <c r="F257" s="14" t="n"/>
      <c r="G257" s="14">
        <f>IF(OR($E257="",$F257=""),"",$F257-$E257)</f>
        <v/>
      </c>
      <c r="H257" s="14" t="n"/>
      <c r="I257" s="14" t="n"/>
      <c r="J257" s="19" t="n"/>
      <c r="K257" s="19" t="n"/>
      <c r="L257" s="19" t="n"/>
      <c r="M257" s="19" t="n"/>
      <c r="N257" s="18">
        <f>IF($M257&lt;&gt;"",$M257,IF($L257&lt;&gt;"",$L257*CARBON_FRACTION_OM,""))</f>
        <v/>
      </c>
      <c r="O257" s="18">
        <f>IF(OR($E257="",$F257=""),"",MAX(0,MIN($F257,REFERENCE_DEPTH_CM)-MIN($E257,REFERENCE_DEPTH_CM)))</f>
        <v/>
      </c>
      <c r="P257" s="18">
        <f>IF(OR($J257="",$N257="",$G257=""),"",$J257*($N257/100)*$G257*10)</f>
        <v/>
      </c>
      <c r="Q257" s="18">
        <f>IF(OR($J257="",$N257="",$O257=""),"",$J257*($N257/100)*$O257*10)</f>
        <v/>
      </c>
      <c r="R257" s="18">
        <f>IF(OR(NOT(ISNUMBER($P257)),NOT(ISNUMBER($G257)),$G257=0),0,$P257/$G257)</f>
        <v/>
      </c>
      <c r="S257" s="18">
        <f>IF(OR($B257="",NOT(ISNUMBER($F257))),"",SUMIFS('3. Peat Data'!$P$5:$P$604,'3. Peat Data'!$B$5:$B$604,$B257,'3. Peat Data'!$F$5:$F$604,"&lt;="&amp;$F257))</f>
        <v/>
      </c>
      <c r="T257" s="18">
        <f>IF(AND($A257="",$B257="",$E257=""),"",IF(AND($B257&lt;&gt;"",COUNTIF('2. Core Log'!$A$5:$A$124,$B257)=0),"Core ID not in Core Log. ","")&amp;IF(AND($A257&lt;&gt;"",COUNTIF('1. Plot &amp; Site Log'!$A$5:$A$64,$A257)=0),"Plot ID not in Plot &amp; Site Log. ","")&amp;IF(AND(ISNUMBER($E257),ISNUMBER($F257),$F257&lt;=$E257),"Bottom depth is not below top depth. ","")&amp;IF($I257="","Say which bulk-density basis the lab reported. ","")&amp;IF(AND(ISNUMBER($J257),OR($J257&lt;QC_BD_MIN,$J257&gt;QC_BD_MAX)),"Bulk density outside "&amp;QC_BD_MIN&amp;"–"&amp;QC_BD_MAX&amp;" g/cm³ for peat. Above the top of that range usually means the mineral contact has been passed. ","")&amp;IF(AND(ISNUMBER($N257),$N257&gt;QC_CARBON_PCT_MAX),"Carbon above "&amp;QC_CARBON_PCT_MAX&amp;"% — check units; this may be organic matter rather than carbon. ","")&amp;IF(AND($L257&lt;&gt;"",$M257&lt;&gt;""),"Both LOI and measured carbon given — the measured value is used. ","")&amp;IF(AND($M257="",$L257&lt;&gt;"",OM_FACTOR_IS_LOCAL&lt;&gt;"Yes"),"Carbon derived from LOI using the default factor of "&amp;CARBON_FRACTION_OM&amp;", which has not been calibrated locally. See R1. Reference. ","")&amp;IF(AND(ISNUMBER($O257),$O257=0,ISNUMBER($E257)),"Section lies entirely below the reference depth — it counts to the full-profile stock only. ",""))</f>
        <v/>
      </c>
      <c r="U257" s="14" t="n"/>
    </row>
    <row r="258">
      <c r="A258" s="14" t="n"/>
      <c r="B258" s="14" t="n"/>
      <c r="C258" s="14" t="n"/>
      <c r="D258" s="14" t="n"/>
      <c r="E258" s="14" t="n"/>
      <c r="F258" s="14" t="n"/>
      <c r="G258" s="14">
        <f>IF(OR($E258="",$F258=""),"",$F258-$E258)</f>
        <v/>
      </c>
      <c r="H258" s="14" t="n"/>
      <c r="I258" s="14" t="n"/>
      <c r="J258" s="19" t="n"/>
      <c r="K258" s="19" t="n"/>
      <c r="L258" s="19" t="n"/>
      <c r="M258" s="19" t="n"/>
      <c r="N258" s="18">
        <f>IF($M258&lt;&gt;"",$M258,IF($L258&lt;&gt;"",$L258*CARBON_FRACTION_OM,""))</f>
        <v/>
      </c>
      <c r="O258" s="18">
        <f>IF(OR($E258="",$F258=""),"",MAX(0,MIN($F258,REFERENCE_DEPTH_CM)-MIN($E258,REFERENCE_DEPTH_CM)))</f>
        <v/>
      </c>
      <c r="P258" s="18">
        <f>IF(OR($J258="",$N258="",$G258=""),"",$J258*($N258/100)*$G258*10)</f>
        <v/>
      </c>
      <c r="Q258" s="18">
        <f>IF(OR($J258="",$N258="",$O258=""),"",$J258*($N258/100)*$O258*10)</f>
        <v/>
      </c>
      <c r="R258" s="18">
        <f>IF(OR(NOT(ISNUMBER($P258)),NOT(ISNUMBER($G258)),$G258=0),0,$P258/$G258)</f>
        <v/>
      </c>
      <c r="S258" s="18">
        <f>IF(OR($B258="",NOT(ISNUMBER($F258))),"",SUMIFS('3. Peat Data'!$P$5:$P$604,'3. Peat Data'!$B$5:$B$604,$B258,'3. Peat Data'!$F$5:$F$604,"&lt;="&amp;$F258))</f>
        <v/>
      </c>
      <c r="T258" s="18">
        <f>IF(AND($A258="",$B258="",$E258=""),"",IF(AND($B258&lt;&gt;"",COUNTIF('2. Core Log'!$A$5:$A$124,$B258)=0),"Core ID not in Core Log. ","")&amp;IF(AND($A258&lt;&gt;"",COUNTIF('1. Plot &amp; Site Log'!$A$5:$A$64,$A258)=0),"Plot ID not in Plot &amp; Site Log. ","")&amp;IF(AND(ISNUMBER($E258),ISNUMBER($F258),$F258&lt;=$E258),"Bottom depth is not below top depth. ","")&amp;IF($I258="","Say which bulk-density basis the lab reported. ","")&amp;IF(AND(ISNUMBER($J258),OR($J258&lt;QC_BD_MIN,$J258&gt;QC_BD_MAX)),"Bulk density outside "&amp;QC_BD_MIN&amp;"–"&amp;QC_BD_MAX&amp;" g/cm³ for peat. Above the top of that range usually means the mineral contact has been passed. ","")&amp;IF(AND(ISNUMBER($N258),$N258&gt;QC_CARBON_PCT_MAX),"Carbon above "&amp;QC_CARBON_PCT_MAX&amp;"% — check units; this may be organic matter rather than carbon. ","")&amp;IF(AND($L258&lt;&gt;"",$M258&lt;&gt;""),"Both LOI and measured carbon given — the measured value is used. ","")&amp;IF(AND($M258="",$L258&lt;&gt;"",OM_FACTOR_IS_LOCAL&lt;&gt;"Yes"),"Carbon derived from LOI using the default factor of "&amp;CARBON_FRACTION_OM&amp;", which has not been calibrated locally. See R1. Reference. ","")&amp;IF(AND(ISNUMBER($O258),$O258=0,ISNUMBER($E258)),"Section lies entirely below the reference depth — it counts to the full-profile stock only. ",""))</f>
        <v/>
      </c>
      <c r="U258" s="14" t="n"/>
    </row>
    <row r="259">
      <c r="A259" s="14" t="n"/>
      <c r="B259" s="14" t="n"/>
      <c r="C259" s="14" t="n"/>
      <c r="D259" s="14" t="n"/>
      <c r="E259" s="14" t="n"/>
      <c r="F259" s="14" t="n"/>
      <c r="G259" s="14">
        <f>IF(OR($E259="",$F259=""),"",$F259-$E259)</f>
        <v/>
      </c>
      <c r="H259" s="14" t="n"/>
      <c r="I259" s="14" t="n"/>
      <c r="J259" s="19" t="n"/>
      <c r="K259" s="19" t="n"/>
      <c r="L259" s="19" t="n"/>
      <c r="M259" s="19" t="n"/>
      <c r="N259" s="18">
        <f>IF($M259&lt;&gt;"",$M259,IF($L259&lt;&gt;"",$L259*CARBON_FRACTION_OM,""))</f>
        <v/>
      </c>
      <c r="O259" s="18">
        <f>IF(OR($E259="",$F259=""),"",MAX(0,MIN($F259,REFERENCE_DEPTH_CM)-MIN($E259,REFERENCE_DEPTH_CM)))</f>
        <v/>
      </c>
      <c r="P259" s="18">
        <f>IF(OR($J259="",$N259="",$G259=""),"",$J259*($N259/100)*$G259*10)</f>
        <v/>
      </c>
      <c r="Q259" s="18">
        <f>IF(OR($J259="",$N259="",$O259=""),"",$J259*($N259/100)*$O259*10)</f>
        <v/>
      </c>
      <c r="R259" s="18">
        <f>IF(OR(NOT(ISNUMBER($P259)),NOT(ISNUMBER($G259)),$G259=0),0,$P259/$G259)</f>
        <v/>
      </c>
      <c r="S259" s="18">
        <f>IF(OR($B259="",NOT(ISNUMBER($F259))),"",SUMIFS('3. Peat Data'!$P$5:$P$604,'3. Peat Data'!$B$5:$B$604,$B259,'3. Peat Data'!$F$5:$F$604,"&lt;="&amp;$F259))</f>
        <v/>
      </c>
      <c r="T259" s="18">
        <f>IF(AND($A259="",$B259="",$E259=""),"",IF(AND($B259&lt;&gt;"",COUNTIF('2. Core Log'!$A$5:$A$124,$B259)=0),"Core ID not in Core Log. ","")&amp;IF(AND($A259&lt;&gt;"",COUNTIF('1. Plot &amp; Site Log'!$A$5:$A$64,$A259)=0),"Plot ID not in Plot &amp; Site Log. ","")&amp;IF(AND(ISNUMBER($E259),ISNUMBER($F259),$F259&lt;=$E259),"Bottom depth is not below top depth. ","")&amp;IF($I259="","Say which bulk-density basis the lab reported. ","")&amp;IF(AND(ISNUMBER($J259),OR($J259&lt;QC_BD_MIN,$J259&gt;QC_BD_MAX)),"Bulk density outside "&amp;QC_BD_MIN&amp;"–"&amp;QC_BD_MAX&amp;" g/cm³ for peat. Above the top of that range usually means the mineral contact has been passed. ","")&amp;IF(AND(ISNUMBER($N259),$N259&gt;QC_CARBON_PCT_MAX),"Carbon above "&amp;QC_CARBON_PCT_MAX&amp;"% — check units; this may be organic matter rather than carbon. ","")&amp;IF(AND($L259&lt;&gt;"",$M259&lt;&gt;""),"Both LOI and measured carbon given — the measured value is used. ","")&amp;IF(AND($M259="",$L259&lt;&gt;"",OM_FACTOR_IS_LOCAL&lt;&gt;"Yes"),"Carbon derived from LOI using the default factor of "&amp;CARBON_FRACTION_OM&amp;", which has not been calibrated locally. See R1. Reference. ","")&amp;IF(AND(ISNUMBER($O259),$O259=0,ISNUMBER($E259)),"Section lies entirely below the reference depth — it counts to the full-profile stock only. ",""))</f>
        <v/>
      </c>
      <c r="U259" s="14" t="n"/>
    </row>
    <row r="260">
      <c r="A260" s="14" t="n"/>
      <c r="B260" s="14" t="n"/>
      <c r="C260" s="14" t="n"/>
      <c r="D260" s="14" t="n"/>
      <c r="E260" s="14" t="n"/>
      <c r="F260" s="14" t="n"/>
      <c r="G260" s="14">
        <f>IF(OR($E260="",$F260=""),"",$F260-$E260)</f>
        <v/>
      </c>
      <c r="H260" s="14" t="n"/>
      <c r="I260" s="14" t="n"/>
      <c r="J260" s="19" t="n"/>
      <c r="K260" s="19" t="n"/>
      <c r="L260" s="19" t="n"/>
      <c r="M260" s="19" t="n"/>
      <c r="N260" s="18">
        <f>IF($M260&lt;&gt;"",$M260,IF($L260&lt;&gt;"",$L260*CARBON_FRACTION_OM,""))</f>
        <v/>
      </c>
      <c r="O260" s="18">
        <f>IF(OR($E260="",$F260=""),"",MAX(0,MIN($F260,REFERENCE_DEPTH_CM)-MIN($E260,REFERENCE_DEPTH_CM)))</f>
        <v/>
      </c>
      <c r="P260" s="18">
        <f>IF(OR($J260="",$N260="",$G260=""),"",$J260*($N260/100)*$G260*10)</f>
        <v/>
      </c>
      <c r="Q260" s="18">
        <f>IF(OR($J260="",$N260="",$O260=""),"",$J260*($N260/100)*$O260*10)</f>
        <v/>
      </c>
      <c r="R260" s="18">
        <f>IF(OR(NOT(ISNUMBER($P260)),NOT(ISNUMBER($G260)),$G260=0),0,$P260/$G260)</f>
        <v/>
      </c>
      <c r="S260" s="18">
        <f>IF(OR($B260="",NOT(ISNUMBER($F260))),"",SUMIFS('3. Peat Data'!$P$5:$P$604,'3. Peat Data'!$B$5:$B$604,$B260,'3. Peat Data'!$F$5:$F$604,"&lt;="&amp;$F260))</f>
        <v/>
      </c>
      <c r="T260" s="18">
        <f>IF(AND($A260="",$B260="",$E260=""),"",IF(AND($B260&lt;&gt;"",COUNTIF('2. Core Log'!$A$5:$A$124,$B260)=0),"Core ID not in Core Log. ","")&amp;IF(AND($A260&lt;&gt;"",COUNTIF('1. Plot &amp; Site Log'!$A$5:$A$64,$A260)=0),"Plot ID not in Plot &amp; Site Log. ","")&amp;IF(AND(ISNUMBER($E260),ISNUMBER($F260),$F260&lt;=$E260),"Bottom depth is not below top depth. ","")&amp;IF($I260="","Say which bulk-density basis the lab reported. ","")&amp;IF(AND(ISNUMBER($J260),OR($J260&lt;QC_BD_MIN,$J260&gt;QC_BD_MAX)),"Bulk density outside "&amp;QC_BD_MIN&amp;"–"&amp;QC_BD_MAX&amp;" g/cm³ for peat. Above the top of that range usually means the mineral contact has been passed. ","")&amp;IF(AND(ISNUMBER($N260),$N260&gt;QC_CARBON_PCT_MAX),"Carbon above "&amp;QC_CARBON_PCT_MAX&amp;"% — check units; this may be organic matter rather than carbon. ","")&amp;IF(AND($L260&lt;&gt;"",$M260&lt;&gt;""),"Both LOI and measured carbon given — the measured value is used. ","")&amp;IF(AND($M260="",$L260&lt;&gt;"",OM_FACTOR_IS_LOCAL&lt;&gt;"Yes"),"Carbon derived from LOI using the default factor of "&amp;CARBON_FRACTION_OM&amp;", which has not been calibrated locally. See R1. Reference. ","")&amp;IF(AND(ISNUMBER($O260),$O260=0,ISNUMBER($E260)),"Section lies entirely below the reference depth — it counts to the full-profile stock only. ",""))</f>
        <v/>
      </c>
      <c r="U260" s="14" t="n"/>
    </row>
    <row r="261">
      <c r="A261" s="14" t="n"/>
      <c r="B261" s="14" t="n"/>
      <c r="C261" s="14" t="n"/>
      <c r="D261" s="14" t="n"/>
      <c r="E261" s="14" t="n"/>
      <c r="F261" s="14" t="n"/>
      <c r="G261" s="14">
        <f>IF(OR($E261="",$F261=""),"",$F261-$E261)</f>
        <v/>
      </c>
      <c r="H261" s="14" t="n"/>
      <c r="I261" s="14" t="n"/>
      <c r="J261" s="19" t="n"/>
      <c r="K261" s="19" t="n"/>
      <c r="L261" s="19" t="n"/>
      <c r="M261" s="19" t="n"/>
      <c r="N261" s="18">
        <f>IF($M261&lt;&gt;"",$M261,IF($L261&lt;&gt;"",$L261*CARBON_FRACTION_OM,""))</f>
        <v/>
      </c>
      <c r="O261" s="18">
        <f>IF(OR($E261="",$F261=""),"",MAX(0,MIN($F261,REFERENCE_DEPTH_CM)-MIN($E261,REFERENCE_DEPTH_CM)))</f>
        <v/>
      </c>
      <c r="P261" s="18">
        <f>IF(OR($J261="",$N261="",$G261=""),"",$J261*($N261/100)*$G261*10)</f>
        <v/>
      </c>
      <c r="Q261" s="18">
        <f>IF(OR($J261="",$N261="",$O261=""),"",$J261*($N261/100)*$O261*10)</f>
        <v/>
      </c>
      <c r="R261" s="18">
        <f>IF(OR(NOT(ISNUMBER($P261)),NOT(ISNUMBER($G261)),$G261=0),0,$P261/$G261)</f>
        <v/>
      </c>
      <c r="S261" s="18">
        <f>IF(OR($B261="",NOT(ISNUMBER($F261))),"",SUMIFS('3. Peat Data'!$P$5:$P$604,'3. Peat Data'!$B$5:$B$604,$B261,'3. Peat Data'!$F$5:$F$604,"&lt;="&amp;$F261))</f>
        <v/>
      </c>
      <c r="T261" s="18">
        <f>IF(AND($A261="",$B261="",$E261=""),"",IF(AND($B261&lt;&gt;"",COUNTIF('2. Core Log'!$A$5:$A$124,$B261)=0),"Core ID not in Core Log. ","")&amp;IF(AND($A261&lt;&gt;"",COUNTIF('1. Plot &amp; Site Log'!$A$5:$A$64,$A261)=0),"Plot ID not in Plot &amp; Site Log. ","")&amp;IF(AND(ISNUMBER($E261),ISNUMBER($F261),$F261&lt;=$E261),"Bottom depth is not below top depth. ","")&amp;IF($I261="","Say which bulk-density basis the lab reported. ","")&amp;IF(AND(ISNUMBER($J261),OR($J261&lt;QC_BD_MIN,$J261&gt;QC_BD_MAX)),"Bulk density outside "&amp;QC_BD_MIN&amp;"–"&amp;QC_BD_MAX&amp;" g/cm³ for peat. Above the top of that range usually means the mineral contact has been passed. ","")&amp;IF(AND(ISNUMBER($N261),$N261&gt;QC_CARBON_PCT_MAX),"Carbon above "&amp;QC_CARBON_PCT_MAX&amp;"% — check units; this may be organic matter rather than carbon. ","")&amp;IF(AND($L261&lt;&gt;"",$M261&lt;&gt;""),"Both LOI and measured carbon given — the measured value is used. ","")&amp;IF(AND($M261="",$L261&lt;&gt;"",OM_FACTOR_IS_LOCAL&lt;&gt;"Yes"),"Carbon derived from LOI using the default factor of "&amp;CARBON_FRACTION_OM&amp;", which has not been calibrated locally. See R1. Reference. ","")&amp;IF(AND(ISNUMBER($O261),$O261=0,ISNUMBER($E261)),"Section lies entirely below the reference depth — it counts to the full-profile stock only. ",""))</f>
        <v/>
      </c>
      <c r="U261" s="14" t="n"/>
    </row>
    <row r="262">
      <c r="A262" s="14" t="n"/>
      <c r="B262" s="14" t="n"/>
      <c r="C262" s="14" t="n"/>
      <c r="D262" s="14" t="n"/>
      <c r="E262" s="14" t="n"/>
      <c r="F262" s="14" t="n"/>
      <c r="G262" s="14">
        <f>IF(OR($E262="",$F262=""),"",$F262-$E262)</f>
        <v/>
      </c>
      <c r="H262" s="14" t="n"/>
      <c r="I262" s="14" t="n"/>
      <c r="J262" s="19" t="n"/>
      <c r="K262" s="19" t="n"/>
      <c r="L262" s="19" t="n"/>
      <c r="M262" s="19" t="n"/>
      <c r="N262" s="18">
        <f>IF($M262&lt;&gt;"",$M262,IF($L262&lt;&gt;"",$L262*CARBON_FRACTION_OM,""))</f>
        <v/>
      </c>
      <c r="O262" s="18">
        <f>IF(OR($E262="",$F262=""),"",MAX(0,MIN($F262,REFERENCE_DEPTH_CM)-MIN($E262,REFERENCE_DEPTH_CM)))</f>
        <v/>
      </c>
      <c r="P262" s="18">
        <f>IF(OR($J262="",$N262="",$G262=""),"",$J262*($N262/100)*$G262*10)</f>
        <v/>
      </c>
      <c r="Q262" s="18">
        <f>IF(OR($J262="",$N262="",$O262=""),"",$J262*($N262/100)*$O262*10)</f>
        <v/>
      </c>
      <c r="R262" s="18">
        <f>IF(OR(NOT(ISNUMBER($P262)),NOT(ISNUMBER($G262)),$G262=0),0,$P262/$G262)</f>
        <v/>
      </c>
      <c r="S262" s="18">
        <f>IF(OR($B262="",NOT(ISNUMBER($F262))),"",SUMIFS('3. Peat Data'!$P$5:$P$604,'3. Peat Data'!$B$5:$B$604,$B262,'3. Peat Data'!$F$5:$F$604,"&lt;="&amp;$F262))</f>
        <v/>
      </c>
      <c r="T262" s="18">
        <f>IF(AND($A262="",$B262="",$E262=""),"",IF(AND($B262&lt;&gt;"",COUNTIF('2. Core Log'!$A$5:$A$124,$B262)=0),"Core ID not in Core Log. ","")&amp;IF(AND($A262&lt;&gt;"",COUNTIF('1. Plot &amp; Site Log'!$A$5:$A$64,$A262)=0),"Plot ID not in Plot &amp; Site Log. ","")&amp;IF(AND(ISNUMBER($E262),ISNUMBER($F262),$F262&lt;=$E262),"Bottom depth is not below top depth. ","")&amp;IF($I262="","Say which bulk-density basis the lab reported. ","")&amp;IF(AND(ISNUMBER($J262),OR($J262&lt;QC_BD_MIN,$J262&gt;QC_BD_MAX)),"Bulk density outside "&amp;QC_BD_MIN&amp;"–"&amp;QC_BD_MAX&amp;" g/cm³ for peat. Above the top of that range usually means the mineral contact has been passed. ","")&amp;IF(AND(ISNUMBER($N262),$N262&gt;QC_CARBON_PCT_MAX),"Carbon above "&amp;QC_CARBON_PCT_MAX&amp;"% — check units; this may be organic matter rather than carbon. ","")&amp;IF(AND($L262&lt;&gt;"",$M262&lt;&gt;""),"Both LOI and measured carbon given — the measured value is used. ","")&amp;IF(AND($M262="",$L262&lt;&gt;"",OM_FACTOR_IS_LOCAL&lt;&gt;"Yes"),"Carbon derived from LOI using the default factor of "&amp;CARBON_FRACTION_OM&amp;", which has not been calibrated locally. See R1. Reference. ","")&amp;IF(AND(ISNUMBER($O262),$O262=0,ISNUMBER($E262)),"Section lies entirely below the reference depth — it counts to the full-profile stock only. ",""))</f>
        <v/>
      </c>
      <c r="U262" s="14" t="n"/>
    </row>
    <row r="263">
      <c r="A263" s="14" t="n"/>
      <c r="B263" s="14" t="n"/>
      <c r="C263" s="14" t="n"/>
      <c r="D263" s="14" t="n"/>
      <c r="E263" s="14" t="n"/>
      <c r="F263" s="14" t="n"/>
      <c r="G263" s="14">
        <f>IF(OR($E263="",$F263=""),"",$F263-$E263)</f>
        <v/>
      </c>
      <c r="H263" s="14" t="n"/>
      <c r="I263" s="14" t="n"/>
      <c r="J263" s="19" t="n"/>
      <c r="K263" s="19" t="n"/>
      <c r="L263" s="19" t="n"/>
      <c r="M263" s="19" t="n"/>
      <c r="N263" s="18">
        <f>IF($M263&lt;&gt;"",$M263,IF($L263&lt;&gt;"",$L263*CARBON_FRACTION_OM,""))</f>
        <v/>
      </c>
      <c r="O263" s="18">
        <f>IF(OR($E263="",$F263=""),"",MAX(0,MIN($F263,REFERENCE_DEPTH_CM)-MIN($E263,REFERENCE_DEPTH_CM)))</f>
        <v/>
      </c>
      <c r="P263" s="18">
        <f>IF(OR($J263="",$N263="",$G263=""),"",$J263*($N263/100)*$G263*10)</f>
        <v/>
      </c>
      <c r="Q263" s="18">
        <f>IF(OR($J263="",$N263="",$O263=""),"",$J263*($N263/100)*$O263*10)</f>
        <v/>
      </c>
      <c r="R263" s="18">
        <f>IF(OR(NOT(ISNUMBER($P263)),NOT(ISNUMBER($G263)),$G263=0),0,$P263/$G263)</f>
        <v/>
      </c>
      <c r="S263" s="18">
        <f>IF(OR($B263="",NOT(ISNUMBER($F263))),"",SUMIFS('3. Peat Data'!$P$5:$P$604,'3. Peat Data'!$B$5:$B$604,$B263,'3. Peat Data'!$F$5:$F$604,"&lt;="&amp;$F263))</f>
        <v/>
      </c>
      <c r="T263" s="18">
        <f>IF(AND($A263="",$B263="",$E263=""),"",IF(AND($B263&lt;&gt;"",COUNTIF('2. Core Log'!$A$5:$A$124,$B263)=0),"Core ID not in Core Log. ","")&amp;IF(AND($A263&lt;&gt;"",COUNTIF('1. Plot &amp; Site Log'!$A$5:$A$64,$A263)=0),"Plot ID not in Plot &amp; Site Log. ","")&amp;IF(AND(ISNUMBER($E263),ISNUMBER($F263),$F263&lt;=$E263),"Bottom depth is not below top depth. ","")&amp;IF($I263="","Say which bulk-density basis the lab reported. ","")&amp;IF(AND(ISNUMBER($J263),OR($J263&lt;QC_BD_MIN,$J263&gt;QC_BD_MAX)),"Bulk density outside "&amp;QC_BD_MIN&amp;"–"&amp;QC_BD_MAX&amp;" g/cm³ for peat. Above the top of that range usually means the mineral contact has been passed. ","")&amp;IF(AND(ISNUMBER($N263),$N263&gt;QC_CARBON_PCT_MAX),"Carbon above "&amp;QC_CARBON_PCT_MAX&amp;"% — check units; this may be organic matter rather than carbon. ","")&amp;IF(AND($L263&lt;&gt;"",$M263&lt;&gt;""),"Both LOI and measured carbon given — the measured value is used. ","")&amp;IF(AND($M263="",$L263&lt;&gt;"",OM_FACTOR_IS_LOCAL&lt;&gt;"Yes"),"Carbon derived from LOI using the default factor of "&amp;CARBON_FRACTION_OM&amp;", which has not been calibrated locally. See R1. Reference. ","")&amp;IF(AND(ISNUMBER($O263),$O263=0,ISNUMBER($E263)),"Section lies entirely below the reference depth — it counts to the full-profile stock only. ",""))</f>
        <v/>
      </c>
      <c r="U263" s="14" t="n"/>
    </row>
    <row r="264">
      <c r="A264" s="14" t="n"/>
      <c r="B264" s="14" t="n"/>
      <c r="C264" s="14" t="n"/>
      <c r="D264" s="14" t="n"/>
      <c r="E264" s="14" t="n"/>
      <c r="F264" s="14" t="n"/>
      <c r="G264" s="14">
        <f>IF(OR($E264="",$F264=""),"",$F264-$E264)</f>
        <v/>
      </c>
      <c r="H264" s="14" t="n"/>
      <c r="I264" s="14" t="n"/>
      <c r="J264" s="19" t="n"/>
      <c r="K264" s="19" t="n"/>
      <c r="L264" s="19" t="n"/>
      <c r="M264" s="19" t="n"/>
      <c r="N264" s="18">
        <f>IF($M264&lt;&gt;"",$M264,IF($L264&lt;&gt;"",$L264*CARBON_FRACTION_OM,""))</f>
        <v/>
      </c>
      <c r="O264" s="18">
        <f>IF(OR($E264="",$F264=""),"",MAX(0,MIN($F264,REFERENCE_DEPTH_CM)-MIN($E264,REFERENCE_DEPTH_CM)))</f>
        <v/>
      </c>
      <c r="P264" s="18">
        <f>IF(OR($J264="",$N264="",$G264=""),"",$J264*($N264/100)*$G264*10)</f>
        <v/>
      </c>
      <c r="Q264" s="18">
        <f>IF(OR($J264="",$N264="",$O264=""),"",$J264*($N264/100)*$O264*10)</f>
        <v/>
      </c>
      <c r="R264" s="18">
        <f>IF(OR(NOT(ISNUMBER($P264)),NOT(ISNUMBER($G264)),$G264=0),0,$P264/$G264)</f>
        <v/>
      </c>
      <c r="S264" s="18">
        <f>IF(OR($B264="",NOT(ISNUMBER($F264))),"",SUMIFS('3. Peat Data'!$P$5:$P$604,'3. Peat Data'!$B$5:$B$604,$B264,'3. Peat Data'!$F$5:$F$604,"&lt;="&amp;$F264))</f>
        <v/>
      </c>
      <c r="T264" s="18">
        <f>IF(AND($A264="",$B264="",$E264=""),"",IF(AND($B264&lt;&gt;"",COUNTIF('2. Core Log'!$A$5:$A$124,$B264)=0),"Core ID not in Core Log. ","")&amp;IF(AND($A264&lt;&gt;"",COUNTIF('1. Plot &amp; Site Log'!$A$5:$A$64,$A264)=0),"Plot ID not in Plot &amp; Site Log. ","")&amp;IF(AND(ISNUMBER($E264),ISNUMBER($F264),$F264&lt;=$E264),"Bottom depth is not below top depth. ","")&amp;IF($I264="","Say which bulk-density basis the lab reported. ","")&amp;IF(AND(ISNUMBER($J264),OR($J264&lt;QC_BD_MIN,$J264&gt;QC_BD_MAX)),"Bulk density outside "&amp;QC_BD_MIN&amp;"–"&amp;QC_BD_MAX&amp;" g/cm³ for peat. Above the top of that range usually means the mineral contact has been passed. ","")&amp;IF(AND(ISNUMBER($N264),$N264&gt;QC_CARBON_PCT_MAX),"Carbon above "&amp;QC_CARBON_PCT_MAX&amp;"% — check units; this may be organic matter rather than carbon. ","")&amp;IF(AND($L264&lt;&gt;"",$M264&lt;&gt;""),"Both LOI and measured carbon given — the measured value is used. ","")&amp;IF(AND($M264="",$L264&lt;&gt;"",OM_FACTOR_IS_LOCAL&lt;&gt;"Yes"),"Carbon derived from LOI using the default factor of "&amp;CARBON_FRACTION_OM&amp;", which has not been calibrated locally. See R1. Reference. ","")&amp;IF(AND(ISNUMBER($O264),$O264=0,ISNUMBER($E264)),"Section lies entirely below the reference depth — it counts to the full-profile stock only. ",""))</f>
        <v/>
      </c>
      <c r="U264" s="14" t="n"/>
    </row>
    <row r="265">
      <c r="A265" s="14" t="n"/>
      <c r="B265" s="14" t="n"/>
      <c r="C265" s="14" t="n"/>
      <c r="D265" s="14" t="n"/>
      <c r="E265" s="14" t="n"/>
      <c r="F265" s="14" t="n"/>
      <c r="G265" s="14">
        <f>IF(OR($E265="",$F265=""),"",$F265-$E265)</f>
        <v/>
      </c>
      <c r="H265" s="14" t="n"/>
      <c r="I265" s="14" t="n"/>
      <c r="J265" s="19" t="n"/>
      <c r="K265" s="19" t="n"/>
      <c r="L265" s="19" t="n"/>
      <c r="M265" s="19" t="n"/>
      <c r="N265" s="18">
        <f>IF($M265&lt;&gt;"",$M265,IF($L265&lt;&gt;"",$L265*CARBON_FRACTION_OM,""))</f>
        <v/>
      </c>
      <c r="O265" s="18">
        <f>IF(OR($E265="",$F265=""),"",MAX(0,MIN($F265,REFERENCE_DEPTH_CM)-MIN($E265,REFERENCE_DEPTH_CM)))</f>
        <v/>
      </c>
      <c r="P265" s="18">
        <f>IF(OR($J265="",$N265="",$G265=""),"",$J265*($N265/100)*$G265*10)</f>
        <v/>
      </c>
      <c r="Q265" s="18">
        <f>IF(OR($J265="",$N265="",$O265=""),"",$J265*($N265/100)*$O265*10)</f>
        <v/>
      </c>
      <c r="R265" s="18">
        <f>IF(OR(NOT(ISNUMBER($P265)),NOT(ISNUMBER($G265)),$G265=0),0,$P265/$G265)</f>
        <v/>
      </c>
      <c r="S265" s="18">
        <f>IF(OR($B265="",NOT(ISNUMBER($F265))),"",SUMIFS('3. Peat Data'!$P$5:$P$604,'3. Peat Data'!$B$5:$B$604,$B265,'3. Peat Data'!$F$5:$F$604,"&lt;="&amp;$F265))</f>
        <v/>
      </c>
      <c r="T265" s="18">
        <f>IF(AND($A265="",$B265="",$E265=""),"",IF(AND($B265&lt;&gt;"",COUNTIF('2. Core Log'!$A$5:$A$124,$B265)=0),"Core ID not in Core Log. ","")&amp;IF(AND($A265&lt;&gt;"",COUNTIF('1. Plot &amp; Site Log'!$A$5:$A$64,$A265)=0),"Plot ID not in Plot &amp; Site Log. ","")&amp;IF(AND(ISNUMBER($E265),ISNUMBER($F265),$F265&lt;=$E265),"Bottom depth is not below top depth. ","")&amp;IF($I265="","Say which bulk-density basis the lab reported. ","")&amp;IF(AND(ISNUMBER($J265),OR($J265&lt;QC_BD_MIN,$J265&gt;QC_BD_MAX)),"Bulk density outside "&amp;QC_BD_MIN&amp;"–"&amp;QC_BD_MAX&amp;" g/cm³ for peat. Above the top of that range usually means the mineral contact has been passed. ","")&amp;IF(AND(ISNUMBER($N265),$N265&gt;QC_CARBON_PCT_MAX),"Carbon above "&amp;QC_CARBON_PCT_MAX&amp;"% — check units; this may be organic matter rather than carbon. ","")&amp;IF(AND($L265&lt;&gt;"",$M265&lt;&gt;""),"Both LOI and measured carbon given — the measured value is used. ","")&amp;IF(AND($M265="",$L265&lt;&gt;"",OM_FACTOR_IS_LOCAL&lt;&gt;"Yes"),"Carbon derived from LOI using the default factor of "&amp;CARBON_FRACTION_OM&amp;", which has not been calibrated locally. See R1. Reference. ","")&amp;IF(AND(ISNUMBER($O265),$O265=0,ISNUMBER($E265)),"Section lies entirely below the reference depth — it counts to the full-profile stock only. ",""))</f>
        <v/>
      </c>
      <c r="U265" s="14" t="n"/>
    </row>
    <row r="266">
      <c r="A266" s="14" t="n"/>
      <c r="B266" s="14" t="n"/>
      <c r="C266" s="14" t="n"/>
      <c r="D266" s="14" t="n"/>
      <c r="E266" s="14" t="n"/>
      <c r="F266" s="14" t="n"/>
      <c r="G266" s="14">
        <f>IF(OR($E266="",$F266=""),"",$F266-$E266)</f>
        <v/>
      </c>
      <c r="H266" s="14" t="n"/>
      <c r="I266" s="14" t="n"/>
      <c r="J266" s="19" t="n"/>
      <c r="K266" s="19" t="n"/>
      <c r="L266" s="19" t="n"/>
      <c r="M266" s="19" t="n"/>
      <c r="N266" s="18">
        <f>IF($M266&lt;&gt;"",$M266,IF($L266&lt;&gt;"",$L266*CARBON_FRACTION_OM,""))</f>
        <v/>
      </c>
      <c r="O266" s="18">
        <f>IF(OR($E266="",$F266=""),"",MAX(0,MIN($F266,REFERENCE_DEPTH_CM)-MIN($E266,REFERENCE_DEPTH_CM)))</f>
        <v/>
      </c>
      <c r="P266" s="18">
        <f>IF(OR($J266="",$N266="",$G266=""),"",$J266*($N266/100)*$G266*10)</f>
        <v/>
      </c>
      <c r="Q266" s="18">
        <f>IF(OR($J266="",$N266="",$O266=""),"",$J266*($N266/100)*$O266*10)</f>
        <v/>
      </c>
      <c r="R266" s="18">
        <f>IF(OR(NOT(ISNUMBER($P266)),NOT(ISNUMBER($G266)),$G266=0),0,$P266/$G266)</f>
        <v/>
      </c>
      <c r="S266" s="18">
        <f>IF(OR($B266="",NOT(ISNUMBER($F266))),"",SUMIFS('3. Peat Data'!$P$5:$P$604,'3. Peat Data'!$B$5:$B$604,$B266,'3. Peat Data'!$F$5:$F$604,"&lt;="&amp;$F266))</f>
        <v/>
      </c>
      <c r="T266" s="18">
        <f>IF(AND($A266="",$B266="",$E266=""),"",IF(AND($B266&lt;&gt;"",COUNTIF('2. Core Log'!$A$5:$A$124,$B266)=0),"Core ID not in Core Log. ","")&amp;IF(AND($A266&lt;&gt;"",COUNTIF('1. Plot &amp; Site Log'!$A$5:$A$64,$A266)=0),"Plot ID not in Plot &amp; Site Log. ","")&amp;IF(AND(ISNUMBER($E266),ISNUMBER($F266),$F266&lt;=$E266),"Bottom depth is not below top depth. ","")&amp;IF($I266="","Say which bulk-density basis the lab reported. ","")&amp;IF(AND(ISNUMBER($J266),OR($J266&lt;QC_BD_MIN,$J266&gt;QC_BD_MAX)),"Bulk density outside "&amp;QC_BD_MIN&amp;"–"&amp;QC_BD_MAX&amp;" g/cm³ for peat. Above the top of that range usually means the mineral contact has been passed. ","")&amp;IF(AND(ISNUMBER($N266),$N266&gt;QC_CARBON_PCT_MAX),"Carbon above "&amp;QC_CARBON_PCT_MAX&amp;"% — check units; this may be organic matter rather than carbon. ","")&amp;IF(AND($L266&lt;&gt;"",$M266&lt;&gt;""),"Both LOI and measured carbon given — the measured value is used. ","")&amp;IF(AND($M266="",$L266&lt;&gt;"",OM_FACTOR_IS_LOCAL&lt;&gt;"Yes"),"Carbon derived from LOI using the default factor of "&amp;CARBON_FRACTION_OM&amp;", which has not been calibrated locally. See R1. Reference. ","")&amp;IF(AND(ISNUMBER($O266),$O266=0,ISNUMBER($E266)),"Section lies entirely below the reference depth — it counts to the full-profile stock only. ",""))</f>
        <v/>
      </c>
      <c r="U266" s="14" t="n"/>
    </row>
    <row r="267">
      <c r="A267" s="14" t="n"/>
      <c r="B267" s="14" t="n"/>
      <c r="C267" s="14" t="n"/>
      <c r="D267" s="14" t="n"/>
      <c r="E267" s="14" t="n"/>
      <c r="F267" s="14" t="n"/>
      <c r="G267" s="14">
        <f>IF(OR($E267="",$F267=""),"",$F267-$E267)</f>
        <v/>
      </c>
      <c r="H267" s="14" t="n"/>
      <c r="I267" s="14" t="n"/>
      <c r="J267" s="19" t="n"/>
      <c r="K267" s="19" t="n"/>
      <c r="L267" s="19" t="n"/>
      <c r="M267" s="19" t="n"/>
      <c r="N267" s="18">
        <f>IF($M267&lt;&gt;"",$M267,IF($L267&lt;&gt;"",$L267*CARBON_FRACTION_OM,""))</f>
        <v/>
      </c>
      <c r="O267" s="18">
        <f>IF(OR($E267="",$F267=""),"",MAX(0,MIN($F267,REFERENCE_DEPTH_CM)-MIN($E267,REFERENCE_DEPTH_CM)))</f>
        <v/>
      </c>
      <c r="P267" s="18">
        <f>IF(OR($J267="",$N267="",$G267=""),"",$J267*($N267/100)*$G267*10)</f>
        <v/>
      </c>
      <c r="Q267" s="18">
        <f>IF(OR($J267="",$N267="",$O267=""),"",$J267*($N267/100)*$O267*10)</f>
        <v/>
      </c>
      <c r="R267" s="18">
        <f>IF(OR(NOT(ISNUMBER($P267)),NOT(ISNUMBER($G267)),$G267=0),0,$P267/$G267)</f>
        <v/>
      </c>
      <c r="S267" s="18">
        <f>IF(OR($B267="",NOT(ISNUMBER($F267))),"",SUMIFS('3. Peat Data'!$P$5:$P$604,'3. Peat Data'!$B$5:$B$604,$B267,'3. Peat Data'!$F$5:$F$604,"&lt;="&amp;$F267))</f>
        <v/>
      </c>
      <c r="T267" s="18">
        <f>IF(AND($A267="",$B267="",$E267=""),"",IF(AND($B267&lt;&gt;"",COUNTIF('2. Core Log'!$A$5:$A$124,$B267)=0),"Core ID not in Core Log. ","")&amp;IF(AND($A267&lt;&gt;"",COUNTIF('1. Plot &amp; Site Log'!$A$5:$A$64,$A267)=0),"Plot ID not in Plot &amp; Site Log. ","")&amp;IF(AND(ISNUMBER($E267),ISNUMBER($F267),$F267&lt;=$E267),"Bottom depth is not below top depth. ","")&amp;IF($I267="","Say which bulk-density basis the lab reported. ","")&amp;IF(AND(ISNUMBER($J267),OR($J267&lt;QC_BD_MIN,$J267&gt;QC_BD_MAX)),"Bulk density outside "&amp;QC_BD_MIN&amp;"–"&amp;QC_BD_MAX&amp;" g/cm³ for peat. Above the top of that range usually means the mineral contact has been passed. ","")&amp;IF(AND(ISNUMBER($N267),$N267&gt;QC_CARBON_PCT_MAX),"Carbon above "&amp;QC_CARBON_PCT_MAX&amp;"% — check units; this may be organic matter rather than carbon. ","")&amp;IF(AND($L267&lt;&gt;"",$M267&lt;&gt;""),"Both LOI and measured carbon given — the measured value is used. ","")&amp;IF(AND($M267="",$L267&lt;&gt;"",OM_FACTOR_IS_LOCAL&lt;&gt;"Yes"),"Carbon derived from LOI using the default factor of "&amp;CARBON_FRACTION_OM&amp;", which has not been calibrated locally. See R1. Reference. ","")&amp;IF(AND(ISNUMBER($O267),$O267=0,ISNUMBER($E267)),"Section lies entirely below the reference depth — it counts to the full-profile stock only. ",""))</f>
        <v/>
      </c>
      <c r="U267" s="14" t="n"/>
    </row>
    <row r="268">
      <c r="A268" s="14" t="n"/>
      <c r="B268" s="14" t="n"/>
      <c r="C268" s="14" t="n"/>
      <c r="D268" s="14" t="n"/>
      <c r="E268" s="14" t="n"/>
      <c r="F268" s="14" t="n"/>
      <c r="G268" s="14">
        <f>IF(OR($E268="",$F268=""),"",$F268-$E268)</f>
        <v/>
      </c>
      <c r="H268" s="14" t="n"/>
      <c r="I268" s="14" t="n"/>
      <c r="J268" s="19" t="n"/>
      <c r="K268" s="19" t="n"/>
      <c r="L268" s="19" t="n"/>
      <c r="M268" s="19" t="n"/>
      <c r="N268" s="18">
        <f>IF($M268&lt;&gt;"",$M268,IF($L268&lt;&gt;"",$L268*CARBON_FRACTION_OM,""))</f>
        <v/>
      </c>
      <c r="O268" s="18">
        <f>IF(OR($E268="",$F268=""),"",MAX(0,MIN($F268,REFERENCE_DEPTH_CM)-MIN($E268,REFERENCE_DEPTH_CM)))</f>
        <v/>
      </c>
      <c r="P268" s="18">
        <f>IF(OR($J268="",$N268="",$G268=""),"",$J268*($N268/100)*$G268*10)</f>
        <v/>
      </c>
      <c r="Q268" s="18">
        <f>IF(OR($J268="",$N268="",$O268=""),"",$J268*($N268/100)*$O268*10)</f>
        <v/>
      </c>
      <c r="R268" s="18">
        <f>IF(OR(NOT(ISNUMBER($P268)),NOT(ISNUMBER($G268)),$G268=0),0,$P268/$G268)</f>
        <v/>
      </c>
      <c r="S268" s="18">
        <f>IF(OR($B268="",NOT(ISNUMBER($F268))),"",SUMIFS('3. Peat Data'!$P$5:$P$604,'3. Peat Data'!$B$5:$B$604,$B268,'3. Peat Data'!$F$5:$F$604,"&lt;="&amp;$F268))</f>
        <v/>
      </c>
      <c r="T268" s="18">
        <f>IF(AND($A268="",$B268="",$E268=""),"",IF(AND($B268&lt;&gt;"",COUNTIF('2. Core Log'!$A$5:$A$124,$B268)=0),"Core ID not in Core Log. ","")&amp;IF(AND($A268&lt;&gt;"",COUNTIF('1. Plot &amp; Site Log'!$A$5:$A$64,$A268)=0),"Plot ID not in Plot &amp; Site Log. ","")&amp;IF(AND(ISNUMBER($E268),ISNUMBER($F268),$F268&lt;=$E268),"Bottom depth is not below top depth. ","")&amp;IF($I268="","Say which bulk-density basis the lab reported. ","")&amp;IF(AND(ISNUMBER($J268),OR($J268&lt;QC_BD_MIN,$J268&gt;QC_BD_MAX)),"Bulk density outside "&amp;QC_BD_MIN&amp;"–"&amp;QC_BD_MAX&amp;" g/cm³ for peat. Above the top of that range usually means the mineral contact has been passed. ","")&amp;IF(AND(ISNUMBER($N268),$N268&gt;QC_CARBON_PCT_MAX),"Carbon above "&amp;QC_CARBON_PCT_MAX&amp;"% — check units; this may be organic matter rather than carbon. ","")&amp;IF(AND($L268&lt;&gt;"",$M268&lt;&gt;""),"Both LOI and measured carbon given — the measured value is used. ","")&amp;IF(AND($M268="",$L268&lt;&gt;"",OM_FACTOR_IS_LOCAL&lt;&gt;"Yes"),"Carbon derived from LOI using the default factor of "&amp;CARBON_FRACTION_OM&amp;", which has not been calibrated locally. See R1. Reference. ","")&amp;IF(AND(ISNUMBER($O268),$O268=0,ISNUMBER($E268)),"Section lies entirely below the reference depth — it counts to the full-profile stock only. ",""))</f>
        <v/>
      </c>
      <c r="U268" s="14" t="n"/>
    </row>
    <row r="269">
      <c r="A269" s="14" t="n"/>
      <c r="B269" s="14" t="n"/>
      <c r="C269" s="14" t="n"/>
      <c r="D269" s="14" t="n"/>
      <c r="E269" s="14" t="n"/>
      <c r="F269" s="14" t="n"/>
      <c r="G269" s="14">
        <f>IF(OR($E269="",$F269=""),"",$F269-$E269)</f>
        <v/>
      </c>
      <c r="H269" s="14" t="n"/>
      <c r="I269" s="14" t="n"/>
      <c r="J269" s="19" t="n"/>
      <c r="K269" s="19" t="n"/>
      <c r="L269" s="19" t="n"/>
      <c r="M269" s="19" t="n"/>
      <c r="N269" s="18">
        <f>IF($M269&lt;&gt;"",$M269,IF($L269&lt;&gt;"",$L269*CARBON_FRACTION_OM,""))</f>
        <v/>
      </c>
      <c r="O269" s="18">
        <f>IF(OR($E269="",$F269=""),"",MAX(0,MIN($F269,REFERENCE_DEPTH_CM)-MIN($E269,REFERENCE_DEPTH_CM)))</f>
        <v/>
      </c>
      <c r="P269" s="18">
        <f>IF(OR($J269="",$N269="",$G269=""),"",$J269*($N269/100)*$G269*10)</f>
        <v/>
      </c>
      <c r="Q269" s="18">
        <f>IF(OR($J269="",$N269="",$O269=""),"",$J269*($N269/100)*$O269*10)</f>
        <v/>
      </c>
      <c r="R269" s="18">
        <f>IF(OR(NOT(ISNUMBER($P269)),NOT(ISNUMBER($G269)),$G269=0),0,$P269/$G269)</f>
        <v/>
      </c>
      <c r="S269" s="18">
        <f>IF(OR($B269="",NOT(ISNUMBER($F269))),"",SUMIFS('3. Peat Data'!$P$5:$P$604,'3. Peat Data'!$B$5:$B$604,$B269,'3. Peat Data'!$F$5:$F$604,"&lt;="&amp;$F269))</f>
        <v/>
      </c>
      <c r="T269" s="18">
        <f>IF(AND($A269="",$B269="",$E269=""),"",IF(AND($B269&lt;&gt;"",COUNTIF('2. Core Log'!$A$5:$A$124,$B269)=0),"Core ID not in Core Log. ","")&amp;IF(AND($A269&lt;&gt;"",COUNTIF('1. Plot &amp; Site Log'!$A$5:$A$64,$A269)=0),"Plot ID not in Plot &amp; Site Log. ","")&amp;IF(AND(ISNUMBER($E269),ISNUMBER($F269),$F269&lt;=$E269),"Bottom depth is not below top depth. ","")&amp;IF($I269="","Say which bulk-density basis the lab reported. ","")&amp;IF(AND(ISNUMBER($J269),OR($J269&lt;QC_BD_MIN,$J269&gt;QC_BD_MAX)),"Bulk density outside "&amp;QC_BD_MIN&amp;"–"&amp;QC_BD_MAX&amp;" g/cm³ for peat. Above the top of that range usually means the mineral contact has been passed. ","")&amp;IF(AND(ISNUMBER($N269),$N269&gt;QC_CARBON_PCT_MAX),"Carbon above "&amp;QC_CARBON_PCT_MAX&amp;"% — check units; this may be organic matter rather than carbon. ","")&amp;IF(AND($L269&lt;&gt;"",$M269&lt;&gt;""),"Both LOI and measured carbon given — the measured value is used. ","")&amp;IF(AND($M269="",$L269&lt;&gt;"",OM_FACTOR_IS_LOCAL&lt;&gt;"Yes"),"Carbon derived from LOI using the default factor of "&amp;CARBON_FRACTION_OM&amp;", which has not been calibrated locally. See R1. Reference. ","")&amp;IF(AND(ISNUMBER($O269),$O269=0,ISNUMBER($E269)),"Section lies entirely below the reference depth — it counts to the full-profile stock only. ",""))</f>
        <v/>
      </c>
      <c r="U269" s="14" t="n"/>
    </row>
    <row r="270">
      <c r="A270" s="14" t="n"/>
      <c r="B270" s="14" t="n"/>
      <c r="C270" s="14" t="n"/>
      <c r="D270" s="14" t="n"/>
      <c r="E270" s="14" t="n"/>
      <c r="F270" s="14" t="n"/>
      <c r="G270" s="14">
        <f>IF(OR($E270="",$F270=""),"",$F270-$E270)</f>
        <v/>
      </c>
      <c r="H270" s="14" t="n"/>
      <c r="I270" s="14" t="n"/>
      <c r="J270" s="19" t="n"/>
      <c r="K270" s="19" t="n"/>
      <c r="L270" s="19" t="n"/>
      <c r="M270" s="19" t="n"/>
      <c r="N270" s="18">
        <f>IF($M270&lt;&gt;"",$M270,IF($L270&lt;&gt;"",$L270*CARBON_FRACTION_OM,""))</f>
        <v/>
      </c>
      <c r="O270" s="18">
        <f>IF(OR($E270="",$F270=""),"",MAX(0,MIN($F270,REFERENCE_DEPTH_CM)-MIN($E270,REFERENCE_DEPTH_CM)))</f>
        <v/>
      </c>
      <c r="P270" s="18">
        <f>IF(OR($J270="",$N270="",$G270=""),"",$J270*($N270/100)*$G270*10)</f>
        <v/>
      </c>
      <c r="Q270" s="18">
        <f>IF(OR($J270="",$N270="",$O270=""),"",$J270*($N270/100)*$O270*10)</f>
        <v/>
      </c>
      <c r="R270" s="18">
        <f>IF(OR(NOT(ISNUMBER($P270)),NOT(ISNUMBER($G270)),$G270=0),0,$P270/$G270)</f>
        <v/>
      </c>
      <c r="S270" s="18">
        <f>IF(OR($B270="",NOT(ISNUMBER($F270))),"",SUMIFS('3. Peat Data'!$P$5:$P$604,'3. Peat Data'!$B$5:$B$604,$B270,'3. Peat Data'!$F$5:$F$604,"&lt;="&amp;$F270))</f>
        <v/>
      </c>
      <c r="T270" s="18">
        <f>IF(AND($A270="",$B270="",$E270=""),"",IF(AND($B270&lt;&gt;"",COUNTIF('2. Core Log'!$A$5:$A$124,$B270)=0),"Core ID not in Core Log. ","")&amp;IF(AND($A270&lt;&gt;"",COUNTIF('1. Plot &amp; Site Log'!$A$5:$A$64,$A270)=0),"Plot ID not in Plot &amp; Site Log. ","")&amp;IF(AND(ISNUMBER($E270),ISNUMBER($F270),$F270&lt;=$E270),"Bottom depth is not below top depth. ","")&amp;IF($I270="","Say which bulk-density basis the lab reported. ","")&amp;IF(AND(ISNUMBER($J270),OR($J270&lt;QC_BD_MIN,$J270&gt;QC_BD_MAX)),"Bulk density outside "&amp;QC_BD_MIN&amp;"–"&amp;QC_BD_MAX&amp;" g/cm³ for peat. Above the top of that range usually means the mineral contact has been passed. ","")&amp;IF(AND(ISNUMBER($N270),$N270&gt;QC_CARBON_PCT_MAX),"Carbon above "&amp;QC_CARBON_PCT_MAX&amp;"% — check units; this may be organic matter rather than carbon. ","")&amp;IF(AND($L270&lt;&gt;"",$M270&lt;&gt;""),"Both LOI and measured carbon given — the measured value is used. ","")&amp;IF(AND($M270="",$L270&lt;&gt;"",OM_FACTOR_IS_LOCAL&lt;&gt;"Yes"),"Carbon derived from LOI using the default factor of "&amp;CARBON_FRACTION_OM&amp;", which has not been calibrated locally. See R1. Reference. ","")&amp;IF(AND(ISNUMBER($O270),$O270=0,ISNUMBER($E270)),"Section lies entirely below the reference depth — it counts to the full-profile stock only. ",""))</f>
        <v/>
      </c>
      <c r="U270" s="14" t="n"/>
    </row>
    <row r="271">
      <c r="A271" s="14" t="n"/>
      <c r="B271" s="14" t="n"/>
      <c r="C271" s="14" t="n"/>
      <c r="D271" s="14" t="n"/>
      <c r="E271" s="14" t="n"/>
      <c r="F271" s="14" t="n"/>
      <c r="G271" s="14">
        <f>IF(OR($E271="",$F271=""),"",$F271-$E271)</f>
        <v/>
      </c>
      <c r="H271" s="14" t="n"/>
      <c r="I271" s="14" t="n"/>
      <c r="J271" s="19" t="n"/>
      <c r="K271" s="19" t="n"/>
      <c r="L271" s="19" t="n"/>
      <c r="M271" s="19" t="n"/>
      <c r="N271" s="18">
        <f>IF($M271&lt;&gt;"",$M271,IF($L271&lt;&gt;"",$L271*CARBON_FRACTION_OM,""))</f>
        <v/>
      </c>
      <c r="O271" s="18">
        <f>IF(OR($E271="",$F271=""),"",MAX(0,MIN($F271,REFERENCE_DEPTH_CM)-MIN($E271,REFERENCE_DEPTH_CM)))</f>
        <v/>
      </c>
      <c r="P271" s="18">
        <f>IF(OR($J271="",$N271="",$G271=""),"",$J271*($N271/100)*$G271*10)</f>
        <v/>
      </c>
      <c r="Q271" s="18">
        <f>IF(OR($J271="",$N271="",$O271=""),"",$J271*($N271/100)*$O271*10)</f>
        <v/>
      </c>
      <c r="R271" s="18">
        <f>IF(OR(NOT(ISNUMBER($P271)),NOT(ISNUMBER($G271)),$G271=0),0,$P271/$G271)</f>
        <v/>
      </c>
      <c r="S271" s="18">
        <f>IF(OR($B271="",NOT(ISNUMBER($F271))),"",SUMIFS('3. Peat Data'!$P$5:$P$604,'3. Peat Data'!$B$5:$B$604,$B271,'3. Peat Data'!$F$5:$F$604,"&lt;="&amp;$F271))</f>
        <v/>
      </c>
      <c r="T271" s="18">
        <f>IF(AND($A271="",$B271="",$E271=""),"",IF(AND($B271&lt;&gt;"",COUNTIF('2. Core Log'!$A$5:$A$124,$B271)=0),"Core ID not in Core Log. ","")&amp;IF(AND($A271&lt;&gt;"",COUNTIF('1. Plot &amp; Site Log'!$A$5:$A$64,$A271)=0),"Plot ID not in Plot &amp; Site Log. ","")&amp;IF(AND(ISNUMBER($E271),ISNUMBER($F271),$F271&lt;=$E271),"Bottom depth is not below top depth. ","")&amp;IF($I271="","Say which bulk-density basis the lab reported. ","")&amp;IF(AND(ISNUMBER($J271),OR($J271&lt;QC_BD_MIN,$J271&gt;QC_BD_MAX)),"Bulk density outside "&amp;QC_BD_MIN&amp;"–"&amp;QC_BD_MAX&amp;" g/cm³ for peat. Above the top of that range usually means the mineral contact has been passed. ","")&amp;IF(AND(ISNUMBER($N271),$N271&gt;QC_CARBON_PCT_MAX),"Carbon above "&amp;QC_CARBON_PCT_MAX&amp;"% — check units; this may be organic matter rather than carbon. ","")&amp;IF(AND($L271&lt;&gt;"",$M271&lt;&gt;""),"Both LOI and measured carbon given — the measured value is used. ","")&amp;IF(AND($M271="",$L271&lt;&gt;"",OM_FACTOR_IS_LOCAL&lt;&gt;"Yes"),"Carbon derived from LOI using the default factor of "&amp;CARBON_FRACTION_OM&amp;", which has not been calibrated locally. See R1. Reference. ","")&amp;IF(AND(ISNUMBER($O271),$O271=0,ISNUMBER($E271)),"Section lies entirely below the reference depth — it counts to the full-profile stock only. ",""))</f>
        <v/>
      </c>
      <c r="U271" s="14" t="n"/>
    </row>
    <row r="272">
      <c r="A272" s="14" t="n"/>
      <c r="B272" s="14" t="n"/>
      <c r="C272" s="14" t="n"/>
      <c r="D272" s="14" t="n"/>
      <c r="E272" s="14" t="n"/>
      <c r="F272" s="14" t="n"/>
      <c r="G272" s="14">
        <f>IF(OR($E272="",$F272=""),"",$F272-$E272)</f>
        <v/>
      </c>
      <c r="H272" s="14" t="n"/>
      <c r="I272" s="14" t="n"/>
      <c r="J272" s="19" t="n"/>
      <c r="K272" s="19" t="n"/>
      <c r="L272" s="19" t="n"/>
      <c r="M272" s="19" t="n"/>
      <c r="N272" s="18">
        <f>IF($M272&lt;&gt;"",$M272,IF($L272&lt;&gt;"",$L272*CARBON_FRACTION_OM,""))</f>
        <v/>
      </c>
      <c r="O272" s="18">
        <f>IF(OR($E272="",$F272=""),"",MAX(0,MIN($F272,REFERENCE_DEPTH_CM)-MIN($E272,REFERENCE_DEPTH_CM)))</f>
        <v/>
      </c>
      <c r="P272" s="18">
        <f>IF(OR($J272="",$N272="",$G272=""),"",$J272*($N272/100)*$G272*10)</f>
        <v/>
      </c>
      <c r="Q272" s="18">
        <f>IF(OR($J272="",$N272="",$O272=""),"",$J272*($N272/100)*$O272*10)</f>
        <v/>
      </c>
      <c r="R272" s="18">
        <f>IF(OR(NOT(ISNUMBER($P272)),NOT(ISNUMBER($G272)),$G272=0),0,$P272/$G272)</f>
        <v/>
      </c>
      <c r="S272" s="18">
        <f>IF(OR($B272="",NOT(ISNUMBER($F272))),"",SUMIFS('3. Peat Data'!$P$5:$P$604,'3. Peat Data'!$B$5:$B$604,$B272,'3. Peat Data'!$F$5:$F$604,"&lt;="&amp;$F272))</f>
        <v/>
      </c>
      <c r="T272" s="18">
        <f>IF(AND($A272="",$B272="",$E272=""),"",IF(AND($B272&lt;&gt;"",COUNTIF('2. Core Log'!$A$5:$A$124,$B272)=0),"Core ID not in Core Log. ","")&amp;IF(AND($A272&lt;&gt;"",COUNTIF('1. Plot &amp; Site Log'!$A$5:$A$64,$A272)=0),"Plot ID not in Plot &amp; Site Log. ","")&amp;IF(AND(ISNUMBER($E272),ISNUMBER($F272),$F272&lt;=$E272),"Bottom depth is not below top depth. ","")&amp;IF($I272="","Say which bulk-density basis the lab reported. ","")&amp;IF(AND(ISNUMBER($J272),OR($J272&lt;QC_BD_MIN,$J272&gt;QC_BD_MAX)),"Bulk density outside "&amp;QC_BD_MIN&amp;"–"&amp;QC_BD_MAX&amp;" g/cm³ for peat. Above the top of that range usually means the mineral contact has been passed. ","")&amp;IF(AND(ISNUMBER($N272),$N272&gt;QC_CARBON_PCT_MAX),"Carbon above "&amp;QC_CARBON_PCT_MAX&amp;"% — check units; this may be organic matter rather than carbon. ","")&amp;IF(AND($L272&lt;&gt;"",$M272&lt;&gt;""),"Both LOI and measured carbon given — the measured value is used. ","")&amp;IF(AND($M272="",$L272&lt;&gt;"",OM_FACTOR_IS_LOCAL&lt;&gt;"Yes"),"Carbon derived from LOI using the default factor of "&amp;CARBON_FRACTION_OM&amp;", which has not been calibrated locally. See R1. Reference. ","")&amp;IF(AND(ISNUMBER($O272),$O272=0,ISNUMBER($E272)),"Section lies entirely below the reference depth — it counts to the full-profile stock only. ",""))</f>
        <v/>
      </c>
      <c r="U272" s="14" t="n"/>
    </row>
    <row r="273">
      <c r="A273" s="14" t="n"/>
      <c r="B273" s="14" t="n"/>
      <c r="C273" s="14" t="n"/>
      <c r="D273" s="14" t="n"/>
      <c r="E273" s="14" t="n"/>
      <c r="F273" s="14" t="n"/>
      <c r="G273" s="14">
        <f>IF(OR($E273="",$F273=""),"",$F273-$E273)</f>
        <v/>
      </c>
      <c r="H273" s="14" t="n"/>
      <c r="I273" s="14" t="n"/>
      <c r="J273" s="19" t="n"/>
      <c r="K273" s="19" t="n"/>
      <c r="L273" s="19" t="n"/>
      <c r="M273" s="19" t="n"/>
      <c r="N273" s="18">
        <f>IF($M273&lt;&gt;"",$M273,IF($L273&lt;&gt;"",$L273*CARBON_FRACTION_OM,""))</f>
        <v/>
      </c>
      <c r="O273" s="18">
        <f>IF(OR($E273="",$F273=""),"",MAX(0,MIN($F273,REFERENCE_DEPTH_CM)-MIN($E273,REFERENCE_DEPTH_CM)))</f>
        <v/>
      </c>
      <c r="P273" s="18">
        <f>IF(OR($J273="",$N273="",$G273=""),"",$J273*($N273/100)*$G273*10)</f>
        <v/>
      </c>
      <c r="Q273" s="18">
        <f>IF(OR($J273="",$N273="",$O273=""),"",$J273*($N273/100)*$O273*10)</f>
        <v/>
      </c>
      <c r="R273" s="18">
        <f>IF(OR(NOT(ISNUMBER($P273)),NOT(ISNUMBER($G273)),$G273=0),0,$P273/$G273)</f>
        <v/>
      </c>
      <c r="S273" s="18">
        <f>IF(OR($B273="",NOT(ISNUMBER($F273))),"",SUMIFS('3. Peat Data'!$P$5:$P$604,'3. Peat Data'!$B$5:$B$604,$B273,'3. Peat Data'!$F$5:$F$604,"&lt;="&amp;$F273))</f>
        <v/>
      </c>
      <c r="T273" s="18">
        <f>IF(AND($A273="",$B273="",$E273=""),"",IF(AND($B273&lt;&gt;"",COUNTIF('2. Core Log'!$A$5:$A$124,$B273)=0),"Core ID not in Core Log. ","")&amp;IF(AND($A273&lt;&gt;"",COUNTIF('1. Plot &amp; Site Log'!$A$5:$A$64,$A273)=0),"Plot ID not in Plot &amp; Site Log. ","")&amp;IF(AND(ISNUMBER($E273),ISNUMBER($F273),$F273&lt;=$E273),"Bottom depth is not below top depth. ","")&amp;IF($I273="","Say which bulk-density basis the lab reported. ","")&amp;IF(AND(ISNUMBER($J273),OR($J273&lt;QC_BD_MIN,$J273&gt;QC_BD_MAX)),"Bulk density outside "&amp;QC_BD_MIN&amp;"–"&amp;QC_BD_MAX&amp;" g/cm³ for peat. Above the top of that range usually means the mineral contact has been passed. ","")&amp;IF(AND(ISNUMBER($N273),$N273&gt;QC_CARBON_PCT_MAX),"Carbon above "&amp;QC_CARBON_PCT_MAX&amp;"% — check units; this may be organic matter rather than carbon. ","")&amp;IF(AND($L273&lt;&gt;"",$M273&lt;&gt;""),"Both LOI and measured carbon given — the measured value is used. ","")&amp;IF(AND($M273="",$L273&lt;&gt;"",OM_FACTOR_IS_LOCAL&lt;&gt;"Yes"),"Carbon derived from LOI using the default factor of "&amp;CARBON_FRACTION_OM&amp;", which has not been calibrated locally. See R1. Reference. ","")&amp;IF(AND(ISNUMBER($O273),$O273=0,ISNUMBER($E273)),"Section lies entirely below the reference depth — it counts to the full-profile stock only. ",""))</f>
        <v/>
      </c>
      <c r="U273" s="14" t="n"/>
    </row>
    <row r="274">
      <c r="A274" s="14" t="n"/>
      <c r="B274" s="14" t="n"/>
      <c r="C274" s="14" t="n"/>
      <c r="D274" s="14" t="n"/>
      <c r="E274" s="14" t="n"/>
      <c r="F274" s="14" t="n"/>
      <c r="G274" s="14">
        <f>IF(OR($E274="",$F274=""),"",$F274-$E274)</f>
        <v/>
      </c>
      <c r="H274" s="14" t="n"/>
      <c r="I274" s="14" t="n"/>
      <c r="J274" s="19" t="n"/>
      <c r="K274" s="19" t="n"/>
      <c r="L274" s="19" t="n"/>
      <c r="M274" s="19" t="n"/>
      <c r="N274" s="18">
        <f>IF($M274&lt;&gt;"",$M274,IF($L274&lt;&gt;"",$L274*CARBON_FRACTION_OM,""))</f>
        <v/>
      </c>
      <c r="O274" s="18">
        <f>IF(OR($E274="",$F274=""),"",MAX(0,MIN($F274,REFERENCE_DEPTH_CM)-MIN($E274,REFERENCE_DEPTH_CM)))</f>
        <v/>
      </c>
      <c r="P274" s="18">
        <f>IF(OR($J274="",$N274="",$G274=""),"",$J274*($N274/100)*$G274*10)</f>
        <v/>
      </c>
      <c r="Q274" s="18">
        <f>IF(OR($J274="",$N274="",$O274=""),"",$J274*($N274/100)*$O274*10)</f>
        <v/>
      </c>
      <c r="R274" s="18">
        <f>IF(OR(NOT(ISNUMBER($P274)),NOT(ISNUMBER($G274)),$G274=0),0,$P274/$G274)</f>
        <v/>
      </c>
      <c r="S274" s="18">
        <f>IF(OR($B274="",NOT(ISNUMBER($F274))),"",SUMIFS('3. Peat Data'!$P$5:$P$604,'3. Peat Data'!$B$5:$B$604,$B274,'3. Peat Data'!$F$5:$F$604,"&lt;="&amp;$F274))</f>
        <v/>
      </c>
      <c r="T274" s="18">
        <f>IF(AND($A274="",$B274="",$E274=""),"",IF(AND($B274&lt;&gt;"",COUNTIF('2. Core Log'!$A$5:$A$124,$B274)=0),"Core ID not in Core Log. ","")&amp;IF(AND($A274&lt;&gt;"",COUNTIF('1. Plot &amp; Site Log'!$A$5:$A$64,$A274)=0),"Plot ID not in Plot &amp; Site Log. ","")&amp;IF(AND(ISNUMBER($E274),ISNUMBER($F274),$F274&lt;=$E274),"Bottom depth is not below top depth. ","")&amp;IF($I274="","Say which bulk-density basis the lab reported. ","")&amp;IF(AND(ISNUMBER($J274),OR($J274&lt;QC_BD_MIN,$J274&gt;QC_BD_MAX)),"Bulk density outside "&amp;QC_BD_MIN&amp;"–"&amp;QC_BD_MAX&amp;" g/cm³ for peat. Above the top of that range usually means the mineral contact has been passed. ","")&amp;IF(AND(ISNUMBER($N274),$N274&gt;QC_CARBON_PCT_MAX),"Carbon above "&amp;QC_CARBON_PCT_MAX&amp;"% — check units; this may be organic matter rather than carbon. ","")&amp;IF(AND($L274&lt;&gt;"",$M274&lt;&gt;""),"Both LOI and measured carbon given — the measured value is used. ","")&amp;IF(AND($M274="",$L274&lt;&gt;"",OM_FACTOR_IS_LOCAL&lt;&gt;"Yes"),"Carbon derived from LOI using the default factor of "&amp;CARBON_FRACTION_OM&amp;", which has not been calibrated locally. See R1. Reference. ","")&amp;IF(AND(ISNUMBER($O274),$O274=0,ISNUMBER($E274)),"Section lies entirely below the reference depth — it counts to the full-profile stock only. ",""))</f>
        <v/>
      </c>
      <c r="U274" s="14" t="n"/>
    </row>
    <row r="275">
      <c r="A275" s="14" t="n"/>
      <c r="B275" s="14" t="n"/>
      <c r="C275" s="14" t="n"/>
      <c r="D275" s="14" t="n"/>
      <c r="E275" s="14" t="n"/>
      <c r="F275" s="14" t="n"/>
      <c r="G275" s="14">
        <f>IF(OR($E275="",$F275=""),"",$F275-$E275)</f>
        <v/>
      </c>
      <c r="H275" s="14" t="n"/>
      <c r="I275" s="14" t="n"/>
      <c r="J275" s="19" t="n"/>
      <c r="K275" s="19" t="n"/>
      <c r="L275" s="19" t="n"/>
      <c r="M275" s="19" t="n"/>
      <c r="N275" s="18">
        <f>IF($M275&lt;&gt;"",$M275,IF($L275&lt;&gt;"",$L275*CARBON_FRACTION_OM,""))</f>
        <v/>
      </c>
      <c r="O275" s="18">
        <f>IF(OR($E275="",$F275=""),"",MAX(0,MIN($F275,REFERENCE_DEPTH_CM)-MIN($E275,REFERENCE_DEPTH_CM)))</f>
        <v/>
      </c>
      <c r="P275" s="18">
        <f>IF(OR($J275="",$N275="",$G275=""),"",$J275*($N275/100)*$G275*10)</f>
        <v/>
      </c>
      <c r="Q275" s="18">
        <f>IF(OR($J275="",$N275="",$O275=""),"",$J275*($N275/100)*$O275*10)</f>
        <v/>
      </c>
      <c r="R275" s="18">
        <f>IF(OR(NOT(ISNUMBER($P275)),NOT(ISNUMBER($G275)),$G275=0),0,$P275/$G275)</f>
        <v/>
      </c>
      <c r="S275" s="18">
        <f>IF(OR($B275="",NOT(ISNUMBER($F275))),"",SUMIFS('3. Peat Data'!$P$5:$P$604,'3. Peat Data'!$B$5:$B$604,$B275,'3. Peat Data'!$F$5:$F$604,"&lt;="&amp;$F275))</f>
        <v/>
      </c>
      <c r="T275" s="18">
        <f>IF(AND($A275="",$B275="",$E275=""),"",IF(AND($B275&lt;&gt;"",COUNTIF('2. Core Log'!$A$5:$A$124,$B275)=0),"Core ID not in Core Log. ","")&amp;IF(AND($A275&lt;&gt;"",COUNTIF('1. Plot &amp; Site Log'!$A$5:$A$64,$A275)=0),"Plot ID not in Plot &amp; Site Log. ","")&amp;IF(AND(ISNUMBER($E275),ISNUMBER($F275),$F275&lt;=$E275),"Bottom depth is not below top depth. ","")&amp;IF($I275="","Say which bulk-density basis the lab reported. ","")&amp;IF(AND(ISNUMBER($J275),OR($J275&lt;QC_BD_MIN,$J275&gt;QC_BD_MAX)),"Bulk density outside "&amp;QC_BD_MIN&amp;"–"&amp;QC_BD_MAX&amp;" g/cm³ for peat. Above the top of that range usually means the mineral contact has been passed. ","")&amp;IF(AND(ISNUMBER($N275),$N275&gt;QC_CARBON_PCT_MAX),"Carbon above "&amp;QC_CARBON_PCT_MAX&amp;"% — check units; this may be organic matter rather than carbon. ","")&amp;IF(AND($L275&lt;&gt;"",$M275&lt;&gt;""),"Both LOI and measured carbon given — the measured value is used. ","")&amp;IF(AND($M275="",$L275&lt;&gt;"",OM_FACTOR_IS_LOCAL&lt;&gt;"Yes"),"Carbon derived from LOI using the default factor of "&amp;CARBON_FRACTION_OM&amp;", which has not been calibrated locally. See R1. Reference. ","")&amp;IF(AND(ISNUMBER($O275),$O275=0,ISNUMBER($E275)),"Section lies entirely below the reference depth — it counts to the full-profile stock only. ",""))</f>
        <v/>
      </c>
      <c r="U275" s="14" t="n"/>
    </row>
    <row r="276">
      <c r="A276" s="14" t="n"/>
      <c r="B276" s="14" t="n"/>
      <c r="C276" s="14" t="n"/>
      <c r="D276" s="14" t="n"/>
      <c r="E276" s="14" t="n"/>
      <c r="F276" s="14" t="n"/>
      <c r="G276" s="14">
        <f>IF(OR($E276="",$F276=""),"",$F276-$E276)</f>
        <v/>
      </c>
      <c r="H276" s="14" t="n"/>
      <c r="I276" s="14" t="n"/>
      <c r="J276" s="19" t="n"/>
      <c r="K276" s="19" t="n"/>
      <c r="L276" s="19" t="n"/>
      <c r="M276" s="19" t="n"/>
      <c r="N276" s="18">
        <f>IF($M276&lt;&gt;"",$M276,IF($L276&lt;&gt;"",$L276*CARBON_FRACTION_OM,""))</f>
        <v/>
      </c>
      <c r="O276" s="18">
        <f>IF(OR($E276="",$F276=""),"",MAX(0,MIN($F276,REFERENCE_DEPTH_CM)-MIN($E276,REFERENCE_DEPTH_CM)))</f>
        <v/>
      </c>
      <c r="P276" s="18">
        <f>IF(OR($J276="",$N276="",$G276=""),"",$J276*($N276/100)*$G276*10)</f>
        <v/>
      </c>
      <c r="Q276" s="18">
        <f>IF(OR($J276="",$N276="",$O276=""),"",$J276*($N276/100)*$O276*10)</f>
        <v/>
      </c>
      <c r="R276" s="18">
        <f>IF(OR(NOT(ISNUMBER($P276)),NOT(ISNUMBER($G276)),$G276=0),0,$P276/$G276)</f>
        <v/>
      </c>
      <c r="S276" s="18">
        <f>IF(OR($B276="",NOT(ISNUMBER($F276))),"",SUMIFS('3. Peat Data'!$P$5:$P$604,'3. Peat Data'!$B$5:$B$604,$B276,'3. Peat Data'!$F$5:$F$604,"&lt;="&amp;$F276))</f>
        <v/>
      </c>
      <c r="T276" s="18">
        <f>IF(AND($A276="",$B276="",$E276=""),"",IF(AND($B276&lt;&gt;"",COUNTIF('2. Core Log'!$A$5:$A$124,$B276)=0),"Core ID not in Core Log. ","")&amp;IF(AND($A276&lt;&gt;"",COUNTIF('1. Plot &amp; Site Log'!$A$5:$A$64,$A276)=0),"Plot ID not in Plot &amp; Site Log. ","")&amp;IF(AND(ISNUMBER($E276),ISNUMBER($F276),$F276&lt;=$E276),"Bottom depth is not below top depth. ","")&amp;IF($I276="","Say which bulk-density basis the lab reported. ","")&amp;IF(AND(ISNUMBER($J276),OR($J276&lt;QC_BD_MIN,$J276&gt;QC_BD_MAX)),"Bulk density outside "&amp;QC_BD_MIN&amp;"–"&amp;QC_BD_MAX&amp;" g/cm³ for peat. Above the top of that range usually means the mineral contact has been passed. ","")&amp;IF(AND(ISNUMBER($N276),$N276&gt;QC_CARBON_PCT_MAX),"Carbon above "&amp;QC_CARBON_PCT_MAX&amp;"% — check units; this may be organic matter rather than carbon. ","")&amp;IF(AND($L276&lt;&gt;"",$M276&lt;&gt;""),"Both LOI and measured carbon given — the measured value is used. ","")&amp;IF(AND($M276="",$L276&lt;&gt;"",OM_FACTOR_IS_LOCAL&lt;&gt;"Yes"),"Carbon derived from LOI using the default factor of "&amp;CARBON_FRACTION_OM&amp;", which has not been calibrated locally. See R1. Reference. ","")&amp;IF(AND(ISNUMBER($O276),$O276=0,ISNUMBER($E276)),"Section lies entirely below the reference depth — it counts to the full-profile stock only. ",""))</f>
        <v/>
      </c>
      <c r="U276" s="14" t="n"/>
    </row>
    <row r="277">
      <c r="A277" s="14" t="n"/>
      <c r="B277" s="14" t="n"/>
      <c r="C277" s="14" t="n"/>
      <c r="D277" s="14" t="n"/>
      <c r="E277" s="14" t="n"/>
      <c r="F277" s="14" t="n"/>
      <c r="G277" s="14">
        <f>IF(OR($E277="",$F277=""),"",$F277-$E277)</f>
        <v/>
      </c>
      <c r="H277" s="14" t="n"/>
      <c r="I277" s="14" t="n"/>
      <c r="J277" s="19" t="n"/>
      <c r="K277" s="19" t="n"/>
      <c r="L277" s="19" t="n"/>
      <c r="M277" s="19" t="n"/>
      <c r="N277" s="18">
        <f>IF($M277&lt;&gt;"",$M277,IF($L277&lt;&gt;"",$L277*CARBON_FRACTION_OM,""))</f>
        <v/>
      </c>
      <c r="O277" s="18">
        <f>IF(OR($E277="",$F277=""),"",MAX(0,MIN($F277,REFERENCE_DEPTH_CM)-MIN($E277,REFERENCE_DEPTH_CM)))</f>
        <v/>
      </c>
      <c r="P277" s="18">
        <f>IF(OR($J277="",$N277="",$G277=""),"",$J277*($N277/100)*$G277*10)</f>
        <v/>
      </c>
      <c r="Q277" s="18">
        <f>IF(OR($J277="",$N277="",$O277=""),"",$J277*($N277/100)*$O277*10)</f>
        <v/>
      </c>
      <c r="R277" s="18">
        <f>IF(OR(NOT(ISNUMBER($P277)),NOT(ISNUMBER($G277)),$G277=0),0,$P277/$G277)</f>
        <v/>
      </c>
      <c r="S277" s="18">
        <f>IF(OR($B277="",NOT(ISNUMBER($F277))),"",SUMIFS('3. Peat Data'!$P$5:$P$604,'3. Peat Data'!$B$5:$B$604,$B277,'3. Peat Data'!$F$5:$F$604,"&lt;="&amp;$F277))</f>
        <v/>
      </c>
      <c r="T277" s="18">
        <f>IF(AND($A277="",$B277="",$E277=""),"",IF(AND($B277&lt;&gt;"",COUNTIF('2. Core Log'!$A$5:$A$124,$B277)=0),"Core ID not in Core Log. ","")&amp;IF(AND($A277&lt;&gt;"",COUNTIF('1. Plot &amp; Site Log'!$A$5:$A$64,$A277)=0),"Plot ID not in Plot &amp; Site Log. ","")&amp;IF(AND(ISNUMBER($E277),ISNUMBER($F277),$F277&lt;=$E277),"Bottom depth is not below top depth. ","")&amp;IF($I277="","Say which bulk-density basis the lab reported. ","")&amp;IF(AND(ISNUMBER($J277),OR($J277&lt;QC_BD_MIN,$J277&gt;QC_BD_MAX)),"Bulk density outside "&amp;QC_BD_MIN&amp;"–"&amp;QC_BD_MAX&amp;" g/cm³ for peat. Above the top of that range usually means the mineral contact has been passed. ","")&amp;IF(AND(ISNUMBER($N277),$N277&gt;QC_CARBON_PCT_MAX),"Carbon above "&amp;QC_CARBON_PCT_MAX&amp;"% — check units; this may be organic matter rather than carbon. ","")&amp;IF(AND($L277&lt;&gt;"",$M277&lt;&gt;""),"Both LOI and measured carbon given — the measured value is used. ","")&amp;IF(AND($M277="",$L277&lt;&gt;"",OM_FACTOR_IS_LOCAL&lt;&gt;"Yes"),"Carbon derived from LOI using the default factor of "&amp;CARBON_FRACTION_OM&amp;", which has not been calibrated locally. See R1. Reference. ","")&amp;IF(AND(ISNUMBER($O277),$O277=0,ISNUMBER($E277)),"Section lies entirely below the reference depth — it counts to the full-profile stock only. ",""))</f>
        <v/>
      </c>
      <c r="U277" s="14" t="n"/>
    </row>
    <row r="278">
      <c r="A278" s="14" t="n"/>
      <c r="B278" s="14" t="n"/>
      <c r="C278" s="14" t="n"/>
      <c r="D278" s="14" t="n"/>
      <c r="E278" s="14" t="n"/>
      <c r="F278" s="14" t="n"/>
      <c r="G278" s="14">
        <f>IF(OR($E278="",$F278=""),"",$F278-$E278)</f>
        <v/>
      </c>
      <c r="H278" s="14" t="n"/>
      <c r="I278" s="14" t="n"/>
      <c r="J278" s="19" t="n"/>
      <c r="K278" s="19" t="n"/>
      <c r="L278" s="19" t="n"/>
      <c r="M278" s="19" t="n"/>
      <c r="N278" s="18">
        <f>IF($M278&lt;&gt;"",$M278,IF($L278&lt;&gt;"",$L278*CARBON_FRACTION_OM,""))</f>
        <v/>
      </c>
      <c r="O278" s="18">
        <f>IF(OR($E278="",$F278=""),"",MAX(0,MIN($F278,REFERENCE_DEPTH_CM)-MIN($E278,REFERENCE_DEPTH_CM)))</f>
        <v/>
      </c>
      <c r="P278" s="18">
        <f>IF(OR($J278="",$N278="",$G278=""),"",$J278*($N278/100)*$G278*10)</f>
        <v/>
      </c>
      <c r="Q278" s="18">
        <f>IF(OR($J278="",$N278="",$O278=""),"",$J278*($N278/100)*$O278*10)</f>
        <v/>
      </c>
      <c r="R278" s="18">
        <f>IF(OR(NOT(ISNUMBER($P278)),NOT(ISNUMBER($G278)),$G278=0),0,$P278/$G278)</f>
        <v/>
      </c>
      <c r="S278" s="18">
        <f>IF(OR($B278="",NOT(ISNUMBER($F278))),"",SUMIFS('3. Peat Data'!$P$5:$P$604,'3. Peat Data'!$B$5:$B$604,$B278,'3. Peat Data'!$F$5:$F$604,"&lt;="&amp;$F278))</f>
        <v/>
      </c>
      <c r="T278" s="18">
        <f>IF(AND($A278="",$B278="",$E278=""),"",IF(AND($B278&lt;&gt;"",COUNTIF('2. Core Log'!$A$5:$A$124,$B278)=0),"Core ID not in Core Log. ","")&amp;IF(AND($A278&lt;&gt;"",COUNTIF('1. Plot &amp; Site Log'!$A$5:$A$64,$A278)=0),"Plot ID not in Plot &amp; Site Log. ","")&amp;IF(AND(ISNUMBER($E278),ISNUMBER($F278),$F278&lt;=$E278),"Bottom depth is not below top depth. ","")&amp;IF($I278="","Say which bulk-density basis the lab reported. ","")&amp;IF(AND(ISNUMBER($J278),OR($J278&lt;QC_BD_MIN,$J278&gt;QC_BD_MAX)),"Bulk density outside "&amp;QC_BD_MIN&amp;"–"&amp;QC_BD_MAX&amp;" g/cm³ for peat. Above the top of that range usually means the mineral contact has been passed. ","")&amp;IF(AND(ISNUMBER($N278),$N278&gt;QC_CARBON_PCT_MAX),"Carbon above "&amp;QC_CARBON_PCT_MAX&amp;"% — check units; this may be organic matter rather than carbon. ","")&amp;IF(AND($L278&lt;&gt;"",$M278&lt;&gt;""),"Both LOI and measured carbon given — the measured value is used. ","")&amp;IF(AND($M278="",$L278&lt;&gt;"",OM_FACTOR_IS_LOCAL&lt;&gt;"Yes"),"Carbon derived from LOI using the default factor of "&amp;CARBON_FRACTION_OM&amp;", which has not been calibrated locally. See R1. Reference. ","")&amp;IF(AND(ISNUMBER($O278),$O278=0,ISNUMBER($E278)),"Section lies entirely below the reference depth — it counts to the full-profile stock only. ",""))</f>
        <v/>
      </c>
      <c r="U278" s="14" t="n"/>
    </row>
    <row r="279">
      <c r="A279" s="14" t="n"/>
      <c r="B279" s="14" t="n"/>
      <c r="C279" s="14" t="n"/>
      <c r="D279" s="14" t="n"/>
      <c r="E279" s="14" t="n"/>
      <c r="F279" s="14" t="n"/>
      <c r="G279" s="14">
        <f>IF(OR($E279="",$F279=""),"",$F279-$E279)</f>
        <v/>
      </c>
      <c r="H279" s="14" t="n"/>
      <c r="I279" s="14" t="n"/>
      <c r="J279" s="19" t="n"/>
      <c r="K279" s="19" t="n"/>
      <c r="L279" s="19" t="n"/>
      <c r="M279" s="19" t="n"/>
      <c r="N279" s="18">
        <f>IF($M279&lt;&gt;"",$M279,IF($L279&lt;&gt;"",$L279*CARBON_FRACTION_OM,""))</f>
        <v/>
      </c>
      <c r="O279" s="18">
        <f>IF(OR($E279="",$F279=""),"",MAX(0,MIN($F279,REFERENCE_DEPTH_CM)-MIN($E279,REFERENCE_DEPTH_CM)))</f>
        <v/>
      </c>
      <c r="P279" s="18">
        <f>IF(OR($J279="",$N279="",$G279=""),"",$J279*($N279/100)*$G279*10)</f>
        <v/>
      </c>
      <c r="Q279" s="18">
        <f>IF(OR($J279="",$N279="",$O279=""),"",$J279*($N279/100)*$O279*10)</f>
        <v/>
      </c>
      <c r="R279" s="18">
        <f>IF(OR(NOT(ISNUMBER($P279)),NOT(ISNUMBER($G279)),$G279=0),0,$P279/$G279)</f>
        <v/>
      </c>
      <c r="S279" s="18">
        <f>IF(OR($B279="",NOT(ISNUMBER($F279))),"",SUMIFS('3. Peat Data'!$P$5:$P$604,'3. Peat Data'!$B$5:$B$604,$B279,'3. Peat Data'!$F$5:$F$604,"&lt;="&amp;$F279))</f>
        <v/>
      </c>
      <c r="T279" s="18">
        <f>IF(AND($A279="",$B279="",$E279=""),"",IF(AND($B279&lt;&gt;"",COUNTIF('2. Core Log'!$A$5:$A$124,$B279)=0),"Core ID not in Core Log. ","")&amp;IF(AND($A279&lt;&gt;"",COUNTIF('1. Plot &amp; Site Log'!$A$5:$A$64,$A279)=0),"Plot ID not in Plot &amp; Site Log. ","")&amp;IF(AND(ISNUMBER($E279),ISNUMBER($F279),$F279&lt;=$E279),"Bottom depth is not below top depth. ","")&amp;IF($I279="","Say which bulk-density basis the lab reported. ","")&amp;IF(AND(ISNUMBER($J279),OR($J279&lt;QC_BD_MIN,$J279&gt;QC_BD_MAX)),"Bulk density outside "&amp;QC_BD_MIN&amp;"–"&amp;QC_BD_MAX&amp;" g/cm³ for peat. Above the top of that range usually means the mineral contact has been passed. ","")&amp;IF(AND(ISNUMBER($N279),$N279&gt;QC_CARBON_PCT_MAX),"Carbon above "&amp;QC_CARBON_PCT_MAX&amp;"% — check units; this may be organic matter rather than carbon. ","")&amp;IF(AND($L279&lt;&gt;"",$M279&lt;&gt;""),"Both LOI and measured carbon given — the measured value is used. ","")&amp;IF(AND($M279="",$L279&lt;&gt;"",OM_FACTOR_IS_LOCAL&lt;&gt;"Yes"),"Carbon derived from LOI using the default factor of "&amp;CARBON_FRACTION_OM&amp;", which has not been calibrated locally. See R1. Reference. ","")&amp;IF(AND(ISNUMBER($O279),$O279=0,ISNUMBER($E279)),"Section lies entirely below the reference depth — it counts to the full-profile stock only. ",""))</f>
        <v/>
      </c>
      <c r="U279" s="14" t="n"/>
    </row>
    <row r="280">
      <c r="A280" s="14" t="n"/>
      <c r="B280" s="14" t="n"/>
      <c r="C280" s="14" t="n"/>
      <c r="D280" s="14" t="n"/>
      <c r="E280" s="14" t="n"/>
      <c r="F280" s="14" t="n"/>
      <c r="G280" s="14">
        <f>IF(OR($E280="",$F280=""),"",$F280-$E280)</f>
        <v/>
      </c>
      <c r="H280" s="14" t="n"/>
      <c r="I280" s="14" t="n"/>
      <c r="J280" s="19" t="n"/>
      <c r="K280" s="19" t="n"/>
      <c r="L280" s="19" t="n"/>
      <c r="M280" s="19" t="n"/>
      <c r="N280" s="18">
        <f>IF($M280&lt;&gt;"",$M280,IF($L280&lt;&gt;"",$L280*CARBON_FRACTION_OM,""))</f>
        <v/>
      </c>
      <c r="O280" s="18">
        <f>IF(OR($E280="",$F280=""),"",MAX(0,MIN($F280,REFERENCE_DEPTH_CM)-MIN($E280,REFERENCE_DEPTH_CM)))</f>
        <v/>
      </c>
      <c r="P280" s="18">
        <f>IF(OR($J280="",$N280="",$G280=""),"",$J280*($N280/100)*$G280*10)</f>
        <v/>
      </c>
      <c r="Q280" s="18">
        <f>IF(OR($J280="",$N280="",$O280=""),"",$J280*($N280/100)*$O280*10)</f>
        <v/>
      </c>
      <c r="R280" s="18">
        <f>IF(OR(NOT(ISNUMBER($P280)),NOT(ISNUMBER($G280)),$G280=0),0,$P280/$G280)</f>
        <v/>
      </c>
      <c r="S280" s="18">
        <f>IF(OR($B280="",NOT(ISNUMBER($F280))),"",SUMIFS('3. Peat Data'!$P$5:$P$604,'3. Peat Data'!$B$5:$B$604,$B280,'3. Peat Data'!$F$5:$F$604,"&lt;="&amp;$F280))</f>
        <v/>
      </c>
      <c r="T280" s="18">
        <f>IF(AND($A280="",$B280="",$E280=""),"",IF(AND($B280&lt;&gt;"",COUNTIF('2. Core Log'!$A$5:$A$124,$B280)=0),"Core ID not in Core Log. ","")&amp;IF(AND($A280&lt;&gt;"",COUNTIF('1. Plot &amp; Site Log'!$A$5:$A$64,$A280)=0),"Plot ID not in Plot &amp; Site Log. ","")&amp;IF(AND(ISNUMBER($E280),ISNUMBER($F280),$F280&lt;=$E280),"Bottom depth is not below top depth. ","")&amp;IF($I280="","Say which bulk-density basis the lab reported. ","")&amp;IF(AND(ISNUMBER($J280),OR($J280&lt;QC_BD_MIN,$J280&gt;QC_BD_MAX)),"Bulk density outside "&amp;QC_BD_MIN&amp;"–"&amp;QC_BD_MAX&amp;" g/cm³ for peat. Above the top of that range usually means the mineral contact has been passed. ","")&amp;IF(AND(ISNUMBER($N280),$N280&gt;QC_CARBON_PCT_MAX),"Carbon above "&amp;QC_CARBON_PCT_MAX&amp;"% — check units; this may be organic matter rather than carbon. ","")&amp;IF(AND($L280&lt;&gt;"",$M280&lt;&gt;""),"Both LOI and measured carbon given — the measured value is used. ","")&amp;IF(AND($M280="",$L280&lt;&gt;"",OM_FACTOR_IS_LOCAL&lt;&gt;"Yes"),"Carbon derived from LOI using the default factor of "&amp;CARBON_FRACTION_OM&amp;", which has not been calibrated locally. See R1. Reference. ","")&amp;IF(AND(ISNUMBER($O280),$O280=0,ISNUMBER($E280)),"Section lies entirely below the reference depth — it counts to the full-profile stock only. ",""))</f>
        <v/>
      </c>
      <c r="U280" s="14" t="n"/>
    </row>
    <row r="281">
      <c r="A281" s="14" t="n"/>
      <c r="B281" s="14" t="n"/>
      <c r="C281" s="14" t="n"/>
      <c r="D281" s="14" t="n"/>
      <c r="E281" s="14" t="n"/>
      <c r="F281" s="14" t="n"/>
      <c r="G281" s="14">
        <f>IF(OR($E281="",$F281=""),"",$F281-$E281)</f>
        <v/>
      </c>
      <c r="H281" s="14" t="n"/>
      <c r="I281" s="14" t="n"/>
      <c r="J281" s="19" t="n"/>
      <c r="K281" s="19" t="n"/>
      <c r="L281" s="19" t="n"/>
      <c r="M281" s="19" t="n"/>
      <c r="N281" s="18">
        <f>IF($M281&lt;&gt;"",$M281,IF($L281&lt;&gt;"",$L281*CARBON_FRACTION_OM,""))</f>
        <v/>
      </c>
      <c r="O281" s="18">
        <f>IF(OR($E281="",$F281=""),"",MAX(0,MIN($F281,REFERENCE_DEPTH_CM)-MIN($E281,REFERENCE_DEPTH_CM)))</f>
        <v/>
      </c>
      <c r="P281" s="18">
        <f>IF(OR($J281="",$N281="",$G281=""),"",$J281*($N281/100)*$G281*10)</f>
        <v/>
      </c>
      <c r="Q281" s="18">
        <f>IF(OR($J281="",$N281="",$O281=""),"",$J281*($N281/100)*$O281*10)</f>
        <v/>
      </c>
      <c r="R281" s="18">
        <f>IF(OR(NOT(ISNUMBER($P281)),NOT(ISNUMBER($G281)),$G281=0),0,$P281/$G281)</f>
        <v/>
      </c>
      <c r="S281" s="18">
        <f>IF(OR($B281="",NOT(ISNUMBER($F281))),"",SUMIFS('3. Peat Data'!$P$5:$P$604,'3. Peat Data'!$B$5:$B$604,$B281,'3. Peat Data'!$F$5:$F$604,"&lt;="&amp;$F281))</f>
        <v/>
      </c>
      <c r="T281" s="18">
        <f>IF(AND($A281="",$B281="",$E281=""),"",IF(AND($B281&lt;&gt;"",COUNTIF('2. Core Log'!$A$5:$A$124,$B281)=0),"Core ID not in Core Log. ","")&amp;IF(AND($A281&lt;&gt;"",COUNTIF('1. Plot &amp; Site Log'!$A$5:$A$64,$A281)=0),"Plot ID not in Plot &amp; Site Log. ","")&amp;IF(AND(ISNUMBER($E281),ISNUMBER($F281),$F281&lt;=$E281),"Bottom depth is not below top depth. ","")&amp;IF($I281="","Say which bulk-density basis the lab reported. ","")&amp;IF(AND(ISNUMBER($J281),OR($J281&lt;QC_BD_MIN,$J281&gt;QC_BD_MAX)),"Bulk density outside "&amp;QC_BD_MIN&amp;"–"&amp;QC_BD_MAX&amp;" g/cm³ for peat. Above the top of that range usually means the mineral contact has been passed. ","")&amp;IF(AND(ISNUMBER($N281),$N281&gt;QC_CARBON_PCT_MAX),"Carbon above "&amp;QC_CARBON_PCT_MAX&amp;"% — check units; this may be organic matter rather than carbon. ","")&amp;IF(AND($L281&lt;&gt;"",$M281&lt;&gt;""),"Both LOI and measured carbon given — the measured value is used. ","")&amp;IF(AND($M281="",$L281&lt;&gt;"",OM_FACTOR_IS_LOCAL&lt;&gt;"Yes"),"Carbon derived from LOI using the default factor of "&amp;CARBON_FRACTION_OM&amp;", which has not been calibrated locally. See R1. Reference. ","")&amp;IF(AND(ISNUMBER($O281),$O281=0,ISNUMBER($E281)),"Section lies entirely below the reference depth — it counts to the full-profile stock only. ",""))</f>
        <v/>
      </c>
      <c r="U281" s="14" t="n"/>
    </row>
    <row r="282">
      <c r="A282" s="14" t="n"/>
      <c r="B282" s="14" t="n"/>
      <c r="C282" s="14" t="n"/>
      <c r="D282" s="14" t="n"/>
      <c r="E282" s="14" t="n"/>
      <c r="F282" s="14" t="n"/>
      <c r="G282" s="14">
        <f>IF(OR($E282="",$F282=""),"",$F282-$E282)</f>
        <v/>
      </c>
      <c r="H282" s="14" t="n"/>
      <c r="I282" s="14" t="n"/>
      <c r="J282" s="19" t="n"/>
      <c r="K282" s="19" t="n"/>
      <c r="L282" s="19" t="n"/>
      <c r="M282" s="19" t="n"/>
      <c r="N282" s="18">
        <f>IF($M282&lt;&gt;"",$M282,IF($L282&lt;&gt;"",$L282*CARBON_FRACTION_OM,""))</f>
        <v/>
      </c>
      <c r="O282" s="18">
        <f>IF(OR($E282="",$F282=""),"",MAX(0,MIN($F282,REFERENCE_DEPTH_CM)-MIN($E282,REFERENCE_DEPTH_CM)))</f>
        <v/>
      </c>
      <c r="P282" s="18">
        <f>IF(OR($J282="",$N282="",$G282=""),"",$J282*($N282/100)*$G282*10)</f>
        <v/>
      </c>
      <c r="Q282" s="18">
        <f>IF(OR($J282="",$N282="",$O282=""),"",$J282*($N282/100)*$O282*10)</f>
        <v/>
      </c>
      <c r="R282" s="18">
        <f>IF(OR(NOT(ISNUMBER($P282)),NOT(ISNUMBER($G282)),$G282=0),0,$P282/$G282)</f>
        <v/>
      </c>
      <c r="S282" s="18">
        <f>IF(OR($B282="",NOT(ISNUMBER($F282))),"",SUMIFS('3. Peat Data'!$P$5:$P$604,'3. Peat Data'!$B$5:$B$604,$B282,'3. Peat Data'!$F$5:$F$604,"&lt;="&amp;$F282))</f>
        <v/>
      </c>
      <c r="T282" s="18">
        <f>IF(AND($A282="",$B282="",$E282=""),"",IF(AND($B282&lt;&gt;"",COUNTIF('2. Core Log'!$A$5:$A$124,$B282)=0),"Core ID not in Core Log. ","")&amp;IF(AND($A282&lt;&gt;"",COUNTIF('1. Plot &amp; Site Log'!$A$5:$A$64,$A282)=0),"Plot ID not in Plot &amp; Site Log. ","")&amp;IF(AND(ISNUMBER($E282),ISNUMBER($F282),$F282&lt;=$E282),"Bottom depth is not below top depth. ","")&amp;IF($I282="","Say which bulk-density basis the lab reported. ","")&amp;IF(AND(ISNUMBER($J282),OR($J282&lt;QC_BD_MIN,$J282&gt;QC_BD_MAX)),"Bulk density outside "&amp;QC_BD_MIN&amp;"–"&amp;QC_BD_MAX&amp;" g/cm³ for peat. Above the top of that range usually means the mineral contact has been passed. ","")&amp;IF(AND(ISNUMBER($N282),$N282&gt;QC_CARBON_PCT_MAX),"Carbon above "&amp;QC_CARBON_PCT_MAX&amp;"% — check units; this may be organic matter rather than carbon. ","")&amp;IF(AND($L282&lt;&gt;"",$M282&lt;&gt;""),"Both LOI and measured carbon given — the measured value is used. ","")&amp;IF(AND($M282="",$L282&lt;&gt;"",OM_FACTOR_IS_LOCAL&lt;&gt;"Yes"),"Carbon derived from LOI using the default factor of "&amp;CARBON_FRACTION_OM&amp;", which has not been calibrated locally. See R1. Reference. ","")&amp;IF(AND(ISNUMBER($O282),$O282=0,ISNUMBER($E282)),"Section lies entirely below the reference depth — it counts to the full-profile stock only. ",""))</f>
        <v/>
      </c>
      <c r="U282" s="14" t="n"/>
    </row>
    <row r="283">
      <c r="A283" s="14" t="n"/>
      <c r="B283" s="14" t="n"/>
      <c r="C283" s="14" t="n"/>
      <c r="D283" s="14" t="n"/>
      <c r="E283" s="14" t="n"/>
      <c r="F283" s="14" t="n"/>
      <c r="G283" s="14">
        <f>IF(OR($E283="",$F283=""),"",$F283-$E283)</f>
        <v/>
      </c>
      <c r="H283" s="14" t="n"/>
      <c r="I283" s="14" t="n"/>
      <c r="J283" s="19" t="n"/>
      <c r="K283" s="19" t="n"/>
      <c r="L283" s="19" t="n"/>
      <c r="M283" s="19" t="n"/>
      <c r="N283" s="18">
        <f>IF($M283&lt;&gt;"",$M283,IF($L283&lt;&gt;"",$L283*CARBON_FRACTION_OM,""))</f>
        <v/>
      </c>
      <c r="O283" s="18">
        <f>IF(OR($E283="",$F283=""),"",MAX(0,MIN($F283,REFERENCE_DEPTH_CM)-MIN($E283,REFERENCE_DEPTH_CM)))</f>
        <v/>
      </c>
      <c r="P283" s="18">
        <f>IF(OR($J283="",$N283="",$G283=""),"",$J283*($N283/100)*$G283*10)</f>
        <v/>
      </c>
      <c r="Q283" s="18">
        <f>IF(OR($J283="",$N283="",$O283=""),"",$J283*($N283/100)*$O283*10)</f>
        <v/>
      </c>
      <c r="R283" s="18">
        <f>IF(OR(NOT(ISNUMBER($P283)),NOT(ISNUMBER($G283)),$G283=0),0,$P283/$G283)</f>
        <v/>
      </c>
      <c r="S283" s="18">
        <f>IF(OR($B283="",NOT(ISNUMBER($F283))),"",SUMIFS('3. Peat Data'!$P$5:$P$604,'3. Peat Data'!$B$5:$B$604,$B283,'3. Peat Data'!$F$5:$F$604,"&lt;="&amp;$F283))</f>
        <v/>
      </c>
      <c r="T283" s="18">
        <f>IF(AND($A283="",$B283="",$E283=""),"",IF(AND($B283&lt;&gt;"",COUNTIF('2. Core Log'!$A$5:$A$124,$B283)=0),"Core ID not in Core Log. ","")&amp;IF(AND($A283&lt;&gt;"",COUNTIF('1. Plot &amp; Site Log'!$A$5:$A$64,$A283)=0),"Plot ID not in Plot &amp; Site Log. ","")&amp;IF(AND(ISNUMBER($E283),ISNUMBER($F283),$F283&lt;=$E283),"Bottom depth is not below top depth. ","")&amp;IF($I283="","Say which bulk-density basis the lab reported. ","")&amp;IF(AND(ISNUMBER($J283),OR($J283&lt;QC_BD_MIN,$J283&gt;QC_BD_MAX)),"Bulk density outside "&amp;QC_BD_MIN&amp;"–"&amp;QC_BD_MAX&amp;" g/cm³ for peat. Above the top of that range usually means the mineral contact has been passed. ","")&amp;IF(AND(ISNUMBER($N283),$N283&gt;QC_CARBON_PCT_MAX),"Carbon above "&amp;QC_CARBON_PCT_MAX&amp;"% — check units; this may be organic matter rather than carbon. ","")&amp;IF(AND($L283&lt;&gt;"",$M283&lt;&gt;""),"Both LOI and measured carbon given — the measured value is used. ","")&amp;IF(AND($M283="",$L283&lt;&gt;"",OM_FACTOR_IS_LOCAL&lt;&gt;"Yes"),"Carbon derived from LOI using the default factor of "&amp;CARBON_FRACTION_OM&amp;", which has not been calibrated locally. See R1. Reference. ","")&amp;IF(AND(ISNUMBER($O283),$O283=0,ISNUMBER($E283)),"Section lies entirely below the reference depth — it counts to the full-profile stock only. ",""))</f>
        <v/>
      </c>
      <c r="U283" s="14" t="n"/>
    </row>
    <row r="284">
      <c r="A284" s="14" t="n"/>
      <c r="B284" s="14" t="n"/>
      <c r="C284" s="14" t="n"/>
      <c r="D284" s="14" t="n"/>
      <c r="E284" s="14" t="n"/>
      <c r="F284" s="14" t="n"/>
      <c r="G284" s="14">
        <f>IF(OR($E284="",$F284=""),"",$F284-$E284)</f>
        <v/>
      </c>
      <c r="H284" s="14" t="n"/>
      <c r="I284" s="14" t="n"/>
      <c r="J284" s="19" t="n"/>
      <c r="K284" s="19" t="n"/>
      <c r="L284" s="19" t="n"/>
      <c r="M284" s="19" t="n"/>
      <c r="N284" s="18">
        <f>IF($M284&lt;&gt;"",$M284,IF($L284&lt;&gt;"",$L284*CARBON_FRACTION_OM,""))</f>
        <v/>
      </c>
      <c r="O284" s="18">
        <f>IF(OR($E284="",$F284=""),"",MAX(0,MIN($F284,REFERENCE_DEPTH_CM)-MIN($E284,REFERENCE_DEPTH_CM)))</f>
        <v/>
      </c>
      <c r="P284" s="18">
        <f>IF(OR($J284="",$N284="",$G284=""),"",$J284*($N284/100)*$G284*10)</f>
        <v/>
      </c>
      <c r="Q284" s="18">
        <f>IF(OR($J284="",$N284="",$O284=""),"",$J284*($N284/100)*$O284*10)</f>
        <v/>
      </c>
      <c r="R284" s="18">
        <f>IF(OR(NOT(ISNUMBER($P284)),NOT(ISNUMBER($G284)),$G284=0),0,$P284/$G284)</f>
        <v/>
      </c>
      <c r="S284" s="18">
        <f>IF(OR($B284="",NOT(ISNUMBER($F284))),"",SUMIFS('3. Peat Data'!$P$5:$P$604,'3. Peat Data'!$B$5:$B$604,$B284,'3. Peat Data'!$F$5:$F$604,"&lt;="&amp;$F284))</f>
        <v/>
      </c>
      <c r="T284" s="18">
        <f>IF(AND($A284="",$B284="",$E284=""),"",IF(AND($B284&lt;&gt;"",COUNTIF('2. Core Log'!$A$5:$A$124,$B284)=0),"Core ID not in Core Log. ","")&amp;IF(AND($A284&lt;&gt;"",COUNTIF('1. Plot &amp; Site Log'!$A$5:$A$64,$A284)=0),"Plot ID not in Plot &amp; Site Log. ","")&amp;IF(AND(ISNUMBER($E284),ISNUMBER($F284),$F284&lt;=$E284),"Bottom depth is not below top depth. ","")&amp;IF($I284="","Say which bulk-density basis the lab reported. ","")&amp;IF(AND(ISNUMBER($J284),OR($J284&lt;QC_BD_MIN,$J284&gt;QC_BD_MAX)),"Bulk density outside "&amp;QC_BD_MIN&amp;"–"&amp;QC_BD_MAX&amp;" g/cm³ for peat. Above the top of that range usually means the mineral contact has been passed. ","")&amp;IF(AND(ISNUMBER($N284),$N284&gt;QC_CARBON_PCT_MAX),"Carbon above "&amp;QC_CARBON_PCT_MAX&amp;"% — check units; this may be organic matter rather than carbon. ","")&amp;IF(AND($L284&lt;&gt;"",$M284&lt;&gt;""),"Both LOI and measured carbon given — the measured value is used. ","")&amp;IF(AND($M284="",$L284&lt;&gt;"",OM_FACTOR_IS_LOCAL&lt;&gt;"Yes"),"Carbon derived from LOI using the default factor of "&amp;CARBON_FRACTION_OM&amp;", which has not been calibrated locally. See R1. Reference. ","")&amp;IF(AND(ISNUMBER($O284),$O284=0,ISNUMBER($E284)),"Section lies entirely below the reference depth — it counts to the full-profile stock only. ",""))</f>
        <v/>
      </c>
      <c r="U284" s="14" t="n"/>
    </row>
    <row r="285">
      <c r="A285" s="14" t="n"/>
      <c r="B285" s="14" t="n"/>
      <c r="C285" s="14" t="n"/>
      <c r="D285" s="14" t="n"/>
      <c r="E285" s="14" t="n"/>
      <c r="F285" s="14" t="n"/>
      <c r="G285" s="14">
        <f>IF(OR($E285="",$F285=""),"",$F285-$E285)</f>
        <v/>
      </c>
      <c r="H285" s="14" t="n"/>
      <c r="I285" s="14" t="n"/>
      <c r="J285" s="19" t="n"/>
      <c r="K285" s="19" t="n"/>
      <c r="L285" s="19" t="n"/>
      <c r="M285" s="19" t="n"/>
      <c r="N285" s="18">
        <f>IF($M285&lt;&gt;"",$M285,IF($L285&lt;&gt;"",$L285*CARBON_FRACTION_OM,""))</f>
        <v/>
      </c>
      <c r="O285" s="18">
        <f>IF(OR($E285="",$F285=""),"",MAX(0,MIN($F285,REFERENCE_DEPTH_CM)-MIN($E285,REFERENCE_DEPTH_CM)))</f>
        <v/>
      </c>
      <c r="P285" s="18">
        <f>IF(OR($J285="",$N285="",$G285=""),"",$J285*($N285/100)*$G285*10)</f>
        <v/>
      </c>
      <c r="Q285" s="18">
        <f>IF(OR($J285="",$N285="",$O285=""),"",$J285*($N285/100)*$O285*10)</f>
        <v/>
      </c>
      <c r="R285" s="18">
        <f>IF(OR(NOT(ISNUMBER($P285)),NOT(ISNUMBER($G285)),$G285=0),0,$P285/$G285)</f>
        <v/>
      </c>
      <c r="S285" s="18">
        <f>IF(OR($B285="",NOT(ISNUMBER($F285))),"",SUMIFS('3. Peat Data'!$P$5:$P$604,'3. Peat Data'!$B$5:$B$604,$B285,'3. Peat Data'!$F$5:$F$604,"&lt;="&amp;$F285))</f>
        <v/>
      </c>
      <c r="T285" s="18">
        <f>IF(AND($A285="",$B285="",$E285=""),"",IF(AND($B285&lt;&gt;"",COUNTIF('2. Core Log'!$A$5:$A$124,$B285)=0),"Core ID not in Core Log. ","")&amp;IF(AND($A285&lt;&gt;"",COUNTIF('1. Plot &amp; Site Log'!$A$5:$A$64,$A285)=0),"Plot ID not in Plot &amp; Site Log. ","")&amp;IF(AND(ISNUMBER($E285),ISNUMBER($F285),$F285&lt;=$E285),"Bottom depth is not below top depth. ","")&amp;IF($I285="","Say which bulk-density basis the lab reported. ","")&amp;IF(AND(ISNUMBER($J285),OR($J285&lt;QC_BD_MIN,$J285&gt;QC_BD_MAX)),"Bulk density outside "&amp;QC_BD_MIN&amp;"–"&amp;QC_BD_MAX&amp;" g/cm³ for peat. Above the top of that range usually means the mineral contact has been passed. ","")&amp;IF(AND(ISNUMBER($N285),$N285&gt;QC_CARBON_PCT_MAX),"Carbon above "&amp;QC_CARBON_PCT_MAX&amp;"% — check units; this may be organic matter rather than carbon. ","")&amp;IF(AND($L285&lt;&gt;"",$M285&lt;&gt;""),"Both LOI and measured carbon given — the measured value is used. ","")&amp;IF(AND($M285="",$L285&lt;&gt;"",OM_FACTOR_IS_LOCAL&lt;&gt;"Yes"),"Carbon derived from LOI using the default factor of "&amp;CARBON_FRACTION_OM&amp;", which has not been calibrated locally. See R1. Reference. ","")&amp;IF(AND(ISNUMBER($O285),$O285=0,ISNUMBER($E285)),"Section lies entirely below the reference depth — it counts to the full-profile stock only. ",""))</f>
        <v/>
      </c>
      <c r="U285" s="14" t="n"/>
    </row>
    <row r="286">
      <c r="A286" s="14" t="n"/>
      <c r="B286" s="14" t="n"/>
      <c r="C286" s="14" t="n"/>
      <c r="D286" s="14" t="n"/>
      <c r="E286" s="14" t="n"/>
      <c r="F286" s="14" t="n"/>
      <c r="G286" s="14">
        <f>IF(OR($E286="",$F286=""),"",$F286-$E286)</f>
        <v/>
      </c>
      <c r="H286" s="14" t="n"/>
      <c r="I286" s="14" t="n"/>
      <c r="J286" s="19" t="n"/>
      <c r="K286" s="19" t="n"/>
      <c r="L286" s="19" t="n"/>
      <c r="M286" s="19" t="n"/>
      <c r="N286" s="18">
        <f>IF($M286&lt;&gt;"",$M286,IF($L286&lt;&gt;"",$L286*CARBON_FRACTION_OM,""))</f>
        <v/>
      </c>
      <c r="O286" s="18">
        <f>IF(OR($E286="",$F286=""),"",MAX(0,MIN($F286,REFERENCE_DEPTH_CM)-MIN($E286,REFERENCE_DEPTH_CM)))</f>
        <v/>
      </c>
      <c r="P286" s="18">
        <f>IF(OR($J286="",$N286="",$G286=""),"",$J286*($N286/100)*$G286*10)</f>
        <v/>
      </c>
      <c r="Q286" s="18">
        <f>IF(OR($J286="",$N286="",$O286=""),"",$J286*($N286/100)*$O286*10)</f>
        <v/>
      </c>
      <c r="R286" s="18">
        <f>IF(OR(NOT(ISNUMBER($P286)),NOT(ISNUMBER($G286)),$G286=0),0,$P286/$G286)</f>
        <v/>
      </c>
      <c r="S286" s="18">
        <f>IF(OR($B286="",NOT(ISNUMBER($F286))),"",SUMIFS('3. Peat Data'!$P$5:$P$604,'3. Peat Data'!$B$5:$B$604,$B286,'3. Peat Data'!$F$5:$F$604,"&lt;="&amp;$F286))</f>
        <v/>
      </c>
      <c r="T286" s="18">
        <f>IF(AND($A286="",$B286="",$E286=""),"",IF(AND($B286&lt;&gt;"",COUNTIF('2. Core Log'!$A$5:$A$124,$B286)=0),"Core ID not in Core Log. ","")&amp;IF(AND($A286&lt;&gt;"",COUNTIF('1. Plot &amp; Site Log'!$A$5:$A$64,$A286)=0),"Plot ID not in Plot &amp; Site Log. ","")&amp;IF(AND(ISNUMBER($E286),ISNUMBER($F286),$F286&lt;=$E286),"Bottom depth is not below top depth. ","")&amp;IF($I286="","Say which bulk-density basis the lab reported. ","")&amp;IF(AND(ISNUMBER($J286),OR($J286&lt;QC_BD_MIN,$J286&gt;QC_BD_MAX)),"Bulk density outside "&amp;QC_BD_MIN&amp;"–"&amp;QC_BD_MAX&amp;" g/cm³ for peat. Above the top of that range usually means the mineral contact has been passed. ","")&amp;IF(AND(ISNUMBER($N286),$N286&gt;QC_CARBON_PCT_MAX),"Carbon above "&amp;QC_CARBON_PCT_MAX&amp;"% — check units; this may be organic matter rather than carbon. ","")&amp;IF(AND($L286&lt;&gt;"",$M286&lt;&gt;""),"Both LOI and measured carbon given — the measured value is used. ","")&amp;IF(AND($M286="",$L286&lt;&gt;"",OM_FACTOR_IS_LOCAL&lt;&gt;"Yes"),"Carbon derived from LOI using the default factor of "&amp;CARBON_FRACTION_OM&amp;", which has not been calibrated locally. See R1. Reference. ","")&amp;IF(AND(ISNUMBER($O286),$O286=0,ISNUMBER($E286)),"Section lies entirely below the reference depth — it counts to the full-profile stock only. ",""))</f>
        <v/>
      </c>
      <c r="U286" s="14" t="n"/>
    </row>
    <row r="287">
      <c r="A287" s="14" t="n"/>
      <c r="B287" s="14" t="n"/>
      <c r="C287" s="14" t="n"/>
      <c r="D287" s="14" t="n"/>
      <c r="E287" s="14" t="n"/>
      <c r="F287" s="14" t="n"/>
      <c r="G287" s="14">
        <f>IF(OR($E287="",$F287=""),"",$F287-$E287)</f>
        <v/>
      </c>
      <c r="H287" s="14" t="n"/>
      <c r="I287" s="14" t="n"/>
      <c r="J287" s="19" t="n"/>
      <c r="K287" s="19" t="n"/>
      <c r="L287" s="19" t="n"/>
      <c r="M287" s="19" t="n"/>
      <c r="N287" s="18">
        <f>IF($M287&lt;&gt;"",$M287,IF($L287&lt;&gt;"",$L287*CARBON_FRACTION_OM,""))</f>
        <v/>
      </c>
      <c r="O287" s="18">
        <f>IF(OR($E287="",$F287=""),"",MAX(0,MIN($F287,REFERENCE_DEPTH_CM)-MIN($E287,REFERENCE_DEPTH_CM)))</f>
        <v/>
      </c>
      <c r="P287" s="18">
        <f>IF(OR($J287="",$N287="",$G287=""),"",$J287*($N287/100)*$G287*10)</f>
        <v/>
      </c>
      <c r="Q287" s="18">
        <f>IF(OR($J287="",$N287="",$O287=""),"",$J287*($N287/100)*$O287*10)</f>
        <v/>
      </c>
      <c r="R287" s="18">
        <f>IF(OR(NOT(ISNUMBER($P287)),NOT(ISNUMBER($G287)),$G287=0),0,$P287/$G287)</f>
        <v/>
      </c>
      <c r="S287" s="18">
        <f>IF(OR($B287="",NOT(ISNUMBER($F287))),"",SUMIFS('3. Peat Data'!$P$5:$P$604,'3. Peat Data'!$B$5:$B$604,$B287,'3. Peat Data'!$F$5:$F$604,"&lt;="&amp;$F287))</f>
        <v/>
      </c>
      <c r="T287" s="18">
        <f>IF(AND($A287="",$B287="",$E287=""),"",IF(AND($B287&lt;&gt;"",COUNTIF('2. Core Log'!$A$5:$A$124,$B287)=0),"Core ID not in Core Log. ","")&amp;IF(AND($A287&lt;&gt;"",COUNTIF('1. Plot &amp; Site Log'!$A$5:$A$64,$A287)=0),"Plot ID not in Plot &amp; Site Log. ","")&amp;IF(AND(ISNUMBER($E287),ISNUMBER($F287),$F287&lt;=$E287),"Bottom depth is not below top depth. ","")&amp;IF($I287="","Say which bulk-density basis the lab reported. ","")&amp;IF(AND(ISNUMBER($J287),OR($J287&lt;QC_BD_MIN,$J287&gt;QC_BD_MAX)),"Bulk density outside "&amp;QC_BD_MIN&amp;"–"&amp;QC_BD_MAX&amp;" g/cm³ for peat. Above the top of that range usually means the mineral contact has been passed. ","")&amp;IF(AND(ISNUMBER($N287),$N287&gt;QC_CARBON_PCT_MAX),"Carbon above "&amp;QC_CARBON_PCT_MAX&amp;"% — check units; this may be organic matter rather than carbon. ","")&amp;IF(AND($L287&lt;&gt;"",$M287&lt;&gt;""),"Both LOI and measured carbon given — the measured value is used. ","")&amp;IF(AND($M287="",$L287&lt;&gt;"",OM_FACTOR_IS_LOCAL&lt;&gt;"Yes"),"Carbon derived from LOI using the default factor of "&amp;CARBON_FRACTION_OM&amp;", which has not been calibrated locally. See R1. Reference. ","")&amp;IF(AND(ISNUMBER($O287),$O287=0,ISNUMBER($E287)),"Section lies entirely below the reference depth — it counts to the full-profile stock only. ",""))</f>
        <v/>
      </c>
      <c r="U287" s="14" t="n"/>
    </row>
    <row r="288">
      <c r="A288" s="14" t="n"/>
      <c r="B288" s="14" t="n"/>
      <c r="C288" s="14" t="n"/>
      <c r="D288" s="14" t="n"/>
      <c r="E288" s="14" t="n"/>
      <c r="F288" s="14" t="n"/>
      <c r="G288" s="14">
        <f>IF(OR($E288="",$F288=""),"",$F288-$E288)</f>
        <v/>
      </c>
      <c r="H288" s="14" t="n"/>
      <c r="I288" s="14" t="n"/>
      <c r="J288" s="19" t="n"/>
      <c r="K288" s="19" t="n"/>
      <c r="L288" s="19" t="n"/>
      <c r="M288" s="19" t="n"/>
      <c r="N288" s="18">
        <f>IF($M288&lt;&gt;"",$M288,IF($L288&lt;&gt;"",$L288*CARBON_FRACTION_OM,""))</f>
        <v/>
      </c>
      <c r="O288" s="18">
        <f>IF(OR($E288="",$F288=""),"",MAX(0,MIN($F288,REFERENCE_DEPTH_CM)-MIN($E288,REFERENCE_DEPTH_CM)))</f>
        <v/>
      </c>
      <c r="P288" s="18">
        <f>IF(OR($J288="",$N288="",$G288=""),"",$J288*($N288/100)*$G288*10)</f>
        <v/>
      </c>
      <c r="Q288" s="18">
        <f>IF(OR($J288="",$N288="",$O288=""),"",$J288*($N288/100)*$O288*10)</f>
        <v/>
      </c>
      <c r="R288" s="18">
        <f>IF(OR(NOT(ISNUMBER($P288)),NOT(ISNUMBER($G288)),$G288=0),0,$P288/$G288)</f>
        <v/>
      </c>
      <c r="S288" s="18">
        <f>IF(OR($B288="",NOT(ISNUMBER($F288))),"",SUMIFS('3. Peat Data'!$P$5:$P$604,'3. Peat Data'!$B$5:$B$604,$B288,'3. Peat Data'!$F$5:$F$604,"&lt;="&amp;$F288))</f>
        <v/>
      </c>
      <c r="T288" s="18">
        <f>IF(AND($A288="",$B288="",$E288=""),"",IF(AND($B288&lt;&gt;"",COUNTIF('2. Core Log'!$A$5:$A$124,$B288)=0),"Core ID not in Core Log. ","")&amp;IF(AND($A288&lt;&gt;"",COUNTIF('1. Plot &amp; Site Log'!$A$5:$A$64,$A288)=0),"Plot ID not in Plot &amp; Site Log. ","")&amp;IF(AND(ISNUMBER($E288),ISNUMBER($F288),$F288&lt;=$E288),"Bottom depth is not below top depth. ","")&amp;IF($I288="","Say which bulk-density basis the lab reported. ","")&amp;IF(AND(ISNUMBER($J288),OR($J288&lt;QC_BD_MIN,$J288&gt;QC_BD_MAX)),"Bulk density outside "&amp;QC_BD_MIN&amp;"–"&amp;QC_BD_MAX&amp;" g/cm³ for peat. Above the top of that range usually means the mineral contact has been passed. ","")&amp;IF(AND(ISNUMBER($N288),$N288&gt;QC_CARBON_PCT_MAX),"Carbon above "&amp;QC_CARBON_PCT_MAX&amp;"% — check units; this may be organic matter rather than carbon. ","")&amp;IF(AND($L288&lt;&gt;"",$M288&lt;&gt;""),"Both LOI and measured carbon given — the measured value is used. ","")&amp;IF(AND($M288="",$L288&lt;&gt;"",OM_FACTOR_IS_LOCAL&lt;&gt;"Yes"),"Carbon derived from LOI using the default factor of "&amp;CARBON_FRACTION_OM&amp;", which has not been calibrated locally. See R1. Reference. ","")&amp;IF(AND(ISNUMBER($O288),$O288=0,ISNUMBER($E288)),"Section lies entirely below the reference depth — it counts to the full-profile stock only. ",""))</f>
        <v/>
      </c>
      <c r="U288" s="14" t="n"/>
    </row>
    <row r="289">
      <c r="A289" s="14" t="n"/>
      <c r="B289" s="14" t="n"/>
      <c r="C289" s="14" t="n"/>
      <c r="D289" s="14" t="n"/>
      <c r="E289" s="14" t="n"/>
      <c r="F289" s="14" t="n"/>
      <c r="G289" s="14">
        <f>IF(OR($E289="",$F289=""),"",$F289-$E289)</f>
        <v/>
      </c>
      <c r="H289" s="14" t="n"/>
      <c r="I289" s="14" t="n"/>
      <c r="J289" s="19" t="n"/>
      <c r="K289" s="19" t="n"/>
      <c r="L289" s="19" t="n"/>
      <c r="M289" s="19" t="n"/>
      <c r="N289" s="18">
        <f>IF($M289&lt;&gt;"",$M289,IF($L289&lt;&gt;"",$L289*CARBON_FRACTION_OM,""))</f>
        <v/>
      </c>
      <c r="O289" s="18">
        <f>IF(OR($E289="",$F289=""),"",MAX(0,MIN($F289,REFERENCE_DEPTH_CM)-MIN($E289,REFERENCE_DEPTH_CM)))</f>
        <v/>
      </c>
      <c r="P289" s="18">
        <f>IF(OR($J289="",$N289="",$G289=""),"",$J289*($N289/100)*$G289*10)</f>
        <v/>
      </c>
      <c r="Q289" s="18">
        <f>IF(OR($J289="",$N289="",$O289=""),"",$J289*($N289/100)*$O289*10)</f>
        <v/>
      </c>
      <c r="R289" s="18">
        <f>IF(OR(NOT(ISNUMBER($P289)),NOT(ISNUMBER($G289)),$G289=0),0,$P289/$G289)</f>
        <v/>
      </c>
      <c r="S289" s="18">
        <f>IF(OR($B289="",NOT(ISNUMBER($F289))),"",SUMIFS('3. Peat Data'!$P$5:$P$604,'3. Peat Data'!$B$5:$B$604,$B289,'3. Peat Data'!$F$5:$F$604,"&lt;="&amp;$F289))</f>
        <v/>
      </c>
      <c r="T289" s="18">
        <f>IF(AND($A289="",$B289="",$E289=""),"",IF(AND($B289&lt;&gt;"",COUNTIF('2. Core Log'!$A$5:$A$124,$B289)=0),"Core ID not in Core Log. ","")&amp;IF(AND($A289&lt;&gt;"",COUNTIF('1. Plot &amp; Site Log'!$A$5:$A$64,$A289)=0),"Plot ID not in Plot &amp; Site Log. ","")&amp;IF(AND(ISNUMBER($E289),ISNUMBER($F289),$F289&lt;=$E289),"Bottom depth is not below top depth. ","")&amp;IF($I289="","Say which bulk-density basis the lab reported. ","")&amp;IF(AND(ISNUMBER($J289),OR($J289&lt;QC_BD_MIN,$J289&gt;QC_BD_MAX)),"Bulk density outside "&amp;QC_BD_MIN&amp;"–"&amp;QC_BD_MAX&amp;" g/cm³ for peat. Above the top of that range usually means the mineral contact has been passed. ","")&amp;IF(AND(ISNUMBER($N289),$N289&gt;QC_CARBON_PCT_MAX),"Carbon above "&amp;QC_CARBON_PCT_MAX&amp;"% — check units; this may be organic matter rather than carbon. ","")&amp;IF(AND($L289&lt;&gt;"",$M289&lt;&gt;""),"Both LOI and measured carbon given — the measured value is used. ","")&amp;IF(AND($M289="",$L289&lt;&gt;"",OM_FACTOR_IS_LOCAL&lt;&gt;"Yes"),"Carbon derived from LOI using the default factor of "&amp;CARBON_FRACTION_OM&amp;", which has not been calibrated locally. See R1. Reference. ","")&amp;IF(AND(ISNUMBER($O289),$O289=0,ISNUMBER($E289)),"Section lies entirely below the reference depth — it counts to the full-profile stock only. ",""))</f>
        <v/>
      </c>
      <c r="U289" s="14" t="n"/>
    </row>
    <row r="290">
      <c r="A290" s="14" t="n"/>
      <c r="B290" s="14" t="n"/>
      <c r="C290" s="14" t="n"/>
      <c r="D290" s="14" t="n"/>
      <c r="E290" s="14" t="n"/>
      <c r="F290" s="14" t="n"/>
      <c r="G290" s="14">
        <f>IF(OR($E290="",$F290=""),"",$F290-$E290)</f>
        <v/>
      </c>
      <c r="H290" s="14" t="n"/>
      <c r="I290" s="14" t="n"/>
      <c r="J290" s="19" t="n"/>
      <c r="K290" s="19" t="n"/>
      <c r="L290" s="19" t="n"/>
      <c r="M290" s="19" t="n"/>
      <c r="N290" s="18">
        <f>IF($M290&lt;&gt;"",$M290,IF($L290&lt;&gt;"",$L290*CARBON_FRACTION_OM,""))</f>
        <v/>
      </c>
      <c r="O290" s="18">
        <f>IF(OR($E290="",$F290=""),"",MAX(0,MIN($F290,REFERENCE_DEPTH_CM)-MIN($E290,REFERENCE_DEPTH_CM)))</f>
        <v/>
      </c>
      <c r="P290" s="18">
        <f>IF(OR($J290="",$N290="",$G290=""),"",$J290*($N290/100)*$G290*10)</f>
        <v/>
      </c>
      <c r="Q290" s="18">
        <f>IF(OR($J290="",$N290="",$O290=""),"",$J290*($N290/100)*$O290*10)</f>
        <v/>
      </c>
      <c r="R290" s="18">
        <f>IF(OR(NOT(ISNUMBER($P290)),NOT(ISNUMBER($G290)),$G290=0),0,$P290/$G290)</f>
        <v/>
      </c>
      <c r="S290" s="18">
        <f>IF(OR($B290="",NOT(ISNUMBER($F290))),"",SUMIFS('3. Peat Data'!$P$5:$P$604,'3. Peat Data'!$B$5:$B$604,$B290,'3. Peat Data'!$F$5:$F$604,"&lt;="&amp;$F290))</f>
        <v/>
      </c>
      <c r="T290" s="18">
        <f>IF(AND($A290="",$B290="",$E290=""),"",IF(AND($B290&lt;&gt;"",COUNTIF('2. Core Log'!$A$5:$A$124,$B290)=0),"Core ID not in Core Log. ","")&amp;IF(AND($A290&lt;&gt;"",COUNTIF('1. Plot &amp; Site Log'!$A$5:$A$64,$A290)=0),"Plot ID not in Plot &amp; Site Log. ","")&amp;IF(AND(ISNUMBER($E290),ISNUMBER($F290),$F290&lt;=$E290),"Bottom depth is not below top depth. ","")&amp;IF($I290="","Say which bulk-density basis the lab reported. ","")&amp;IF(AND(ISNUMBER($J290),OR($J290&lt;QC_BD_MIN,$J290&gt;QC_BD_MAX)),"Bulk density outside "&amp;QC_BD_MIN&amp;"–"&amp;QC_BD_MAX&amp;" g/cm³ for peat. Above the top of that range usually means the mineral contact has been passed. ","")&amp;IF(AND(ISNUMBER($N290),$N290&gt;QC_CARBON_PCT_MAX),"Carbon above "&amp;QC_CARBON_PCT_MAX&amp;"% — check units; this may be organic matter rather than carbon. ","")&amp;IF(AND($L290&lt;&gt;"",$M290&lt;&gt;""),"Both LOI and measured carbon given — the measured value is used. ","")&amp;IF(AND($M290="",$L290&lt;&gt;"",OM_FACTOR_IS_LOCAL&lt;&gt;"Yes"),"Carbon derived from LOI using the default factor of "&amp;CARBON_FRACTION_OM&amp;", which has not been calibrated locally. See R1. Reference. ","")&amp;IF(AND(ISNUMBER($O290),$O290=0,ISNUMBER($E290)),"Section lies entirely below the reference depth — it counts to the full-profile stock only. ",""))</f>
        <v/>
      </c>
      <c r="U290" s="14" t="n"/>
    </row>
    <row r="291">
      <c r="A291" s="14" t="n"/>
      <c r="B291" s="14" t="n"/>
      <c r="C291" s="14" t="n"/>
      <c r="D291" s="14" t="n"/>
      <c r="E291" s="14" t="n"/>
      <c r="F291" s="14" t="n"/>
      <c r="G291" s="14">
        <f>IF(OR($E291="",$F291=""),"",$F291-$E291)</f>
        <v/>
      </c>
      <c r="H291" s="14" t="n"/>
      <c r="I291" s="14" t="n"/>
      <c r="J291" s="19" t="n"/>
      <c r="K291" s="19" t="n"/>
      <c r="L291" s="19" t="n"/>
      <c r="M291" s="19" t="n"/>
      <c r="N291" s="18">
        <f>IF($M291&lt;&gt;"",$M291,IF($L291&lt;&gt;"",$L291*CARBON_FRACTION_OM,""))</f>
        <v/>
      </c>
      <c r="O291" s="18">
        <f>IF(OR($E291="",$F291=""),"",MAX(0,MIN($F291,REFERENCE_DEPTH_CM)-MIN($E291,REFERENCE_DEPTH_CM)))</f>
        <v/>
      </c>
      <c r="P291" s="18">
        <f>IF(OR($J291="",$N291="",$G291=""),"",$J291*($N291/100)*$G291*10)</f>
        <v/>
      </c>
      <c r="Q291" s="18">
        <f>IF(OR($J291="",$N291="",$O291=""),"",$J291*($N291/100)*$O291*10)</f>
        <v/>
      </c>
      <c r="R291" s="18">
        <f>IF(OR(NOT(ISNUMBER($P291)),NOT(ISNUMBER($G291)),$G291=0),0,$P291/$G291)</f>
        <v/>
      </c>
      <c r="S291" s="18">
        <f>IF(OR($B291="",NOT(ISNUMBER($F291))),"",SUMIFS('3. Peat Data'!$P$5:$P$604,'3. Peat Data'!$B$5:$B$604,$B291,'3. Peat Data'!$F$5:$F$604,"&lt;="&amp;$F291))</f>
        <v/>
      </c>
      <c r="T291" s="18">
        <f>IF(AND($A291="",$B291="",$E291=""),"",IF(AND($B291&lt;&gt;"",COUNTIF('2. Core Log'!$A$5:$A$124,$B291)=0),"Core ID not in Core Log. ","")&amp;IF(AND($A291&lt;&gt;"",COUNTIF('1. Plot &amp; Site Log'!$A$5:$A$64,$A291)=0),"Plot ID not in Plot &amp; Site Log. ","")&amp;IF(AND(ISNUMBER($E291),ISNUMBER($F291),$F291&lt;=$E291),"Bottom depth is not below top depth. ","")&amp;IF($I291="","Say which bulk-density basis the lab reported. ","")&amp;IF(AND(ISNUMBER($J291),OR($J291&lt;QC_BD_MIN,$J291&gt;QC_BD_MAX)),"Bulk density outside "&amp;QC_BD_MIN&amp;"–"&amp;QC_BD_MAX&amp;" g/cm³ for peat. Above the top of that range usually means the mineral contact has been passed. ","")&amp;IF(AND(ISNUMBER($N291),$N291&gt;QC_CARBON_PCT_MAX),"Carbon above "&amp;QC_CARBON_PCT_MAX&amp;"% — check units; this may be organic matter rather than carbon. ","")&amp;IF(AND($L291&lt;&gt;"",$M291&lt;&gt;""),"Both LOI and measured carbon given — the measured value is used. ","")&amp;IF(AND($M291="",$L291&lt;&gt;"",OM_FACTOR_IS_LOCAL&lt;&gt;"Yes"),"Carbon derived from LOI using the default factor of "&amp;CARBON_FRACTION_OM&amp;", which has not been calibrated locally. See R1. Reference. ","")&amp;IF(AND(ISNUMBER($O291),$O291=0,ISNUMBER($E291)),"Section lies entirely below the reference depth — it counts to the full-profile stock only. ",""))</f>
        <v/>
      </c>
      <c r="U291" s="14" t="n"/>
    </row>
    <row r="292">
      <c r="A292" s="14" t="n"/>
      <c r="B292" s="14" t="n"/>
      <c r="C292" s="14" t="n"/>
      <c r="D292" s="14" t="n"/>
      <c r="E292" s="14" t="n"/>
      <c r="F292" s="14" t="n"/>
      <c r="G292" s="14">
        <f>IF(OR($E292="",$F292=""),"",$F292-$E292)</f>
        <v/>
      </c>
      <c r="H292" s="14" t="n"/>
      <c r="I292" s="14" t="n"/>
      <c r="J292" s="19" t="n"/>
      <c r="K292" s="19" t="n"/>
      <c r="L292" s="19" t="n"/>
      <c r="M292" s="19" t="n"/>
      <c r="N292" s="18">
        <f>IF($M292&lt;&gt;"",$M292,IF($L292&lt;&gt;"",$L292*CARBON_FRACTION_OM,""))</f>
        <v/>
      </c>
      <c r="O292" s="18">
        <f>IF(OR($E292="",$F292=""),"",MAX(0,MIN($F292,REFERENCE_DEPTH_CM)-MIN($E292,REFERENCE_DEPTH_CM)))</f>
        <v/>
      </c>
      <c r="P292" s="18">
        <f>IF(OR($J292="",$N292="",$G292=""),"",$J292*($N292/100)*$G292*10)</f>
        <v/>
      </c>
      <c r="Q292" s="18">
        <f>IF(OR($J292="",$N292="",$O292=""),"",$J292*($N292/100)*$O292*10)</f>
        <v/>
      </c>
      <c r="R292" s="18">
        <f>IF(OR(NOT(ISNUMBER($P292)),NOT(ISNUMBER($G292)),$G292=0),0,$P292/$G292)</f>
        <v/>
      </c>
      <c r="S292" s="18">
        <f>IF(OR($B292="",NOT(ISNUMBER($F292))),"",SUMIFS('3. Peat Data'!$P$5:$P$604,'3. Peat Data'!$B$5:$B$604,$B292,'3. Peat Data'!$F$5:$F$604,"&lt;="&amp;$F292))</f>
        <v/>
      </c>
      <c r="T292" s="18">
        <f>IF(AND($A292="",$B292="",$E292=""),"",IF(AND($B292&lt;&gt;"",COUNTIF('2. Core Log'!$A$5:$A$124,$B292)=0),"Core ID not in Core Log. ","")&amp;IF(AND($A292&lt;&gt;"",COUNTIF('1. Plot &amp; Site Log'!$A$5:$A$64,$A292)=0),"Plot ID not in Plot &amp; Site Log. ","")&amp;IF(AND(ISNUMBER($E292),ISNUMBER($F292),$F292&lt;=$E292),"Bottom depth is not below top depth. ","")&amp;IF($I292="","Say which bulk-density basis the lab reported. ","")&amp;IF(AND(ISNUMBER($J292),OR($J292&lt;QC_BD_MIN,$J292&gt;QC_BD_MAX)),"Bulk density outside "&amp;QC_BD_MIN&amp;"–"&amp;QC_BD_MAX&amp;" g/cm³ for peat. Above the top of that range usually means the mineral contact has been passed. ","")&amp;IF(AND(ISNUMBER($N292),$N292&gt;QC_CARBON_PCT_MAX),"Carbon above "&amp;QC_CARBON_PCT_MAX&amp;"% — check units; this may be organic matter rather than carbon. ","")&amp;IF(AND($L292&lt;&gt;"",$M292&lt;&gt;""),"Both LOI and measured carbon given — the measured value is used. ","")&amp;IF(AND($M292="",$L292&lt;&gt;"",OM_FACTOR_IS_LOCAL&lt;&gt;"Yes"),"Carbon derived from LOI using the default factor of "&amp;CARBON_FRACTION_OM&amp;", which has not been calibrated locally. See R1. Reference. ","")&amp;IF(AND(ISNUMBER($O292),$O292=0,ISNUMBER($E292)),"Section lies entirely below the reference depth — it counts to the full-profile stock only. ",""))</f>
        <v/>
      </c>
      <c r="U292" s="14" t="n"/>
    </row>
    <row r="293">
      <c r="A293" s="14" t="n"/>
      <c r="B293" s="14" t="n"/>
      <c r="C293" s="14" t="n"/>
      <c r="D293" s="14" t="n"/>
      <c r="E293" s="14" t="n"/>
      <c r="F293" s="14" t="n"/>
      <c r="G293" s="14">
        <f>IF(OR($E293="",$F293=""),"",$F293-$E293)</f>
        <v/>
      </c>
      <c r="H293" s="14" t="n"/>
      <c r="I293" s="14" t="n"/>
      <c r="J293" s="19" t="n"/>
      <c r="K293" s="19" t="n"/>
      <c r="L293" s="19" t="n"/>
      <c r="M293" s="19" t="n"/>
      <c r="N293" s="18">
        <f>IF($M293&lt;&gt;"",$M293,IF($L293&lt;&gt;"",$L293*CARBON_FRACTION_OM,""))</f>
        <v/>
      </c>
      <c r="O293" s="18">
        <f>IF(OR($E293="",$F293=""),"",MAX(0,MIN($F293,REFERENCE_DEPTH_CM)-MIN($E293,REFERENCE_DEPTH_CM)))</f>
        <v/>
      </c>
      <c r="P293" s="18">
        <f>IF(OR($J293="",$N293="",$G293=""),"",$J293*($N293/100)*$G293*10)</f>
        <v/>
      </c>
      <c r="Q293" s="18">
        <f>IF(OR($J293="",$N293="",$O293=""),"",$J293*($N293/100)*$O293*10)</f>
        <v/>
      </c>
      <c r="R293" s="18">
        <f>IF(OR(NOT(ISNUMBER($P293)),NOT(ISNUMBER($G293)),$G293=0),0,$P293/$G293)</f>
        <v/>
      </c>
      <c r="S293" s="18">
        <f>IF(OR($B293="",NOT(ISNUMBER($F293))),"",SUMIFS('3. Peat Data'!$P$5:$P$604,'3. Peat Data'!$B$5:$B$604,$B293,'3. Peat Data'!$F$5:$F$604,"&lt;="&amp;$F293))</f>
        <v/>
      </c>
      <c r="T293" s="18">
        <f>IF(AND($A293="",$B293="",$E293=""),"",IF(AND($B293&lt;&gt;"",COUNTIF('2. Core Log'!$A$5:$A$124,$B293)=0),"Core ID not in Core Log. ","")&amp;IF(AND($A293&lt;&gt;"",COUNTIF('1. Plot &amp; Site Log'!$A$5:$A$64,$A293)=0),"Plot ID not in Plot &amp; Site Log. ","")&amp;IF(AND(ISNUMBER($E293),ISNUMBER($F293),$F293&lt;=$E293),"Bottom depth is not below top depth. ","")&amp;IF($I293="","Say which bulk-density basis the lab reported. ","")&amp;IF(AND(ISNUMBER($J293),OR($J293&lt;QC_BD_MIN,$J293&gt;QC_BD_MAX)),"Bulk density outside "&amp;QC_BD_MIN&amp;"–"&amp;QC_BD_MAX&amp;" g/cm³ for peat. Above the top of that range usually means the mineral contact has been passed. ","")&amp;IF(AND(ISNUMBER($N293),$N293&gt;QC_CARBON_PCT_MAX),"Carbon above "&amp;QC_CARBON_PCT_MAX&amp;"% — check units; this may be organic matter rather than carbon. ","")&amp;IF(AND($L293&lt;&gt;"",$M293&lt;&gt;""),"Both LOI and measured carbon given — the measured value is used. ","")&amp;IF(AND($M293="",$L293&lt;&gt;"",OM_FACTOR_IS_LOCAL&lt;&gt;"Yes"),"Carbon derived from LOI using the default factor of "&amp;CARBON_FRACTION_OM&amp;", which has not been calibrated locally. See R1. Reference. ","")&amp;IF(AND(ISNUMBER($O293),$O293=0,ISNUMBER($E293)),"Section lies entirely below the reference depth — it counts to the full-profile stock only. ",""))</f>
        <v/>
      </c>
      <c r="U293" s="14" t="n"/>
    </row>
    <row r="294">
      <c r="A294" s="14" t="n"/>
      <c r="B294" s="14" t="n"/>
      <c r="C294" s="14" t="n"/>
      <c r="D294" s="14" t="n"/>
      <c r="E294" s="14" t="n"/>
      <c r="F294" s="14" t="n"/>
      <c r="G294" s="14">
        <f>IF(OR($E294="",$F294=""),"",$F294-$E294)</f>
        <v/>
      </c>
      <c r="H294" s="14" t="n"/>
      <c r="I294" s="14" t="n"/>
      <c r="J294" s="19" t="n"/>
      <c r="K294" s="19" t="n"/>
      <c r="L294" s="19" t="n"/>
      <c r="M294" s="19" t="n"/>
      <c r="N294" s="18">
        <f>IF($M294&lt;&gt;"",$M294,IF($L294&lt;&gt;"",$L294*CARBON_FRACTION_OM,""))</f>
        <v/>
      </c>
      <c r="O294" s="18">
        <f>IF(OR($E294="",$F294=""),"",MAX(0,MIN($F294,REFERENCE_DEPTH_CM)-MIN($E294,REFERENCE_DEPTH_CM)))</f>
        <v/>
      </c>
      <c r="P294" s="18">
        <f>IF(OR($J294="",$N294="",$G294=""),"",$J294*($N294/100)*$G294*10)</f>
        <v/>
      </c>
      <c r="Q294" s="18">
        <f>IF(OR($J294="",$N294="",$O294=""),"",$J294*($N294/100)*$O294*10)</f>
        <v/>
      </c>
      <c r="R294" s="18">
        <f>IF(OR(NOT(ISNUMBER($P294)),NOT(ISNUMBER($G294)),$G294=0),0,$P294/$G294)</f>
        <v/>
      </c>
      <c r="S294" s="18">
        <f>IF(OR($B294="",NOT(ISNUMBER($F294))),"",SUMIFS('3. Peat Data'!$P$5:$P$604,'3. Peat Data'!$B$5:$B$604,$B294,'3. Peat Data'!$F$5:$F$604,"&lt;="&amp;$F294))</f>
        <v/>
      </c>
      <c r="T294" s="18">
        <f>IF(AND($A294="",$B294="",$E294=""),"",IF(AND($B294&lt;&gt;"",COUNTIF('2. Core Log'!$A$5:$A$124,$B294)=0),"Core ID not in Core Log. ","")&amp;IF(AND($A294&lt;&gt;"",COUNTIF('1. Plot &amp; Site Log'!$A$5:$A$64,$A294)=0),"Plot ID not in Plot &amp; Site Log. ","")&amp;IF(AND(ISNUMBER($E294),ISNUMBER($F294),$F294&lt;=$E294),"Bottom depth is not below top depth. ","")&amp;IF($I294="","Say which bulk-density basis the lab reported. ","")&amp;IF(AND(ISNUMBER($J294),OR($J294&lt;QC_BD_MIN,$J294&gt;QC_BD_MAX)),"Bulk density outside "&amp;QC_BD_MIN&amp;"–"&amp;QC_BD_MAX&amp;" g/cm³ for peat. Above the top of that range usually means the mineral contact has been passed. ","")&amp;IF(AND(ISNUMBER($N294),$N294&gt;QC_CARBON_PCT_MAX),"Carbon above "&amp;QC_CARBON_PCT_MAX&amp;"% — check units; this may be organic matter rather than carbon. ","")&amp;IF(AND($L294&lt;&gt;"",$M294&lt;&gt;""),"Both LOI and measured carbon given — the measured value is used. ","")&amp;IF(AND($M294="",$L294&lt;&gt;"",OM_FACTOR_IS_LOCAL&lt;&gt;"Yes"),"Carbon derived from LOI using the default factor of "&amp;CARBON_FRACTION_OM&amp;", which has not been calibrated locally. See R1. Reference. ","")&amp;IF(AND(ISNUMBER($O294),$O294=0,ISNUMBER($E294)),"Section lies entirely below the reference depth — it counts to the full-profile stock only. ",""))</f>
        <v/>
      </c>
      <c r="U294" s="14" t="n"/>
    </row>
    <row r="295">
      <c r="A295" s="14" t="n"/>
      <c r="B295" s="14" t="n"/>
      <c r="C295" s="14" t="n"/>
      <c r="D295" s="14" t="n"/>
      <c r="E295" s="14" t="n"/>
      <c r="F295" s="14" t="n"/>
      <c r="G295" s="14">
        <f>IF(OR($E295="",$F295=""),"",$F295-$E295)</f>
        <v/>
      </c>
      <c r="H295" s="14" t="n"/>
      <c r="I295" s="14" t="n"/>
      <c r="J295" s="19" t="n"/>
      <c r="K295" s="19" t="n"/>
      <c r="L295" s="19" t="n"/>
      <c r="M295" s="19" t="n"/>
      <c r="N295" s="18">
        <f>IF($M295&lt;&gt;"",$M295,IF($L295&lt;&gt;"",$L295*CARBON_FRACTION_OM,""))</f>
        <v/>
      </c>
      <c r="O295" s="18">
        <f>IF(OR($E295="",$F295=""),"",MAX(0,MIN($F295,REFERENCE_DEPTH_CM)-MIN($E295,REFERENCE_DEPTH_CM)))</f>
        <v/>
      </c>
      <c r="P295" s="18">
        <f>IF(OR($J295="",$N295="",$G295=""),"",$J295*($N295/100)*$G295*10)</f>
        <v/>
      </c>
      <c r="Q295" s="18">
        <f>IF(OR($J295="",$N295="",$O295=""),"",$J295*($N295/100)*$O295*10)</f>
        <v/>
      </c>
      <c r="R295" s="18">
        <f>IF(OR(NOT(ISNUMBER($P295)),NOT(ISNUMBER($G295)),$G295=0),0,$P295/$G295)</f>
        <v/>
      </c>
      <c r="S295" s="18">
        <f>IF(OR($B295="",NOT(ISNUMBER($F295))),"",SUMIFS('3. Peat Data'!$P$5:$P$604,'3. Peat Data'!$B$5:$B$604,$B295,'3. Peat Data'!$F$5:$F$604,"&lt;="&amp;$F295))</f>
        <v/>
      </c>
      <c r="T295" s="18">
        <f>IF(AND($A295="",$B295="",$E295=""),"",IF(AND($B295&lt;&gt;"",COUNTIF('2. Core Log'!$A$5:$A$124,$B295)=0),"Core ID not in Core Log. ","")&amp;IF(AND($A295&lt;&gt;"",COUNTIF('1. Plot &amp; Site Log'!$A$5:$A$64,$A295)=0),"Plot ID not in Plot &amp; Site Log. ","")&amp;IF(AND(ISNUMBER($E295),ISNUMBER($F295),$F295&lt;=$E295),"Bottom depth is not below top depth. ","")&amp;IF($I295="","Say which bulk-density basis the lab reported. ","")&amp;IF(AND(ISNUMBER($J295),OR($J295&lt;QC_BD_MIN,$J295&gt;QC_BD_MAX)),"Bulk density outside "&amp;QC_BD_MIN&amp;"–"&amp;QC_BD_MAX&amp;" g/cm³ for peat. Above the top of that range usually means the mineral contact has been passed. ","")&amp;IF(AND(ISNUMBER($N295),$N295&gt;QC_CARBON_PCT_MAX),"Carbon above "&amp;QC_CARBON_PCT_MAX&amp;"% — check units; this may be organic matter rather than carbon. ","")&amp;IF(AND($L295&lt;&gt;"",$M295&lt;&gt;""),"Both LOI and measured carbon given — the measured value is used. ","")&amp;IF(AND($M295="",$L295&lt;&gt;"",OM_FACTOR_IS_LOCAL&lt;&gt;"Yes"),"Carbon derived from LOI using the default factor of "&amp;CARBON_FRACTION_OM&amp;", which has not been calibrated locally. See R1. Reference. ","")&amp;IF(AND(ISNUMBER($O295),$O295=0,ISNUMBER($E295)),"Section lies entirely below the reference depth — it counts to the full-profile stock only. ",""))</f>
        <v/>
      </c>
      <c r="U295" s="14" t="n"/>
    </row>
    <row r="296">
      <c r="A296" s="14" t="n"/>
      <c r="B296" s="14" t="n"/>
      <c r="C296" s="14" t="n"/>
      <c r="D296" s="14" t="n"/>
      <c r="E296" s="14" t="n"/>
      <c r="F296" s="14" t="n"/>
      <c r="G296" s="14">
        <f>IF(OR($E296="",$F296=""),"",$F296-$E296)</f>
        <v/>
      </c>
      <c r="H296" s="14" t="n"/>
      <c r="I296" s="14" t="n"/>
      <c r="J296" s="19" t="n"/>
      <c r="K296" s="19" t="n"/>
      <c r="L296" s="19" t="n"/>
      <c r="M296" s="19" t="n"/>
      <c r="N296" s="18">
        <f>IF($M296&lt;&gt;"",$M296,IF($L296&lt;&gt;"",$L296*CARBON_FRACTION_OM,""))</f>
        <v/>
      </c>
      <c r="O296" s="18">
        <f>IF(OR($E296="",$F296=""),"",MAX(0,MIN($F296,REFERENCE_DEPTH_CM)-MIN($E296,REFERENCE_DEPTH_CM)))</f>
        <v/>
      </c>
      <c r="P296" s="18">
        <f>IF(OR($J296="",$N296="",$G296=""),"",$J296*($N296/100)*$G296*10)</f>
        <v/>
      </c>
      <c r="Q296" s="18">
        <f>IF(OR($J296="",$N296="",$O296=""),"",$J296*($N296/100)*$O296*10)</f>
        <v/>
      </c>
      <c r="R296" s="18">
        <f>IF(OR(NOT(ISNUMBER($P296)),NOT(ISNUMBER($G296)),$G296=0),0,$P296/$G296)</f>
        <v/>
      </c>
      <c r="S296" s="18">
        <f>IF(OR($B296="",NOT(ISNUMBER($F296))),"",SUMIFS('3. Peat Data'!$P$5:$P$604,'3. Peat Data'!$B$5:$B$604,$B296,'3. Peat Data'!$F$5:$F$604,"&lt;="&amp;$F296))</f>
        <v/>
      </c>
      <c r="T296" s="18">
        <f>IF(AND($A296="",$B296="",$E296=""),"",IF(AND($B296&lt;&gt;"",COUNTIF('2. Core Log'!$A$5:$A$124,$B296)=0),"Core ID not in Core Log. ","")&amp;IF(AND($A296&lt;&gt;"",COUNTIF('1. Plot &amp; Site Log'!$A$5:$A$64,$A296)=0),"Plot ID not in Plot &amp; Site Log. ","")&amp;IF(AND(ISNUMBER($E296),ISNUMBER($F296),$F296&lt;=$E296),"Bottom depth is not below top depth. ","")&amp;IF($I296="","Say which bulk-density basis the lab reported. ","")&amp;IF(AND(ISNUMBER($J296),OR($J296&lt;QC_BD_MIN,$J296&gt;QC_BD_MAX)),"Bulk density outside "&amp;QC_BD_MIN&amp;"–"&amp;QC_BD_MAX&amp;" g/cm³ for peat. Above the top of that range usually means the mineral contact has been passed. ","")&amp;IF(AND(ISNUMBER($N296),$N296&gt;QC_CARBON_PCT_MAX),"Carbon above "&amp;QC_CARBON_PCT_MAX&amp;"% — check units; this may be organic matter rather than carbon. ","")&amp;IF(AND($L296&lt;&gt;"",$M296&lt;&gt;""),"Both LOI and measured carbon given — the measured value is used. ","")&amp;IF(AND($M296="",$L296&lt;&gt;"",OM_FACTOR_IS_LOCAL&lt;&gt;"Yes"),"Carbon derived from LOI using the default factor of "&amp;CARBON_FRACTION_OM&amp;", which has not been calibrated locally. See R1. Reference. ","")&amp;IF(AND(ISNUMBER($O296),$O296=0,ISNUMBER($E296)),"Section lies entirely below the reference depth — it counts to the full-profile stock only. ",""))</f>
        <v/>
      </c>
      <c r="U296" s="14" t="n"/>
    </row>
    <row r="297">
      <c r="A297" s="14" t="n"/>
      <c r="B297" s="14" t="n"/>
      <c r="C297" s="14" t="n"/>
      <c r="D297" s="14" t="n"/>
      <c r="E297" s="14" t="n"/>
      <c r="F297" s="14" t="n"/>
      <c r="G297" s="14">
        <f>IF(OR($E297="",$F297=""),"",$F297-$E297)</f>
        <v/>
      </c>
      <c r="H297" s="14" t="n"/>
      <c r="I297" s="14" t="n"/>
      <c r="J297" s="19" t="n"/>
      <c r="K297" s="19" t="n"/>
      <c r="L297" s="19" t="n"/>
      <c r="M297" s="19" t="n"/>
      <c r="N297" s="18">
        <f>IF($M297&lt;&gt;"",$M297,IF($L297&lt;&gt;"",$L297*CARBON_FRACTION_OM,""))</f>
        <v/>
      </c>
      <c r="O297" s="18">
        <f>IF(OR($E297="",$F297=""),"",MAX(0,MIN($F297,REFERENCE_DEPTH_CM)-MIN($E297,REFERENCE_DEPTH_CM)))</f>
        <v/>
      </c>
      <c r="P297" s="18">
        <f>IF(OR($J297="",$N297="",$G297=""),"",$J297*($N297/100)*$G297*10)</f>
        <v/>
      </c>
      <c r="Q297" s="18">
        <f>IF(OR($J297="",$N297="",$O297=""),"",$J297*($N297/100)*$O297*10)</f>
        <v/>
      </c>
      <c r="R297" s="18">
        <f>IF(OR(NOT(ISNUMBER($P297)),NOT(ISNUMBER($G297)),$G297=0),0,$P297/$G297)</f>
        <v/>
      </c>
      <c r="S297" s="18">
        <f>IF(OR($B297="",NOT(ISNUMBER($F297))),"",SUMIFS('3. Peat Data'!$P$5:$P$604,'3. Peat Data'!$B$5:$B$604,$B297,'3. Peat Data'!$F$5:$F$604,"&lt;="&amp;$F297))</f>
        <v/>
      </c>
      <c r="T297" s="18">
        <f>IF(AND($A297="",$B297="",$E297=""),"",IF(AND($B297&lt;&gt;"",COUNTIF('2. Core Log'!$A$5:$A$124,$B297)=0),"Core ID not in Core Log. ","")&amp;IF(AND($A297&lt;&gt;"",COUNTIF('1. Plot &amp; Site Log'!$A$5:$A$64,$A297)=0),"Plot ID not in Plot &amp; Site Log. ","")&amp;IF(AND(ISNUMBER($E297),ISNUMBER($F297),$F297&lt;=$E297),"Bottom depth is not below top depth. ","")&amp;IF($I297="","Say which bulk-density basis the lab reported. ","")&amp;IF(AND(ISNUMBER($J297),OR($J297&lt;QC_BD_MIN,$J297&gt;QC_BD_MAX)),"Bulk density outside "&amp;QC_BD_MIN&amp;"–"&amp;QC_BD_MAX&amp;" g/cm³ for peat. Above the top of that range usually means the mineral contact has been passed. ","")&amp;IF(AND(ISNUMBER($N297),$N297&gt;QC_CARBON_PCT_MAX),"Carbon above "&amp;QC_CARBON_PCT_MAX&amp;"% — check units; this may be organic matter rather than carbon. ","")&amp;IF(AND($L297&lt;&gt;"",$M297&lt;&gt;""),"Both LOI and measured carbon given — the measured value is used. ","")&amp;IF(AND($M297="",$L297&lt;&gt;"",OM_FACTOR_IS_LOCAL&lt;&gt;"Yes"),"Carbon derived from LOI using the default factor of "&amp;CARBON_FRACTION_OM&amp;", which has not been calibrated locally. See R1. Reference. ","")&amp;IF(AND(ISNUMBER($O297),$O297=0,ISNUMBER($E297)),"Section lies entirely below the reference depth — it counts to the full-profile stock only. ",""))</f>
        <v/>
      </c>
      <c r="U297" s="14" t="n"/>
    </row>
    <row r="298">
      <c r="A298" s="14" t="n"/>
      <c r="B298" s="14" t="n"/>
      <c r="C298" s="14" t="n"/>
      <c r="D298" s="14" t="n"/>
      <c r="E298" s="14" t="n"/>
      <c r="F298" s="14" t="n"/>
      <c r="G298" s="14">
        <f>IF(OR($E298="",$F298=""),"",$F298-$E298)</f>
        <v/>
      </c>
      <c r="H298" s="14" t="n"/>
      <c r="I298" s="14" t="n"/>
      <c r="J298" s="19" t="n"/>
      <c r="K298" s="19" t="n"/>
      <c r="L298" s="19" t="n"/>
      <c r="M298" s="19" t="n"/>
      <c r="N298" s="18">
        <f>IF($M298&lt;&gt;"",$M298,IF($L298&lt;&gt;"",$L298*CARBON_FRACTION_OM,""))</f>
        <v/>
      </c>
      <c r="O298" s="18">
        <f>IF(OR($E298="",$F298=""),"",MAX(0,MIN($F298,REFERENCE_DEPTH_CM)-MIN($E298,REFERENCE_DEPTH_CM)))</f>
        <v/>
      </c>
      <c r="P298" s="18">
        <f>IF(OR($J298="",$N298="",$G298=""),"",$J298*($N298/100)*$G298*10)</f>
        <v/>
      </c>
      <c r="Q298" s="18">
        <f>IF(OR($J298="",$N298="",$O298=""),"",$J298*($N298/100)*$O298*10)</f>
        <v/>
      </c>
      <c r="R298" s="18">
        <f>IF(OR(NOT(ISNUMBER($P298)),NOT(ISNUMBER($G298)),$G298=0),0,$P298/$G298)</f>
        <v/>
      </c>
      <c r="S298" s="18">
        <f>IF(OR($B298="",NOT(ISNUMBER($F298))),"",SUMIFS('3. Peat Data'!$P$5:$P$604,'3. Peat Data'!$B$5:$B$604,$B298,'3. Peat Data'!$F$5:$F$604,"&lt;="&amp;$F298))</f>
        <v/>
      </c>
      <c r="T298" s="18">
        <f>IF(AND($A298="",$B298="",$E298=""),"",IF(AND($B298&lt;&gt;"",COUNTIF('2. Core Log'!$A$5:$A$124,$B298)=0),"Core ID not in Core Log. ","")&amp;IF(AND($A298&lt;&gt;"",COUNTIF('1. Plot &amp; Site Log'!$A$5:$A$64,$A298)=0),"Plot ID not in Plot &amp; Site Log. ","")&amp;IF(AND(ISNUMBER($E298),ISNUMBER($F298),$F298&lt;=$E298),"Bottom depth is not below top depth. ","")&amp;IF($I298="","Say which bulk-density basis the lab reported. ","")&amp;IF(AND(ISNUMBER($J298),OR($J298&lt;QC_BD_MIN,$J298&gt;QC_BD_MAX)),"Bulk density outside "&amp;QC_BD_MIN&amp;"–"&amp;QC_BD_MAX&amp;" g/cm³ for peat. Above the top of that range usually means the mineral contact has been passed. ","")&amp;IF(AND(ISNUMBER($N298),$N298&gt;QC_CARBON_PCT_MAX),"Carbon above "&amp;QC_CARBON_PCT_MAX&amp;"% — check units; this may be organic matter rather than carbon. ","")&amp;IF(AND($L298&lt;&gt;"",$M298&lt;&gt;""),"Both LOI and measured carbon given — the measured value is used. ","")&amp;IF(AND($M298="",$L298&lt;&gt;"",OM_FACTOR_IS_LOCAL&lt;&gt;"Yes"),"Carbon derived from LOI using the default factor of "&amp;CARBON_FRACTION_OM&amp;", which has not been calibrated locally. See R1. Reference. ","")&amp;IF(AND(ISNUMBER($O298),$O298=0,ISNUMBER($E298)),"Section lies entirely below the reference depth — it counts to the full-profile stock only. ",""))</f>
        <v/>
      </c>
      <c r="U298" s="14" t="n"/>
    </row>
    <row r="299">
      <c r="A299" s="14" t="n"/>
      <c r="B299" s="14" t="n"/>
      <c r="C299" s="14" t="n"/>
      <c r="D299" s="14" t="n"/>
      <c r="E299" s="14" t="n"/>
      <c r="F299" s="14" t="n"/>
      <c r="G299" s="14">
        <f>IF(OR($E299="",$F299=""),"",$F299-$E299)</f>
        <v/>
      </c>
      <c r="H299" s="14" t="n"/>
      <c r="I299" s="14" t="n"/>
      <c r="J299" s="19" t="n"/>
      <c r="K299" s="19" t="n"/>
      <c r="L299" s="19" t="n"/>
      <c r="M299" s="19" t="n"/>
      <c r="N299" s="18">
        <f>IF($M299&lt;&gt;"",$M299,IF($L299&lt;&gt;"",$L299*CARBON_FRACTION_OM,""))</f>
        <v/>
      </c>
      <c r="O299" s="18">
        <f>IF(OR($E299="",$F299=""),"",MAX(0,MIN($F299,REFERENCE_DEPTH_CM)-MIN($E299,REFERENCE_DEPTH_CM)))</f>
        <v/>
      </c>
      <c r="P299" s="18">
        <f>IF(OR($J299="",$N299="",$G299=""),"",$J299*($N299/100)*$G299*10)</f>
        <v/>
      </c>
      <c r="Q299" s="18">
        <f>IF(OR($J299="",$N299="",$O299=""),"",$J299*($N299/100)*$O299*10)</f>
        <v/>
      </c>
      <c r="R299" s="18">
        <f>IF(OR(NOT(ISNUMBER($P299)),NOT(ISNUMBER($G299)),$G299=0),0,$P299/$G299)</f>
        <v/>
      </c>
      <c r="S299" s="18">
        <f>IF(OR($B299="",NOT(ISNUMBER($F299))),"",SUMIFS('3. Peat Data'!$P$5:$P$604,'3. Peat Data'!$B$5:$B$604,$B299,'3. Peat Data'!$F$5:$F$604,"&lt;="&amp;$F299))</f>
        <v/>
      </c>
      <c r="T299" s="18">
        <f>IF(AND($A299="",$B299="",$E299=""),"",IF(AND($B299&lt;&gt;"",COUNTIF('2. Core Log'!$A$5:$A$124,$B299)=0),"Core ID not in Core Log. ","")&amp;IF(AND($A299&lt;&gt;"",COUNTIF('1. Plot &amp; Site Log'!$A$5:$A$64,$A299)=0),"Plot ID not in Plot &amp; Site Log. ","")&amp;IF(AND(ISNUMBER($E299),ISNUMBER($F299),$F299&lt;=$E299),"Bottom depth is not below top depth. ","")&amp;IF($I299="","Say which bulk-density basis the lab reported. ","")&amp;IF(AND(ISNUMBER($J299),OR($J299&lt;QC_BD_MIN,$J299&gt;QC_BD_MAX)),"Bulk density outside "&amp;QC_BD_MIN&amp;"–"&amp;QC_BD_MAX&amp;" g/cm³ for peat. Above the top of that range usually means the mineral contact has been passed. ","")&amp;IF(AND(ISNUMBER($N299),$N299&gt;QC_CARBON_PCT_MAX),"Carbon above "&amp;QC_CARBON_PCT_MAX&amp;"% — check units; this may be organic matter rather than carbon. ","")&amp;IF(AND($L299&lt;&gt;"",$M299&lt;&gt;""),"Both LOI and measured carbon given — the measured value is used. ","")&amp;IF(AND($M299="",$L299&lt;&gt;"",OM_FACTOR_IS_LOCAL&lt;&gt;"Yes"),"Carbon derived from LOI using the default factor of "&amp;CARBON_FRACTION_OM&amp;", which has not been calibrated locally. See R1. Reference. ","")&amp;IF(AND(ISNUMBER($O299),$O299=0,ISNUMBER($E299)),"Section lies entirely below the reference depth — it counts to the full-profile stock only. ",""))</f>
        <v/>
      </c>
      <c r="U299" s="14" t="n"/>
    </row>
    <row r="300">
      <c r="A300" s="14" t="n"/>
      <c r="B300" s="14" t="n"/>
      <c r="C300" s="14" t="n"/>
      <c r="D300" s="14" t="n"/>
      <c r="E300" s="14" t="n"/>
      <c r="F300" s="14" t="n"/>
      <c r="G300" s="14">
        <f>IF(OR($E300="",$F300=""),"",$F300-$E300)</f>
        <v/>
      </c>
      <c r="H300" s="14" t="n"/>
      <c r="I300" s="14" t="n"/>
      <c r="J300" s="19" t="n"/>
      <c r="K300" s="19" t="n"/>
      <c r="L300" s="19" t="n"/>
      <c r="M300" s="19" t="n"/>
      <c r="N300" s="18">
        <f>IF($M300&lt;&gt;"",$M300,IF($L300&lt;&gt;"",$L300*CARBON_FRACTION_OM,""))</f>
        <v/>
      </c>
      <c r="O300" s="18">
        <f>IF(OR($E300="",$F300=""),"",MAX(0,MIN($F300,REFERENCE_DEPTH_CM)-MIN($E300,REFERENCE_DEPTH_CM)))</f>
        <v/>
      </c>
      <c r="P300" s="18">
        <f>IF(OR($J300="",$N300="",$G300=""),"",$J300*($N300/100)*$G300*10)</f>
        <v/>
      </c>
      <c r="Q300" s="18">
        <f>IF(OR($J300="",$N300="",$O300=""),"",$J300*($N300/100)*$O300*10)</f>
        <v/>
      </c>
      <c r="R300" s="18">
        <f>IF(OR(NOT(ISNUMBER($P300)),NOT(ISNUMBER($G300)),$G300=0),0,$P300/$G300)</f>
        <v/>
      </c>
      <c r="S300" s="18">
        <f>IF(OR($B300="",NOT(ISNUMBER($F300))),"",SUMIFS('3. Peat Data'!$P$5:$P$604,'3. Peat Data'!$B$5:$B$604,$B300,'3. Peat Data'!$F$5:$F$604,"&lt;="&amp;$F300))</f>
        <v/>
      </c>
      <c r="T300" s="18">
        <f>IF(AND($A300="",$B300="",$E300=""),"",IF(AND($B300&lt;&gt;"",COUNTIF('2. Core Log'!$A$5:$A$124,$B300)=0),"Core ID not in Core Log. ","")&amp;IF(AND($A300&lt;&gt;"",COUNTIF('1. Plot &amp; Site Log'!$A$5:$A$64,$A300)=0),"Plot ID not in Plot &amp; Site Log. ","")&amp;IF(AND(ISNUMBER($E300),ISNUMBER($F300),$F300&lt;=$E300),"Bottom depth is not below top depth. ","")&amp;IF($I300="","Say which bulk-density basis the lab reported. ","")&amp;IF(AND(ISNUMBER($J300),OR($J300&lt;QC_BD_MIN,$J300&gt;QC_BD_MAX)),"Bulk density outside "&amp;QC_BD_MIN&amp;"–"&amp;QC_BD_MAX&amp;" g/cm³ for peat. Above the top of that range usually means the mineral contact has been passed. ","")&amp;IF(AND(ISNUMBER($N300),$N300&gt;QC_CARBON_PCT_MAX),"Carbon above "&amp;QC_CARBON_PCT_MAX&amp;"% — check units; this may be organic matter rather than carbon. ","")&amp;IF(AND($L300&lt;&gt;"",$M300&lt;&gt;""),"Both LOI and measured carbon given — the measured value is used. ","")&amp;IF(AND($M300="",$L300&lt;&gt;"",OM_FACTOR_IS_LOCAL&lt;&gt;"Yes"),"Carbon derived from LOI using the default factor of "&amp;CARBON_FRACTION_OM&amp;", which has not been calibrated locally. See R1. Reference. ","")&amp;IF(AND(ISNUMBER($O300),$O300=0,ISNUMBER($E300)),"Section lies entirely below the reference depth — it counts to the full-profile stock only. ",""))</f>
        <v/>
      </c>
      <c r="U300" s="14" t="n"/>
    </row>
    <row r="301">
      <c r="A301" s="14" t="n"/>
      <c r="B301" s="14" t="n"/>
      <c r="C301" s="14" t="n"/>
      <c r="D301" s="14" t="n"/>
      <c r="E301" s="14" t="n"/>
      <c r="F301" s="14" t="n"/>
      <c r="G301" s="14">
        <f>IF(OR($E301="",$F301=""),"",$F301-$E301)</f>
        <v/>
      </c>
      <c r="H301" s="14" t="n"/>
      <c r="I301" s="14" t="n"/>
      <c r="J301" s="19" t="n"/>
      <c r="K301" s="19" t="n"/>
      <c r="L301" s="19" t="n"/>
      <c r="M301" s="19" t="n"/>
      <c r="N301" s="18">
        <f>IF($M301&lt;&gt;"",$M301,IF($L301&lt;&gt;"",$L301*CARBON_FRACTION_OM,""))</f>
        <v/>
      </c>
      <c r="O301" s="18">
        <f>IF(OR($E301="",$F301=""),"",MAX(0,MIN($F301,REFERENCE_DEPTH_CM)-MIN($E301,REFERENCE_DEPTH_CM)))</f>
        <v/>
      </c>
      <c r="P301" s="18">
        <f>IF(OR($J301="",$N301="",$G301=""),"",$J301*($N301/100)*$G301*10)</f>
        <v/>
      </c>
      <c r="Q301" s="18">
        <f>IF(OR($J301="",$N301="",$O301=""),"",$J301*($N301/100)*$O301*10)</f>
        <v/>
      </c>
      <c r="R301" s="18">
        <f>IF(OR(NOT(ISNUMBER($P301)),NOT(ISNUMBER($G301)),$G301=0),0,$P301/$G301)</f>
        <v/>
      </c>
      <c r="S301" s="18">
        <f>IF(OR($B301="",NOT(ISNUMBER($F301))),"",SUMIFS('3. Peat Data'!$P$5:$P$604,'3. Peat Data'!$B$5:$B$604,$B301,'3. Peat Data'!$F$5:$F$604,"&lt;="&amp;$F301))</f>
        <v/>
      </c>
      <c r="T301" s="18">
        <f>IF(AND($A301="",$B301="",$E301=""),"",IF(AND($B301&lt;&gt;"",COUNTIF('2. Core Log'!$A$5:$A$124,$B301)=0),"Core ID not in Core Log. ","")&amp;IF(AND($A301&lt;&gt;"",COUNTIF('1. Plot &amp; Site Log'!$A$5:$A$64,$A301)=0),"Plot ID not in Plot &amp; Site Log. ","")&amp;IF(AND(ISNUMBER($E301),ISNUMBER($F301),$F301&lt;=$E301),"Bottom depth is not below top depth. ","")&amp;IF($I301="","Say which bulk-density basis the lab reported. ","")&amp;IF(AND(ISNUMBER($J301),OR($J301&lt;QC_BD_MIN,$J301&gt;QC_BD_MAX)),"Bulk density outside "&amp;QC_BD_MIN&amp;"–"&amp;QC_BD_MAX&amp;" g/cm³ for peat. Above the top of that range usually means the mineral contact has been passed. ","")&amp;IF(AND(ISNUMBER($N301),$N301&gt;QC_CARBON_PCT_MAX),"Carbon above "&amp;QC_CARBON_PCT_MAX&amp;"% — check units; this may be organic matter rather than carbon. ","")&amp;IF(AND($L301&lt;&gt;"",$M301&lt;&gt;""),"Both LOI and measured carbon given — the measured value is used. ","")&amp;IF(AND($M301="",$L301&lt;&gt;"",OM_FACTOR_IS_LOCAL&lt;&gt;"Yes"),"Carbon derived from LOI using the default factor of "&amp;CARBON_FRACTION_OM&amp;", which has not been calibrated locally. See R1. Reference. ","")&amp;IF(AND(ISNUMBER($O301),$O301=0,ISNUMBER($E301)),"Section lies entirely below the reference depth — it counts to the full-profile stock only. ",""))</f>
        <v/>
      </c>
      <c r="U301" s="14" t="n"/>
    </row>
    <row r="302">
      <c r="A302" s="14" t="n"/>
      <c r="B302" s="14" t="n"/>
      <c r="C302" s="14" t="n"/>
      <c r="D302" s="14" t="n"/>
      <c r="E302" s="14" t="n"/>
      <c r="F302" s="14" t="n"/>
      <c r="G302" s="14">
        <f>IF(OR($E302="",$F302=""),"",$F302-$E302)</f>
        <v/>
      </c>
      <c r="H302" s="14" t="n"/>
      <c r="I302" s="14" t="n"/>
      <c r="J302" s="19" t="n"/>
      <c r="K302" s="19" t="n"/>
      <c r="L302" s="19" t="n"/>
      <c r="M302" s="19" t="n"/>
      <c r="N302" s="18">
        <f>IF($M302&lt;&gt;"",$M302,IF($L302&lt;&gt;"",$L302*CARBON_FRACTION_OM,""))</f>
        <v/>
      </c>
      <c r="O302" s="18">
        <f>IF(OR($E302="",$F302=""),"",MAX(0,MIN($F302,REFERENCE_DEPTH_CM)-MIN($E302,REFERENCE_DEPTH_CM)))</f>
        <v/>
      </c>
      <c r="P302" s="18">
        <f>IF(OR($J302="",$N302="",$G302=""),"",$J302*($N302/100)*$G302*10)</f>
        <v/>
      </c>
      <c r="Q302" s="18">
        <f>IF(OR($J302="",$N302="",$O302=""),"",$J302*($N302/100)*$O302*10)</f>
        <v/>
      </c>
      <c r="R302" s="18">
        <f>IF(OR(NOT(ISNUMBER($P302)),NOT(ISNUMBER($G302)),$G302=0),0,$P302/$G302)</f>
        <v/>
      </c>
      <c r="S302" s="18">
        <f>IF(OR($B302="",NOT(ISNUMBER($F302))),"",SUMIFS('3. Peat Data'!$P$5:$P$604,'3. Peat Data'!$B$5:$B$604,$B302,'3. Peat Data'!$F$5:$F$604,"&lt;="&amp;$F302))</f>
        <v/>
      </c>
      <c r="T302" s="18">
        <f>IF(AND($A302="",$B302="",$E302=""),"",IF(AND($B302&lt;&gt;"",COUNTIF('2. Core Log'!$A$5:$A$124,$B302)=0),"Core ID not in Core Log. ","")&amp;IF(AND($A302&lt;&gt;"",COUNTIF('1. Plot &amp; Site Log'!$A$5:$A$64,$A302)=0),"Plot ID not in Plot &amp; Site Log. ","")&amp;IF(AND(ISNUMBER($E302),ISNUMBER($F302),$F302&lt;=$E302),"Bottom depth is not below top depth. ","")&amp;IF($I302="","Say which bulk-density basis the lab reported. ","")&amp;IF(AND(ISNUMBER($J302),OR($J302&lt;QC_BD_MIN,$J302&gt;QC_BD_MAX)),"Bulk density outside "&amp;QC_BD_MIN&amp;"–"&amp;QC_BD_MAX&amp;" g/cm³ for peat. Above the top of that range usually means the mineral contact has been passed. ","")&amp;IF(AND(ISNUMBER($N302),$N302&gt;QC_CARBON_PCT_MAX),"Carbon above "&amp;QC_CARBON_PCT_MAX&amp;"% — check units; this may be organic matter rather than carbon. ","")&amp;IF(AND($L302&lt;&gt;"",$M302&lt;&gt;""),"Both LOI and measured carbon given — the measured value is used. ","")&amp;IF(AND($M302="",$L302&lt;&gt;"",OM_FACTOR_IS_LOCAL&lt;&gt;"Yes"),"Carbon derived from LOI using the default factor of "&amp;CARBON_FRACTION_OM&amp;", which has not been calibrated locally. See R1. Reference. ","")&amp;IF(AND(ISNUMBER($O302),$O302=0,ISNUMBER($E302)),"Section lies entirely below the reference depth — it counts to the full-profile stock only. ",""))</f>
        <v/>
      </c>
      <c r="U302" s="14" t="n"/>
    </row>
    <row r="303">
      <c r="A303" s="14" t="n"/>
      <c r="B303" s="14" t="n"/>
      <c r="C303" s="14" t="n"/>
      <c r="D303" s="14" t="n"/>
      <c r="E303" s="14" t="n"/>
      <c r="F303" s="14" t="n"/>
      <c r="G303" s="14">
        <f>IF(OR($E303="",$F303=""),"",$F303-$E303)</f>
        <v/>
      </c>
      <c r="H303" s="14" t="n"/>
      <c r="I303" s="14" t="n"/>
      <c r="J303" s="19" t="n"/>
      <c r="K303" s="19" t="n"/>
      <c r="L303" s="19" t="n"/>
      <c r="M303" s="19" t="n"/>
      <c r="N303" s="18">
        <f>IF($M303&lt;&gt;"",$M303,IF($L303&lt;&gt;"",$L303*CARBON_FRACTION_OM,""))</f>
        <v/>
      </c>
      <c r="O303" s="18">
        <f>IF(OR($E303="",$F303=""),"",MAX(0,MIN($F303,REFERENCE_DEPTH_CM)-MIN($E303,REFERENCE_DEPTH_CM)))</f>
        <v/>
      </c>
      <c r="P303" s="18">
        <f>IF(OR($J303="",$N303="",$G303=""),"",$J303*($N303/100)*$G303*10)</f>
        <v/>
      </c>
      <c r="Q303" s="18">
        <f>IF(OR($J303="",$N303="",$O303=""),"",$J303*($N303/100)*$O303*10)</f>
        <v/>
      </c>
      <c r="R303" s="18">
        <f>IF(OR(NOT(ISNUMBER($P303)),NOT(ISNUMBER($G303)),$G303=0),0,$P303/$G303)</f>
        <v/>
      </c>
      <c r="S303" s="18">
        <f>IF(OR($B303="",NOT(ISNUMBER($F303))),"",SUMIFS('3. Peat Data'!$P$5:$P$604,'3. Peat Data'!$B$5:$B$604,$B303,'3. Peat Data'!$F$5:$F$604,"&lt;="&amp;$F303))</f>
        <v/>
      </c>
      <c r="T303" s="18">
        <f>IF(AND($A303="",$B303="",$E303=""),"",IF(AND($B303&lt;&gt;"",COUNTIF('2. Core Log'!$A$5:$A$124,$B303)=0),"Core ID not in Core Log. ","")&amp;IF(AND($A303&lt;&gt;"",COUNTIF('1. Plot &amp; Site Log'!$A$5:$A$64,$A303)=0),"Plot ID not in Plot &amp; Site Log. ","")&amp;IF(AND(ISNUMBER($E303),ISNUMBER($F303),$F303&lt;=$E303),"Bottom depth is not below top depth. ","")&amp;IF($I303="","Say which bulk-density basis the lab reported. ","")&amp;IF(AND(ISNUMBER($J303),OR($J303&lt;QC_BD_MIN,$J303&gt;QC_BD_MAX)),"Bulk density outside "&amp;QC_BD_MIN&amp;"–"&amp;QC_BD_MAX&amp;" g/cm³ for peat. Above the top of that range usually means the mineral contact has been passed. ","")&amp;IF(AND(ISNUMBER($N303),$N303&gt;QC_CARBON_PCT_MAX),"Carbon above "&amp;QC_CARBON_PCT_MAX&amp;"% — check units; this may be organic matter rather than carbon. ","")&amp;IF(AND($L303&lt;&gt;"",$M303&lt;&gt;""),"Both LOI and measured carbon given — the measured value is used. ","")&amp;IF(AND($M303="",$L303&lt;&gt;"",OM_FACTOR_IS_LOCAL&lt;&gt;"Yes"),"Carbon derived from LOI using the default factor of "&amp;CARBON_FRACTION_OM&amp;", which has not been calibrated locally. See R1. Reference. ","")&amp;IF(AND(ISNUMBER($O303),$O303=0,ISNUMBER($E303)),"Section lies entirely below the reference depth — it counts to the full-profile stock only. ",""))</f>
        <v/>
      </c>
      <c r="U303" s="14" t="n"/>
    </row>
    <row r="304">
      <c r="A304" s="14" t="n"/>
      <c r="B304" s="14" t="n"/>
      <c r="C304" s="14" t="n"/>
      <c r="D304" s="14" t="n"/>
      <c r="E304" s="14" t="n"/>
      <c r="F304" s="14" t="n"/>
      <c r="G304" s="14">
        <f>IF(OR($E304="",$F304=""),"",$F304-$E304)</f>
        <v/>
      </c>
      <c r="H304" s="14" t="n"/>
      <c r="I304" s="14" t="n"/>
      <c r="J304" s="19" t="n"/>
      <c r="K304" s="19" t="n"/>
      <c r="L304" s="19" t="n"/>
      <c r="M304" s="19" t="n"/>
      <c r="N304" s="18">
        <f>IF($M304&lt;&gt;"",$M304,IF($L304&lt;&gt;"",$L304*CARBON_FRACTION_OM,""))</f>
        <v/>
      </c>
      <c r="O304" s="18">
        <f>IF(OR($E304="",$F304=""),"",MAX(0,MIN($F304,REFERENCE_DEPTH_CM)-MIN($E304,REFERENCE_DEPTH_CM)))</f>
        <v/>
      </c>
      <c r="P304" s="18">
        <f>IF(OR($J304="",$N304="",$G304=""),"",$J304*($N304/100)*$G304*10)</f>
        <v/>
      </c>
      <c r="Q304" s="18">
        <f>IF(OR($J304="",$N304="",$O304=""),"",$J304*($N304/100)*$O304*10)</f>
        <v/>
      </c>
      <c r="R304" s="18">
        <f>IF(OR(NOT(ISNUMBER($P304)),NOT(ISNUMBER($G304)),$G304=0),0,$P304/$G304)</f>
        <v/>
      </c>
      <c r="S304" s="18">
        <f>IF(OR($B304="",NOT(ISNUMBER($F304))),"",SUMIFS('3. Peat Data'!$P$5:$P$604,'3. Peat Data'!$B$5:$B$604,$B304,'3. Peat Data'!$F$5:$F$604,"&lt;="&amp;$F304))</f>
        <v/>
      </c>
      <c r="T304" s="18">
        <f>IF(AND($A304="",$B304="",$E304=""),"",IF(AND($B304&lt;&gt;"",COUNTIF('2. Core Log'!$A$5:$A$124,$B304)=0),"Core ID not in Core Log. ","")&amp;IF(AND($A304&lt;&gt;"",COUNTIF('1. Plot &amp; Site Log'!$A$5:$A$64,$A304)=0),"Plot ID not in Plot &amp; Site Log. ","")&amp;IF(AND(ISNUMBER($E304),ISNUMBER($F304),$F304&lt;=$E304),"Bottom depth is not below top depth. ","")&amp;IF($I304="","Say which bulk-density basis the lab reported. ","")&amp;IF(AND(ISNUMBER($J304),OR($J304&lt;QC_BD_MIN,$J304&gt;QC_BD_MAX)),"Bulk density outside "&amp;QC_BD_MIN&amp;"–"&amp;QC_BD_MAX&amp;" g/cm³ for peat. Above the top of that range usually means the mineral contact has been passed. ","")&amp;IF(AND(ISNUMBER($N304),$N304&gt;QC_CARBON_PCT_MAX),"Carbon above "&amp;QC_CARBON_PCT_MAX&amp;"% — check units; this may be organic matter rather than carbon. ","")&amp;IF(AND($L304&lt;&gt;"",$M304&lt;&gt;""),"Both LOI and measured carbon given — the measured value is used. ","")&amp;IF(AND($M304="",$L304&lt;&gt;"",OM_FACTOR_IS_LOCAL&lt;&gt;"Yes"),"Carbon derived from LOI using the default factor of "&amp;CARBON_FRACTION_OM&amp;", which has not been calibrated locally. See R1. Reference. ","")&amp;IF(AND(ISNUMBER($O304),$O304=0,ISNUMBER($E304)),"Section lies entirely below the reference depth — it counts to the full-profile stock only. ",""))</f>
        <v/>
      </c>
      <c r="U304" s="14" t="n"/>
    </row>
    <row r="305">
      <c r="A305" s="14" t="n"/>
      <c r="B305" s="14" t="n"/>
      <c r="C305" s="14" t="n"/>
      <c r="D305" s="14" t="n"/>
      <c r="E305" s="14" t="n"/>
      <c r="F305" s="14" t="n"/>
      <c r="G305" s="14">
        <f>IF(OR($E305="",$F305=""),"",$F305-$E305)</f>
        <v/>
      </c>
      <c r="H305" s="14" t="n"/>
      <c r="I305" s="14" t="n"/>
      <c r="J305" s="19" t="n"/>
      <c r="K305" s="19" t="n"/>
      <c r="L305" s="19" t="n"/>
      <c r="M305" s="19" t="n"/>
      <c r="N305" s="18">
        <f>IF($M305&lt;&gt;"",$M305,IF($L305&lt;&gt;"",$L305*CARBON_FRACTION_OM,""))</f>
        <v/>
      </c>
      <c r="O305" s="18">
        <f>IF(OR($E305="",$F305=""),"",MAX(0,MIN($F305,REFERENCE_DEPTH_CM)-MIN($E305,REFERENCE_DEPTH_CM)))</f>
        <v/>
      </c>
      <c r="P305" s="18">
        <f>IF(OR($J305="",$N305="",$G305=""),"",$J305*($N305/100)*$G305*10)</f>
        <v/>
      </c>
      <c r="Q305" s="18">
        <f>IF(OR($J305="",$N305="",$O305=""),"",$J305*($N305/100)*$O305*10)</f>
        <v/>
      </c>
      <c r="R305" s="18">
        <f>IF(OR(NOT(ISNUMBER($P305)),NOT(ISNUMBER($G305)),$G305=0),0,$P305/$G305)</f>
        <v/>
      </c>
      <c r="S305" s="18">
        <f>IF(OR($B305="",NOT(ISNUMBER($F305))),"",SUMIFS('3. Peat Data'!$P$5:$P$604,'3. Peat Data'!$B$5:$B$604,$B305,'3. Peat Data'!$F$5:$F$604,"&lt;="&amp;$F305))</f>
        <v/>
      </c>
      <c r="T305" s="18">
        <f>IF(AND($A305="",$B305="",$E305=""),"",IF(AND($B305&lt;&gt;"",COUNTIF('2. Core Log'!$A$5:$A$124,$B305)=0),"Core ID not in Core Log. ","")&amp;IF(AND($A305&lt;&gt;"",COUNTIF('1. Plot &amp; Site Log'!$A$5:$A$64,$A305)=0),"Plot ID not in Plot &amp; Site Log. ","")&amp;IF(AND(ISNUMBER($E305),ISNUMBER($F305),$F305&lt;=$E305),"Bottom depth is not below top depth. ","")&amp;IF($I305="","Say which bulk-density basis the lab reported. ","")&amp;IF(AND(ISNUMBER($J305),OR($J305&lt;QC_BD_MIN,$J305&gt;QC_BD_MAX)),"Bulk density outside "&amp;QC_BD_MIN&amp;"–"&amp;QC_BD_MAX&amp;" g/cm³ for peat. Above the top of that range usually means the mineral contact has been passed. ","")&amp;IF(AND(ISNUMBER($N305),$N305&gt;QC_CARBON_PCT_MAX),"Carbon above "&amp;QC_CARBON_PCT_MAX&amp;"% — check units; this may be organic matter rather than carbon. ","")&amp;IF(AND($L305&lt;&gt;"",$M305&lt;&gt;""),"Both LOI and measured carbon given — the measured value is used. ","")&amp;IF(AND($M305="",$L305&lt;&gt;"",OM_FACTOR_IS_LOCAL&lt;&gt;"Yes"),"Carbon derived from LOI using the default factor of "&amp;CARBON_FRACTION_OM&amp;", which has not been calibrated locally. See R1. Reference. ","")&amp;IF(AND(ISNUMBER($O305),$O305=0,ISNUMBER($E305)),"Section lies entirely below the reference depth — it counts to the full-profile stock only. ",""))</f>
        <v/>
      </c>
      <c r="U305" s="14" t="n"/>
    </row>
    <row r="306">
      <c r="A306" s="14" t="n"/>
      <c r="B306" s="14" t="n"/>
      <c r="C306" s="14" t="n"/>
      <c r="D306" s="14" t="n"/>
      <c r="E306" s="14" t="n"/>
      <c r="F306" s="14" t="n"/>
      <c r="G306" s="14">
        <f>IF(OR($E306="",$F306=""),"",$F306-$E306)</f>
        <v/>
      </c>
      <c r="H306" s="14" t="n"/>
      <c r="I306" s="14" t="n"/>
      <c r="J306" s="19" t="n"/>
      <c r="K306" s="19" t="n"/>
      <c r="L306" s="19" t="n"/>
      <c r="M306" s="19" t="n"/>
      <c r="N306" s="18">
        <f>IF($M306&lt;&gt;"",$M306,IF($L306&lt;&gt;"",$L306*CARBON_FRACTION_OM,""))</f>
        <v/>
      </c>
      <c r="O306" s="18">
        <f>IF(OR($E306="",$F306=""),"",MAX(0,MIN($F306,REFERENCE_DEPTH_CM)-MIN($E306,REFERENCE_DEPTH_CM)))</f>
        <v/>
      </c>
      <c r="P306" s="18">
        <f>IF(OR($J306="",$N306="",$G306=""),"",$J306*($N306/100)*$G306*10)</f>
        <v/>
      </c>
      <c r="Q306" s="18">
        <f>IF(OR($J306="",$N306="",$O306=""),"",$J306*($N306/100)*$O306*10)</f>
        <v/>
      </c>
      <c r="R306" s="18">
        <f>IF(OR(NOT(ISNUMBER($P306)),NOT(ISNUMBER($G306)),$G306=0),0,$P306/$G306)</f>
        <v/>
      </c>
      <c r="S306" s="18">
        <f>IF(OR($B306="",NOT(ISNUMBER($F306))),"",SUMIFS('3. Peat Data'!$P$5:$P$604,'3. Peat Data'!$B$5:$B$604,$B306,'3. Peat Data'!$F$5:$F$604,"&lt;="&amp;$F306))</f>
        <v/>
      </c>
      <c r="T306" s="18">
        <f>IF(AND($A306="",$B306="",$E306=""),"",IF(AND($B306&lt;&gt;"",COUNTIF('2. Core Log'!$A$5:$A$124,$B306)=0),"Core ID not in Core Log. ","")&amp;IF(AND($A306&lt;&gt;"",COUNTIF('1. Plot &amp; Site Log'!$A$5:$A$64,$A306)=0),"Plot ID not in Plot &amp; Site Log. ","")&amp;IF(AND(ISNUMBER($E306),ISNUMBER($F306),$F306&lt;=$E306),"Bottom depth is not below top depth. ","")&amp;IF($I306="","Say which bulk-density basis the lab reported. ","")&amp;IF(AND(ISNUMBER($J306),OR($J306&lt;QC_BD_MIN,$J306&gt;QC_BD_MAX)),"Bulk density outside "&amp;QC_BD_MIN&amp;"–"&amp;QC_BD_MAX&amp;" g/cm³ for peat. Above the top of that range usually means the mineral contact has been passed. ","")&amp;IF(AND(ISNUMBER($N306),$N306&gt;QC_CARBON_PCT_MAX),"Carbon above "&amp;QC_CARBON_PCT_MAX&amp;"% — check units; this may be organic matter rather than carbon. ","")&amp;IF(AND($L306&lt;&gt;"",$M306&lt;&gt;""),"Both LOI and measured carbon given — the measured value is used. ","")&amp;IF(AND($M306="",$L306&lt;&gt;"",OM_FACTOR_IS_LOCAL&lt;&gt;"Yes"),"Carbon derived from LOI using the default factor of "&amp;CARBON_FRACTION_OM&amp;", which has not been calibrated locally. See R1. Reference. ","")&amp;IF(AND(ISNUMBER($O306),$O306=0,ISNUMBER($E306)),"Section lies entirely below the reference depth — it counts to the full-profile stock only. ",""))</f>
        <v/>
      </c>
      <c r="U306" s="14" t="n"/>
    </row>
    <row r="307">
      <c r="A307" s="14" t="n"/>
      <c r="B307" s="14" t="n"/>
      <c r="C307" s="14" t="n"/>
      <c r="D307" s="14" t="n"/>
      <c r="E307" s="14" t="n"/>
      <c r="F307" s="14" t="n"/>
      <c r="G307" s="14">
        <f>IF(OR($E307="",$F307=""),"",$F307-$E307)</f>
        <v/>
      </c>
      <c r="H307" s="14" t="n"/>
      <c r="I307" s="14" t="n"/>
      <c r="J307" s="19" t="n"/>
      <c r="K307" s="19" t="n"/>
      <c r="L307" s="19" t="n"/>
      <c r="M307" s="19" t="n"/>
      <c r="N307" s="18">
        <f>IF($M307&lt;&gt;"",$M307,IF($L307&lt;&gt;"",$L307*CARBON_FRACTION_OM,""))</f>
        <v/>
      </c>
      <c r="O307" s="18">
        <f>IF(OR($E307="",$F307=""),"",MAX(0,MIN($F307,REFERENCE_DEPTH_CM)-MIN($E307,REFERENCE_DEPTH_CM)))</f>
        <v/>
      </c>
      <c r="P307" s="18">
        <f>IF(OR($J307="",$N307="",$G307=""),"",$J307*($N307/100)*$G307*10)</f>
        <v/>
      </c>
      <c r="Q307" s="18">
        <f>IF(OR($J307="",$N307="",$O307=""),"",$J307*($N307/100)*$O307*10)</f>
        <v/>
      </c>
      <c r="R307" s="18">
        <f>IF(OR(NOT(ISNUMBER($P307)),NOT(ISNUMBER($G307)),$G307=0),0,$P307/$G307)</f>
        <v/>
      </c>
      <c r="S307" s="18">
        <f>IF(OR($B307="",NOT(ISNUMBER($F307))),"",SUMIFS('3. Peat Data'!$P$5:$P$604,'3. Peat Data'!$B$5:$B$604,$B307,'3. Peat Data'!$F$5:$F$604,"&lt;="&amp;$F307))</f>
        <v/>
      </c>
      <c r="T307" s="18">
        <f>IF(AND($A307="",$B307="",$E307=""),"",IF(AND($B307&lt;&gt;"",COUNTIF('2. Core Log'!$A$5:$A$124,$B307)=0),"Core ID not in Core Log. ","")&amp;IF(AND($A307&lt;&gt;"",COUNTIF('1. Plot &amp; Site Log'!$A$5:$A$64,$A307)=0),"Plot ID not in Plot &amp; Site Log. ","")&amp;IF(AND(ISNUMBER($E307),ISNUMBER($F307),$F307&lt;=$E307),"Bottom depth is not below top depth. ","")&amp;IF($I307="","Say which bulk-density basis the lab reported. ","")&amp;IF(AND(ISNUMBER($J307),OR($J307&lt;QC_BD_MIN,$J307&gt;QC_BD_MAX)),"Bulk density outside "&amp;QC_BD_MIN&amp;"–"&amp;QC_BD_MAX&amp;" g/cm³ for peat. Above the top of that range usually means the mineral contact has been passed. ","")&amp;IF(AND(ISNUMBER($N307),$N307&gt;QC_CARBON_PCT_MAX),"Carbon above "&amp;QC_CARBON_PCT_MAX&amp;"% — check units; this may be organic matter rather than carbon. ","")&amp;IF(AND($L307&lt;&gt;"",$M307&lt;&gt;""),"Both LOI and measured carbon given — the measured value is used. ","")&amp;IF(AND($M307="",$L307&lt;&gt;"",OM_FACTOR_IS_LOCAL&lt;&gt;"Yes"),"Carbon derived from LOI using the default factor of "&amp;CARBON_FRACTION_OM&amp;", which has not been calibrated locally. See R1. Reference. ","")&amp;IF(AND(ISNUMBER($O307),$O307=0,ISNUMBER($E307)),"Section lies entirely below the reference depth — it counts to the full-profile stock only. ",""))</f>
        <v/>
      </c>
      <c r="U307" s="14" t="n"/>
    </row>
    <row r="308">
      <c r="A308" s="14" t="n"/>
      <c r="B308" s="14" t="n"/>
      <c r="C308" s="14" t="n"/>
      <c r="D308" s="14" t="n"/>
      <c r="E308" s="14" t="n"/>
      <c r="F308" s="14" t="n"/>
      <c r="G308" s="14">
        <f>IF(OR($E308="",$F308=""),"",$F308-$E308)</f>
        <v/>
      </c>
      <c r="H308" s="14" t="n"/>
      <c r="I308" s="14" t="n"/>
      <c r="J308" s="19" t="n"/>
      <c r="K308" s="19" t="n"/>
      <c r="L308" s="19" t="n"/>
      <c r="M308" s="19" t="n"/>
      <c r="N308" s="18">
        <f>IF($M308&lt;&gt;"",$M308,IF($L308&lt;&gt;"",$L308*CARBON_FRACTION_OM,""))</f>
        <v/>
      </c>
      <c r="O308" s="18">
        <f>IF(OR($E308="",$F308=""),"",MAX(0,MIN($F308,REFERENCE_DEPTH_CM)-MIN($E308,REFERENCE_DEPTH_CM)))</f>
        <v/>
      </c>
      <c r="P308" s="18">
        <f>IF(OR($J308="",$N308="",$G308=""),"",$J308*($N308/100)*$G308*10)</f>
        <v/>
      </c>
      <c r="Q308" s="18">
        <f>IF(OR($J308="",$N308="",$O308=""),"",$J308*($N308/100)*$O308*10)</f>
        <v/>
      </c>
      <c r="R308" s="18">
        <f>IF(OR(NOT(ISNUMBER($P308)),NOT(ISNUMBER($G308)),$G308=0),0,$P308/$G308)</f>
        <v/>
      </c>
      <c r="S308" s="18">
        <f>IF(OR($B308="",NOT(ISNUMBER($F308))),"",SUMIFS('3. Peat Data'!$P$5:$P$604,'3. Peat Data'!$B$5:$B$604,$B308,'3. Peat Data'!$F$5:$F$604,"&lt;="&amp;$F308))</f>
        <v/>
      </c>
      <c r="T308" s="18">
        <f>IF(AND($A308="",$B308="",$E308=""),"",IF(AND($B308&lt;&gt;"",COUNTIF('2. Core Log'!$A$5:$A$124,$B308)=0),"Core ID not in Core Log. ","")&amp;IF(AND($A308&lt;&gt;"",COUNTIF('1. Plot &amp; Site Log'!$A$5:$A$64,$A308)=0),"Plot ID not in Plot &amp; Site Log. ","")&amp;IF(AND(ISNUMBER($E308),ISNUMBER($F308),$F308&lt;=$E308),"Bottom depth is not below top depth. ","")&amp;IF($I308="","Say which bulk-density basis the lab reported. ","")&amp;IF(AND(ISNUMBER($J308),OR($J308&lt;QC_BD_MIN,$J308&gt;QC_BD_MAX)),"Bulk density outside "&amp;QC_BD_MIN&amp;"–"&amp;QC_BD_MAX&amp;" g/cm³ for peat. Above the top of that range usually means the mineral contact has been passed. ","")&amp;IF(AND(ISNUMBER($N308),$N308&gt;QC_CARBON_PCT_MAX),"Carbon above "&amp;QC_CARBON_PCT_MAX&amp;"% — check units; this may be organic matter rather than carbon. ","")&amp;IF(AND($L308&lt;&gt;"",$M308&lt;&gt;""),"Both LOI and measured carbon given — the measured value is used. ","")&amp;IF(AND($M308="",$L308&lt;&gt;"",OM_FACTOR_IS_LOCAL&lt;&gt;"Yes"),"Carbon derived from LOI using the default factor of "&amp;CARBON_FRACTION_OM&amp;", which has not been calibrated locally. See R1. Reference. ","")&amp;IF(AND(ISNUMBER($O308),$O308=0,ISNUMBER($E308)),"Section lies entirely below the reference depth — it counts to the full-profile stock only. ",""))</f>
        <v/>
      </c>
      <c r="U308" s="14" t="n"/>
    </row>
    <row r="309">
      <c r="A309" s="14" t="n"/>
      <c r="B309" s="14" t="n"/>
      <c r="C309" s="14" t="n"/>
      <c r="D309" s="14" t="n"/>
      <c r="E309" s="14" t="n"/>
      <c r="F309" s="14" t="n"/>
      <c r="G309" s="14">
        <f>IF(OR($E309="",$F309=""),"",$F309-$E309)</f>
        <v/>
      </c>
      <c r="H309" s="14" t="n"/>
      <c r="I309" s="14" t="n"/>
      <c r="J309" s="19" t="n"/>
      <c r="K309" s="19" t="n"/>
      <c r="L309" s="19" t="n"/>
      <c r="M309" s="19" t="n"/>
      <c r="N309" s="18">
        <f>IF($M309&lt;&gt;"",$M309,IF($L309&lt;&gt;"",$L309*CARBON_FRACTION_OM,""))</f>
        <v/>
      </c>
      <c r="O309" s="18">
        <f>IF(OR($E309="",$F309=""),"",MAX(0,MIN($F309,REFERENCE_DEPTH_CM)-MIN($E309,REFERENCE_DEPTH_CM)))</f>
        <v/>
      </c>
      <c r="P309" s="18">
        <f>IF(OR($J309="",$N309="",$G309=""),"",$J309*($N309/100)*$G309*10)</f>
        <v/>
      </c>
      <c r="Q309" s="18">
        <f>IF(OR($J309="",$N309="",$O309=""),"",$J309*($N309/100)*$O309*10)</f>
        <v/>
      </c>
      <c r="R309" s="18">
        <f>IF(OR(NOT(ISNUMBER($P309)),NOT(ISNUMBER($G309)),$G309=0),0,$P309/$G309)</f>
        <v/>
      </c>
      <c r="S309" s="18">
        <f>IF(OR($B309="",NOT(ISNUMBER($F309))),"",SUMIFS('3. Peat Data'!$P$5:$P$604,'3. Peat Data'!$B$5:$B$604,$B309,'3. Peat Data'!$F$5:$F$604,"&lt;="&amp;$F309))</f>
        <v/>
      </c>
      <c r="T309" s="18">
        <f>IF(AND($A309="",$B309="",$E309=""),"",IF(AND($B309&lt;&gt;"",COUNTIF('2. Core Log'!$A$5:$A$124,$B309)=0),"Core ID not in Core Log. ","")&amp;IF(AND($A309&lt;&gt;"",COUNTIF('1. Plot &amp; Site Log'!$A$5:$A$64,$A309)=0),"Plot ID not in Plot &amp; Site Log. ","")&amp;IF(AND(ISNUMBER($E309),ISNUMBER($F309),$F309&lt;=$E309),"Bottom depth is not below top depth. ","")&amp;IF($I309="","Say which bulk-density basis the lab reported. ","")&amp;IF(AND(ISNUMBER($J309),OR($J309&lt;QC_BD_MIN,$J309&gt;QC_BD_MAX)),"Bulk density outside "&amp;QC_BD_MIN&amp;"–"&amp;QC_BD_MAX&amp;" g/cm³ for peat. Above the top of that range usually means the mineral contact has been passed. ","")&amp;IF(AND(ISNUMBER($N309),$N309&gt;QC_CARBON_PCT_MAX),"Carbon above "&amp;QC_CARBON_PCT_MAX&amp;"% — check units; this may be organic matter rather than carbon. ","")&amp;IF(AND($L309&lt;&gt;"",$M309&lt;&gt;""),"Both LOI and measured carbon given — the measured value is used. ","")&amp;IF(AND($M309="",$L309&lt;&gt;"",OM_FACTOR_IS_LOCAL&lt;&gt;"Yes"),"Carbon derived from LOI using the default factor of "&amp;CARBON_FRACTION_OM&amp;", which has not been calibrated locally. See R1. Reference. ","")&amp;IF(AND(ISNUMBER($O309),$O309=0,ISNUMBER($E309)),"Section lies entirely below the reference depth — it counts to the full-profile stock only. ",""))</f>
        <v/>
      </c>
      <c r="U309" s="14" t="n"/>
    </row>
    <row r="310">
      <c r="A310" s="14" t="n"/>
      <c r="B310" s="14" t="n"/>
      <c r="C310" s="14" t="n"/>
      <c r="D310" s="14" t="n"/>
      <c r="E310" s="14" t="n"/>
      <c r="F310" s="14" t="n"/>
      <c r="G310" s="14">
        <f>IF(OR($E310="",$F310=""),"",$F310-$E310)</f>
        <v/>
      </c>
      <c r="H310" s="14" t="n"/>
      <c r="I310" s="14" t="n"/>
      <c r="J310" s="19" t="n"/>
      <c r="K310" s="19" t="n"/>
      <c r="L310" s="19" t="n"/>
      <c r="M310" s="19" t="n"/>
      <c r="N310" s="18">
        <f>IF($M310&lt;&gt;"",$M310,IF($L310&lt;&gt;"",$L310*CARBON_FRACTION_OM,""))</f>
        <v/>
      </c>
      <c r="O310" s="18">
        <f>IF(OR($E310="",$F310=""),"",MAX(0,MIN($F310,REFERENCE_DEPTH_CM)-MIN($E310,REFERENCE_DEPTH_CM)))</f>
        <v/>
      </c>
      <c r="P310" s="18">
        <f>IF(OR($J310="",$N310="",$G310=""),"",$J310*($N310/100)*$G310*10)</f>
        <v/>
      </c>
      <c r="Q310" s="18">
        <f>IF(OR($J310="",$N310="",$O310=""),"",$J310*($N310/100)*$O310*10)</f>
        <v/>
      </c>
      <c r="R310" s="18">
        <f>IF(OR(NOT(ISNUMBER($P310)),NOT(ISNUMBER($G310)),$G310=0),0,$P310/$G310)</f>
        <v/>
      </c>
      <c r="S310" s="18">
        <f>IF(OR($B310="",NOT(ISNUMBER($F310))),"",SUMIFS('3. Peat Data'!$P$5:$P$604,'3. Peat Data'!$B$5:$B$604,$B310,'3. Peat Data'!$F$5:$F$604,"&lt;="&amp;$F310))</f>
        <v/>
      </c>
      <c r="T310" s="18">
        <f>IF(AND($A310="",$B310="",$E310=""),"",IF(AND($B310&lt;&gt;"",COUNTIF('2. Core Log'!$A$5:$A$124,$B310)=0),"Core ID not in Core Log. ","")&amp;IF(AND($A310&lt;&gt;"",COUNTIF('1. Plot &amp; Site Log'!$A$5:$A$64,$A310)=0),"Plot ID not in Plot &amp; Site Log. ","")&amp;IF(AND(ISNUMBER($E310),ISNUMBER($F310),$F310&lt;=$E310),"Bottom depth is not below top depth. ","")&amp;IF($I310="","Say which bulk-density basis the lab reported. ","")&amp;IF(AND(ISNUMBER($J310),OR($J310&lt;QC_BD_MIN,$J310&gt;QC_BD_MAX)),"Bulk density outside "&amp;QC_BD_MIN&amp;"–"&amp;QC_BD_MAX&amp;" g/cm³ for peat. Above the top of that range usually means the mineral contact has been passed. ","")&amp;IF(AND(ISNUMBER($N310),$N310&gt;QC_CARBON_PCT_MAX),"Carbon above "&amp;QC_CARBON_PCT_MAX&amp;"% — check units; this may be organic matter rather than carbon. ","")&amp;IF(AND($L310&lt;&gt;"",$M310&lt;&gt;""),"Both LOI and measured carbon given — the measured value is used. ","")&amp;IF(AND($M310="",$L310&lt;&gt;"",OM_FACTOR_IS_LOCAL&lt;&gt;"Yes"),"Carbon derived from LOI using the default factor of "&amp;CARBON_FRACTION_OM&amp;", which has not been calibrated locally. See R1. Reference. ","")&amp;IF(AND(ISNUMBER($O310),$O310=0,ISNUMBER($E310)),"Section lies entirely below the reference depth — it counts to the full-profile stock only. ",""))</f>
        <v/>
      </c>
      <c r="U310" s="14" t="n"/>
    </row>
    <row r="311">
      <c r="A311" s="14" t="n"/>
      <c r="B311" s="14" t="n"/>
      <c r="C311" s="14" t="n"/>
      <c r="D311" s="14" t="n"/>
      <c r="E311" s="14" t="n"/>
      <c r="F311" s="14" t="n"/>
      <c r="G311" s="14">
        <f>IF(OR($E311="",$F311=""),"",$F311-$E311)</f>
        <v/>
      </c>
      <c r="H311" s="14" t="n"/>
      <c r="I311" s="14" t="n"/>
      <c r="J311" s="19" t="n"/>
      <c r="K311" s="19" t="n"/>
      <c r="L311" s="19" t="n"/>
      <c r="M311" s="19" t="n"/>
      <c r="N311" s="18">
        <f>IF($M311&lt;&gt;"",$M311,IF($L311&lt;&gt;"",$L311*CARBON_FRACTION_OM,""))</f>
        <v/>
      </c>
      <c r="O311" s="18">
        <f>IF(OR($E311="",$F311=""),"",MAX(0,MIN($F311,REFERENCE_DEPTH_CM)-MIN($E311,REFERENCE_DEPTH_CM)))</f>
        <v/>
      </c>
      <c r="P311" s="18">
        <f>IF(OR($J311="",$N311="",$G311=""),"",$J311*($N311/100)*$G311*10)</f>
        <v/>
      </c>
      <c r="Q311" s="18">
        <f>IF(OR($J311="",$N311="",$O311=""),"",$J311*($N311/100)*$O311*10)</f>
        <v/>
      </c>
      <c r="R311" s="18">
        <f>IF(OR(NOT(ISNUMBER($P311)),NOT(ISNUMBER($G311)),$G311=0),0,$P311/$G311)</f>
        <v/>
      </c>
      <c r="S311" s="18">
        <f>IF(OR($B311="",NOT(ISNUMBER($F311))),"",SUMIFS('3. Peat Data'!$P$5:$P$604,'3. Peat Data'!$B$5:$B$604,$B311,'3. Peat Data'!$F$5:$F$604,"&lt;="&amp;$F311))</f>
        <v/>
      </c>
      <c r="T311" s="18">
        <f>IF(AND($A311="",$B311="",$E311=""),"",IF(AND($B311&lt;&gt;"",COUNTIF('2. Core Log'!$A$5:$A$124,$B311)=0),"Core ID not in Core Log. ","")&amp;IF(AND($A311&lt;&gt;"",COUNTIF('1. Plot &amp; Site Log'!$A$5:$A$64,$A311)=0),"Plot ID not in Plot &amp; Site Log. ","")&amp;IF(AND(ISNUMBER($E311),ISNUMBER($F311),$F311&lt;=$E311),"Bottom depth is not below top depth. ","")&amp;IF($I311="","Say which bulk-density basis the lab reported. ","")&amp;IF(AND(ISNUMBER($J311),OR($J311&lt;QC_BD_MIN,$J311&gt;QC_BD_MAX)),"Bulk density outside "&amp;QC_BD_MIN&amp;"–"&amp;QC_BD_MAX&amp;" g/cm³ for peat. Above the top of that range usually means the mineral contact has been passed. ","")&amp;IF(AND(ISNUMBER($N311),$N311&gt;QC_CARBON_PCT_MAX),"Carbon above "&amp;QC_CARBON_PCT_MAX&amp;"% — check units; this may be organic matter rather than carbon. ","")&amp;IF(AND($L311&lt;&gt;"",$M311&lt;&gt;""),"Both LOI and measured carbon given — the measured value is used. ","")&amp;IF(AND($M311="",$L311&lt;&gt;"",OM_FACTOR_IS_LOCAL&lt;&gt;"Yes"),"Carbon derived from LOI using the default factor of "&amp;CARBON_FRACTION_OM&amp;", which has not been calibrated locally. See R1. Reference. ","")&amp;IF(AND(ISNUMBER($O311),$O311=0,ISNUMBER($E311)),"Section lies entirely below the reference depth — it counts to the full-profile stock only. ",""))</f>
        <v/>
      </c>
      <c r="U311" s="14" t="n"/>
    </row>
    <row r="312">
      <c r="A312" s="14" t="n"/>
      <c r="B312" s="14" t="n"/>
      <c r="C312" s="14" t="n"/>
      <c r="D312" s="14" t="n"/>
      <c r="E312" s="14" t="n"/>
      <c r="F312" s="14" t="n"/>
      <c r="G312" s="14">
        <f>IF(OR($E312="",$F312=""),"",$F312-$E312)</f>
        <v/>
      </c>
      <c r="H312" s="14" t="n"/>
      <c r="I312" s="14" t="n"/>
      <c r="J312" s="19" t="n"/>
      <c r="K312" s="19" t="n"/>
      <c r="L312" s="19" t="n"/>
      <c r="M312" s="19" t="n"/>
      <c r="N312" s="18">
        <f>IF($M312&lt;&gt;"",$M312,IF($L312&lt;&gt;"",$L312*CARBON_FRACTION_OM,""))</f>
        <v/>
      </c>
      <c r="O312" s="18">
        <f>IF(OR($E312="",$F312=""),"",MAX(0,MIN($F312,REFERENCE_DEPTH_CM)-MIN($E312,REFERENCE_DEPTH_CM)))</f>
        <v/>
      </c>
      <c r="P312" s="18">
        <f>IF(OR($J312="",$N312="",$G312=""),"",$J312*($N312/100)*$G312*10)</f>
        <v/>
      </c>
      <c r="Q312" s="18">
        <f>IF(OR($J312="",$N312="",$O312=""),"",$J312*($N312/100)*$O312*10)</f>
        <v/>
      </c>
      <c r="R312" s="18">
        <f>IF(OR(NOT(ISNUMBER($P312)),NOT(ISNUMBER($G312)),$G312=0),0,$P312/$G312)</f>
        <v/>
      </c>
      <c r="S312" s="18">
        <f>IF(OR($B312="",NOT(ISNUMBER($F312))),"",SUMIFS('3. Peat Data'!$P$5:$P$604,'3. Peat Data'!$B$5:$B$604,$B312,'3. Peat Data'!$F$5:$F$604,"&lt;="&amp;$F312))</f>
        <v/>
      </c>
      <c r="T312" s="18">
        <f>IF(AND($A312="",$B312="",$E312=""),"",IF(AND($B312&lt;&gt;"",COUNTIF('2. Core Log'!$A$5:$A$124,$B312)=0),"Core ID not in Core Log. ","")&amp;IF(AND($A312&lt;&gt;"",COUNTIF('1. Plot &amp; Site Log'!$A$5:$A$64,$A312)=0),"Plot ID not in Plot &amp; Site Log. ","")&amp;IF(AND(ISNUMBER($E312),ISNUMBER($F312),$F312&lt;=$E312),"Bottom depth is not below top depth. ","")&amp;IF($I312="","Say which bulk-density basis the lab reported. ","")&amp;IF(AND(ISNUMBER($J312),OR($J312&lt;QC_BD_MIN,$J312&gt;QC_BD_MAX)),"Bulk density outside "&amp;QC_BD_MIN&amp;"–"&amp;QC_BD_MAX&amp;" g/cm³ for peat. Above the top of that range usually means the mineral contact has been passed. ","")&amp;IF(AND(ISNUMBER($N312),$N312&gt;QC_CARBON_PCT_MAX),"Carbon above "&amp;QC_CARBON_PCT_MAX&amp;"% — check units; this may be organic matter rather than carbon. ","")&amp;IF(AND($L312&lt;&gt;"",$M312&lt;&gt;""),"Both LOI and measured carbon given — the measured value is used. ","")&amp;IF(AND($M312="",$L312&lt;&gt;"",OM_FACTOR_IS_LOCAL&lt;&gt;"Yes"),"Carbon derived from LOI using the default factor of "&amp;CARBON_FRACTION_OM&amp;", which has not been calibrated locally. See R1. Reference. ","")&amp;IF(AND(ISNUMBER($O312),$O312=0,ISNUMBER($E312)),"Section lies entirely below the reference depth — it counts to the full-profile stock only. ",""))</f>
        <v/>
      </c>
      <c r="U312" s="14" t="n"/>
    </row>
    <row r="313">
      <c r="A313" s="14" t="n"/>
      <c r="B313" s="14" t="n"/>
      <c r="C313" s="14" t="n"/>
      <c r="D313" s="14" t="n"/>
      <c r="E313" s="14" t="n"/>
      <c r="F313" s="14" t="n"/>
      <c r="G313" s="14">
        <f>IF(OR($E313="",$F313=""),"",$F313-$E313)</f>
        <v/>
      </c>
      <c r="H313" s="14" t="n"/>
      <c r="I313" s="14" t="n"/>
      <c r="J313" s="19" t="n"/>
      <c r="K313" s="19" t="n"/>
      <c r="L313" s="19" t="n"/>
      <c r="M313" s="19" t="n"/>
      <c r="N313" s="18">
        <f>IF($M313&lt;&gt;"",$M313,IF($L313&lt;&gt;"",$L313*CARBON_FRACTION_OM,""))</f>
        <v/>
      </c>
      <c r="O313" s="18">
        <f>IF(OR($E313="",$F313=""),"",MAX(0,MIN($F313,REFERENCE_DEPTH_CM)-MIN($E313,REFERENCE_DEPTH_CM)))</f>
        <v/>
      </c>
      <c r="P313" s="18">
        <f>IF(OR($J313="",$N313="",$G313=""),"",$J313*($N313/100)*$G313*10)</f>
        <v/>
      </c>
      <c r="Q313" s="18">
        <f>IF(OR($J313="",$N313="",$O313=""),"",$J313*($N313/100)*$O313*10)</f>
        <v/>
      </c>
      <c r="R313" s="18">
        <f>IF(OR(NOT(ISNUMBER($P313)),NOT(ISNUMBER($G313)),$G313=0),0,$P313/$G313)</f>
        <v/>
      </c>
      <c r="S313" s="18">
        <f>IF(OR($B313="",NOT(ISNUMBER($F313))),"",SUMIFS('3. Peat Data'!$P$5:$P$604,'3. Peat Data'!$B$5:$B$604,$B313,'3. Peat Data'!$F$5:$F$604,"&lt;="&amp;$F313))</f>
        <v/>
      </c>
      <c r="T313" s="18">
        <f>IF(AND($A313="",$B313="",$E313=""),"",IF(AND($B313&lt;&gt;"",COUNTIF('2. Core Log'!$A$5:$A$124,$B313)=0),"Core ID not in Core Log. ","")&amp;IF(AND($A313&lt;&gt;"",COUNTIF('1. Plot &amp; Site Log'!$A$5:$A$64,$A313)=0),"Plot ID not in Plot &amp; Site Log. ","")&amp;IF(AND(ISNUMBER($E313),ISNUMBER($F313),$F313&lt;=$E313),"Bottom depth is not below top depth. ","")&amp;IF($I313="","Say which bulk-density basis the lab reported. ","")&amp;IF(AND(ISNUMBER($J313),OR($J313&lt;QC_BD_MIN,$J313&gt;QC_BD_MAX)),"Bulk density outside "&amp;QC_BD_MIN&amp;"–"&amp;QC_BD_MAX&amp;" g/cm³ for peat. Above the top of that range usually means the mineral contact has been passed. ","")&amp;IF(AND(ISNUMBER($N313),$N313&gt;QC_CARBON_PCT_MAX),"Carbon above "&amp;QC_CARBON_PCT_MAX&amp;"% — check units; this may be organic matter rather than carbon. ","")&amp;IF(AND($L313&lt;&gt;"",$M313&lt;&gt;""),"Both LOI and measured carbon given — the measured value is used. ","")&amp;IF(AND($M313="",$L313&lt;&gt;"",OM_FACTOR_IS_LOCAL&lt;&gt;"Yes"),"Carbon derived from LOI using the default factor of "&amp;CARBON_FRACTION_OM&amp;", which has not been calibrated locally. See R1. Reference. ","")&amp;IF(AND(ISNUMBER($O313),$O313=0,ISNUMBER($E313)),"Section lies entirely below the reference depth — it counts to the full-profile stock only. ",""))</f>
        <v/>
      </c>
      <c r="U313" s="14" t="n"/>
    </row>
    <row r="314">
      <c r="A314" s="14" t="n"/>
      <c r="B314" s="14" t="n"/>
      <c r="C314" s="14" t="n"/>
      <c r="D314" s="14" t="n"/>
      <c r="E314" s="14" t="n"/>
      <c r="F314" s="14" t="n"/>
      <c r="G314" s="14">
        <f>IF(OR($E314="",$F314=""),"",$F314-$E314)</f>
        <v/>
      </c>
      <c r="H314" s="14" t="n"/>
      <c r="I314" s="14" t="n"/>
      <c r="J314" s="19" t="n"/>
      <c r="K314" s="19" t="n"/>
      <c r="L314" s="19" t="n"/>
      <c r="M314" s="19" t="n"/>
      <c r="N314" s="18">
        <f>IF($M314&lt;&gt;"",$M314,IF($L314&lt;&gt;"",$L314*CARBON_FRACTION_OM,""))</f>
        <v/>
      </c>
      <c r="O314" s="18">
        <f>IF(OR($E314="",$F314=""),"",MAX(0,MIN($F314,REFERENCE_DEPTH_CM)-MIN($E314,REFERENCE_DEPTH_CM)))</f>
        <v/>
      </c>
      <c r="P314" s="18">
        <f>IF(OR($J314="",$N314="",$G314=""),"",$J314*($N314/100)*$G314*10)</f>
        <v/>
      </c>
      <c r="Q314" s="18">
        <f>IF(OR($J314="",$N314="",$O314=""),"",$J314*($N314/100)*$O314*10)</f>
        <v/>
      </c>
      <c r="R314" s="18">
        <f>IF(OR(NOT(ISNUMBER($P314)),NOT(ISNUMBER($G314)),$G314=0),0,$P314/$G314)</f>
        <v/>
      </c>
      <c r="S314" s="18">
        <f>IF(OR($B314="",NOT(ISNUMBER($F314))),"",SUMIFS('3. Peat Data'!$P$5:$P$604,'3. Peat Data'!$B$5:$B$604,$B314,'3. Peat Data'!$F$5:$F$604,"&lt;="&amp;$F314))</f>
        <v/>
      </c>
      <c r="T314" s="18">
        <f>IF(AND($A314="",$B314="",$E314=""),"",IF(AND($B314&lt;&gt;"",COUNTIF('2. Core Log'!$A$5:$A$124,$B314)=0),"Core ID not in Core Log. ","")&amp;IF(AND($A314&lt;&gt;"",COUNTIF('1. Plot &amp; Site Log'!$A$5:$A$64,$A314)=0),"Plot ID not in Plot &amp; Site Log. ","")&amp;IF(AND(ISNUMBER($E314),ISNUMBER($F314),$F314&lt;=$E314),"Bottom depth is not below top depth. ","")&amp;IF($I314="","Say which bulk-density basis the lab reported. ","")&amp;IF(AND(ISNUMBER($J314),OR($J314&lt;QC_BD_MIN,$J314&gt;QC_BD_MAX)),"Bulk density outside "&amp;QC_BD_MIN&amp;"–"&amp;QC_BD_MAX&amp;" g/cm³ for peat. Above the top of that range usually means the mineral contact has been passed. ","")&amp;IF(AND(ISNUMBER($N314),$N314&gt;QC_CARBON_PCT_MAX),"Carbon above "&amp;QC_CARBON_PCT_MAX&amp;"% — check units; this may be organic matter rather than carbon. ","")&amp;IF(AND($L314&lt;&gt;"",$M314&lt;&gt;""),"Both LOI and measured carbon given — the measured value is used. ","")&amp;IF(AND($M314="",$L314&lt;&gt;"",OM_FACTOR_IS_LOCAL&lt;&gt;"Yes"),"Carbon derived from LOI using the default factor of "&amp;CARBON_FRACTION_OM&amp;", which has not been calibrated locally. See R1. Reference. ","")&amp;IF(AND(ISNUMBER($O314),$O314=0,ISNUMBER($E314)),"Section lies entirely below the reference depth — it counts to the full-profile stock only. ",""))</f>
        <v/>
      </c>
      <c r="U314" s="14" t="n"/>
    </row>
    <row r="315">
      <c r="A315" s="14" t="n"/>
      <c r="B315" s="14" t="n"/>
      <c r="C315" s="14" t="n"/>
      <c r="D315" s="14" t="n"/>
      <c r="E315" s="14" t="n"/>
      <c r="F315" s="14" t="n"/>
      <c r="G315" s="14">
        <f>IF(OR($E315="",$F315=""),"",$F315-$E315)</f>
        <v/>
      </c>
      <c r="H315" s="14" t="n"/>
      <c r="I315" s="14" t="n"/>
      <c r="J315" s="19" t="n"/>
      <c r="K315" s="19" t="n"/>
      <c r="L315" s="19" t="n"/>
      <c r="M315" s="19" t="n"/>
      <c r="N315" s="18">
        <f>IF($M315&lt;&gt;"",$M315,IF($L315&lt;&gt;"",$L315*CARBON_FRACTION_OM,""))</f>
        <v/>
      </c>
      <c r="O315" s="18">
        <f>IF(OR($E315="",$F315=""),"",MAX(0,MIN($F315,REFERENCE_DEPTH_CM)-MIN($E315,REFERENCE_DEPTH_CM)))</f>
        <v/>
      </c>
      <c r="P315" s="18">
        <f>IF(OR($J315="",$N315="",$G315=""),"",$J315*($N315/100)*$G315*10)</f>
        <v/>
      </c>
      <c r="Q315" s="18">
        <f>IF(OR($J315="",$N315="",$O315=""),"",$J315*($N315/100)*$O315*10)</f>
        <v/>
      </c>
      <c r="R315" s="18">
        <f>IF(OR(NOT(ISNUMBER($P315)),NOT(ISNUMBER($G315)),$G315=0),0,$P315/$G315)</f>
        <v/>
      </c>
      <c r="S315" s="18">
        <f>IF(OR($B315="",NOT(ISNUMBER($F315))),"",SUMIFS('3. Peat Data'!$P$5:$P$604,'3. Peat Data'!$B$5:$B$604,$B315,'3. Peat Data'!$F$5:$F$604,"&lt;="&amp;$F315))</f>
        <v/>
      </c>
      <c r="T315" s="18">
        <f>IF(AND($A315="",$B315="",$E315=""),"",IF(AND($B315&lt;&gt;"",COUNTIF('2. Core Log'!$A$5:$A$124,$B315)=0),"Core ID not in Core Log. ","")&amp;IF(AND($A315&lt;&gt;"",COUNTIF('1. Plot &amp; Site Log'!$A$5:$A$64,$A315)=0),"Plot ID not in Plot &amp; Site Log. ","")&amp;IF(AND(ISNUMBER($E315),ISNUMBER($F315),$F315&lt;=$E315),"Bottom depth is not below top depth. ","")&amp;IF($I315="","Say which bulk-density basis the lab reported. ","")&amp;IF(AND(ISNUMBER($J315),OR($J315&lt;QC_BD_MIN,$J315&gt;QC_BD_MAX)),"Bulk density outside "&amp;QC_BD_MIN&amp;"–"&amp;QC_BD_MAX&amp;" g/cm³ for peat. Above the top of that range usually means the mineral contact has been passed. ","")&amp;IF(AND(ISNUMBER($N315),$N315&gt;QC_CARBON_PCT_MAX),"Carbon above "&amp;QC_CARBON_PCT_MAX&amp;"% — check units; this may be organic matter rather than carbon. ","")&amp;IF(AND($L315&lt;&gt;"",$M315&lt;&gt;""),"Both LOI and measured carbon given — the measured value is used. ","")&amp;IF(AND($M315="",$L315&lt;&gt;"",OM_FACTOR_IS_LOCAL&lt;&gt;"Yes"),"Carbon derived from LOI using the default factor of "&amp;CARBON_FRACTION_OM&amp;", which has not been calibrated locally. See R1. Reference. ","")&amp;IF(AND(ISNUMBER($O315),$O315=0,ISNUMBER($E315)),"Section lies entirely below the reference depth — it counts to the full-profile stock only. ",""))</f>
        <v/>
      </c>
      <c r="U315" s="14" t="n"/>
    </row>
    <row r="316">
      <c r="A316" s="14" t="n"/>
      <c r="B316" s="14" t="n"/>
      <c r="C316" s="14" t="n"/>
      <c r="D316" s="14" t="n"/>
      <c r="E316" s="14" t="n"/>
      <c r="F316" s="14" t="n"/>
      <c r="G316" s="14">
        <f>IF(OR($E316="",$F316=""),"",$F316-$E316)</f>
        <v/>
      </c>
      <c r="H316" s="14" t="n"/>
      <c r="I316" s="14" t="n"/>
      <c r="J316" s="19" t="n"/>
      <c r="K316" s="19" t="n"/>
      <c r="L316" s="19" t="n"/>
      <c r="M316" s="19" t="n"/>
      <c r="N316" s="18">
        <f>IF($M316&lt;&gt;"",$M316,IF($L316&lt;&gt;"",$L316*CARBON_FRACTION_OM,""))</f>
        <v/>
      </c>
      <c r="O316" s="18">
        <f>IF(OR($E316="",$F316=""),"",MAX(0,MIN($F316,REFERENCE_DEPTH_CM)-MIN($E316,REFERENCE_DEPTH_CM)))</f>
        <v/>
      </c>
      <c r="P316" s="18">
        <f>IF(OR($J316="",$N316="",$G316=""),"",$J316*($N316/100)*$G316*10)</f>
        <v/>
      </c>
      <c r="Q316" s="18">
        <f>IF(OR($J316="",$N316="",$O316=""),"",$J316*($N316/100)*$O316*10)</f>
        <v/>
      </c>
      <c r="R316" s="18">
        <f>IF(OR(NOT(ISNUMBER($P316)),NOT(ISNUMBER($G316)),$G316=0),0,$P316/$G316)</f>
        <v/>
      </c>
      <c r="S316" s="18">
        <f>IF(OR($B316="",NOT(ISNUMBER($F316))),"",SUMIFS('3. Peat Data'!$P$5:$P$604,'3. Peat Data'!$B$5:$B$604,$B316,'3. Peat Data'!$F$5:$F$604,"&lt;="&amp;$F316))</f>
        <v/>
      </c>
      <c r="T316" s="18">
        <f>IF(AND($A316="",$B316="",$E316=""),"",IF(AND($B316&lt;&gt;"",COUNTIF('2. Core Log'!$A$5:$A$124,$B316)=0),"Core ID not in Core Log. ","")&amp;IF(AND($A316&lt;&gt;"",COUNTIF('1. Plot &amp; Site Log'!$A$5:$A$64,$A316)=0),"Plot ID not in Plot &amp; Site Log. ","")&amp;IF(AND(ISNUMBER($E316),ISNUMBER($F316),$F316&lt;=$E316),"Bottom depth is not below top depth. ","")&amp;IF($I316="","Say which bulk-density basis the lab reported. ","")&amp;IF(AND(ISNUMBER($J316),OR($J316&lt;QC_BD_MIN,$J316&gt;QC_BD_MAX)),"Bulk density outside "&amp;QC_BD_MIN&amp;"–"&amp;QC_BD_MAX&amp;" g/cm³ for peat. Above the top of that range usually means the mineral contact has been passed. ","")&amp;IF(AND(ISNUMBER($N316),$N316&gt;QC_CARBON_PCT_MAX),"Carbon above "&amp;QC_CARBON_PCT_MAX&amp;"% — check units; this may be organic matter rather than carbon. ","")&amp;IF(AND($L316&lt;&gt;"",$M316&lt;&gt;""),"Both LOI and measured carbon given — the measured value is used. ","")&amp;IF(AND($M316="",$L316&lt;&gt;"",OM_FACTOR_IS_LOCAL&lt;&gt;"Yes"),"Carbon derived from LOI using the default factor of "&amp;CARBON_FRACTION_OM&amp;", which has not been calibrated locally. See R1. Reference. ","")&amp;IF(AND(ISNUMBER($O316),$O316=0,ISNUMBER($E316)),"Section lies entirely below the reference depth — it counts to the full-profile stock only. ",""))</f>
        <v/>
      </c>
      <c r="U316" s="14" t="n"/>
    </row>
    <row r="317">
      <c r="A317" s="14" t="n"/>
      <c r="B317" s="14" t="n"/>
      <c r="C317" s="14" t="n"/>
      <c r="D317" s="14" t="n"/>
      <c r="E317" s="14" t="n"/>
      <c r="F317" s="14" t="n"/>
      <c r="G317" s="14">
        <f>IF(OR($E317="",$F317=""),"",$F317-$E317)</f>
        <v/>
      </c>
      <c r="H317" s="14" t="n"/>
      <c r="I317" s="14" t="n"/>
      <c r="J317" s="19" t="n"/>
      <c r="K317" s="19" t="n"/>
      <c r="L317" s="19" t="n"/>
      <c r="M317" s="19" t="n"/>
      <c r="N317" s="18">
        <f>IF($M317&lt;&gt;"",$M317,IF($L317&lt;&gt;"",$L317*CARBON_FRACTION_OM,""))</f>
        <v/>
      </c>
      <c r="O317" s="18">
        <f>IF(OR($E317="",$F317=""),"",MAX(0,MIN($F317,REFERENCE_DEPTH_CM)-MIN($E317,REFERENCE_DEPTH_CM)))</f>
        <v/>
      </c>
      <c r="P317" s="18">
        <f>IF(OR($J317="",$N317="",$G317=""),"",$J317*($N317/100)*$G317*10)</f>
        <v/>
      </c>
      <c r="Q317" s="18">
        <f>IF(OR($J317="",$N317="",$O317=""),"",$J317*($N317/100)*$O317*10)</f>
        <v/>
      </c>
      <c r="R317" s="18">
        <f>IF(OR(NOT(ISNUMBER($P317)),NOT(ISNUMBER($G317)),$G317=0),0,$P317/$G317)</f>
        <v/>
      </c>
      <c r="S317" s="18">
        <f>IF(OR($B317="",NOT(ISNUMBER($F317))),"",SUMIFS('3. Peat Data'!$P$5:$P$604,'3. Peat Data'!$B$5:$B$604,$B317,'3. Peat Data'!$F$5:$F$604,"&lt;="&amp;$F317))</f>
        <v/>
      </c>
      <c r="T317" s="18">
        <f>IF(AND($A317="",$B317="",$E317=""),"",IF(AND($B317&lt;&gt;"",COUNTIF('2. Core Log'!$A$5:$A$124,$B317)=0),"Core ID not in Core Log. ","")&amp;IF(AND($A317&lt;&gt;"",COUNTIF('1. Plot &amp; Site Log'!$A$5:$A$64,$A317)=0),"Plot ID not in Plot &amp; Site Log. ","")&amp;IF(AND(ISNUMBER($E317),ISNUMBER($F317),$F317&lt;=$E317),"Bottom depth is not below top depth. ","")&amp;IF($I317="","Say which bulk-density basis the lab reported. ","")&amp;IF(AND(ISNUMBER($J317),OR($J317&lt;QC_BD_MIN,$J317&gt;QC_BD_MAX)),"Bulk density outside "&amp;QC_BD_MIN&amp;"–"&amp;QC_BD_MAX&amp;" g/cm³ for peat. Above the top of that range usually means the mineral contact has been passed. ","")&amp;IF(AND(ISNUMBER($N317),$N317&gt;QC_CARBON_PCT_MAX),"Carbon above "&amp;QC_CARBON_PCT_MAX&amp;"% — check units; this may be organic matter rather than carbon. ","")&amp;IF(AND($L317&lt;&gt;"",$M317&lt;&gt;""),"Both LOI and measured carbon given — the measured value is used. ","")&amp;IF(AND($M317="",$L317&lt;&gt;"",OM_FACTOR_IS_LOCAL&lt;&gt;"Yes"),"Carbon derived from LOI using the default factor of "&amp;CARBON_FRACTION_OM&amp;", which has not been calibrated locally. See R1. Reference. ","")&amp;IF(AND(ISNUMBER($O317),$O317=0,ISNUMBER($E317)),"Section lies entirely below the reference depth — it counts to the full-profile stock only. ",""))</f>
        <v/>
      </c>
      <c r="U317" s="14" t="n"/>
    </row>
    <row r="318">
      <c r="A318" s="14" t="n"/>
      <c r="B318" s="14" t="n"/>
      <c r="C318" s="14" t="n"/>
      <c r="D318" s="14" t="n"/>
      <c r="E318" s="14" t="n"/>
      <c r="F318" s="14" t="n"/>
      <c r="G318" s="14">
        <f>IF(OR($E318="",$F318=""),"",$F318-$E318)</f>
        <v/>
      </c>
      <c r="H318" s="14" t="n"/>
      <c r="I318" s="14" t="n"/>
      <c r="J318" s="19" t="n"/>
      <c r="K318" s="19" t="n"/>
      <c r="L318" s="19" t="n"/>
      <c r="M318" s="19" t="n"/>
      <c r="N318" s="18">
        <f>IF($M318&lt;&gt;"",$M318,IF($L318&lt;&gt;"",$L318*CARBON_FRACTION_OM,""))</f>
        <v/>
      </c>
      <c r="O318" s="18">
        <f>IF(OR($E318="",$F318=""),"",MAX(0,MIN($F318,REFERENCE_DEPTH_CM)-MIN($E318,REFERENCE_DEPTH_CM)))</f>
        <v/>
      </c>
      <c r="P318" s="18">
        <f>IF(OR($J318="",$N318="",$G318=""),"",$J318*($N318/100)*$G318*10)</f>
        <v/>
      </c>
      <c r="Q318" s="18">
        <f>IF(OR($J318="",$N318="",$O318=""),"",$J318*($N318/100)*$O318*10)</f>
        <v/>
      </c>
      <c r="R318" s="18">
        <f>IF(OR(NOT(ISNUMBER($P318)),NOT(ISNUMBER($G318)),$G318=0),0,$P318/$G318)</f>
        <v/>
      </c>
      <c r="S318" s="18">
        <f>IF(OR($B318="",NOT(ISNUMBER($F318))),"",SUMIFS('3. Peat Data'!$P$5:$P$604,'3. Peat Data'!$B$5:$B$604,$B318,'3. Peat Data'!$F$5:$F$604,"&lt;="&amp;$F318))</f>
        <v/>
      </c>
      <c r="T318" s="18">
        <f>IF(AND($A318="",$B318="",$E318=""),"",IF(AND($B318&lt;&gt;"",COUNTIF('2. Core Log'!$A$5:$A$124,$B318)=0),"Core ID not in Core Log. ","")&amp;IF(AND($A318&lt;&gt;"",COUNTIF('1. Plot &amp; Site Log'!$A$5:$A$64,$A318)=0),"Plot ID not in Plot &amp; Site Log. ","")&amp;IF(AND(ISNUMBER($E318),ISNUMBER($F318),$F318&lt;=$E318),"Bottom depth is not below top depth. ","")&amp;IF($I318="","Say which bulk-density basis the lab reported. ","")&amp;IF(AND(ISNUMBER($J318),OR($J318&lt;QC_BD_MIN,$J318&gt;QC_BD_MAX)),"Bulk density outside "&amp;QC_BD_MIN&amp;"–"&amp;QC_BD_MAX&amp;" g/cm³ for peat. Above the top of that range usually means the mineral contact has been passed. ","")&amp;IF(AND(ISNUMBER($N318),$N318&gt;QC_CARBON_PCT_MAX),"Carbon above "&amp;QC_CARBON_PCT_MAX&amp;"% — check units; this may be organic matter rather than carbon. ","")&amp;IF(AND($L318&lt;&gt;"",$M318&lt;&gt;""),"Both LOI and measured carbon given — the measured value is used. ","")&amp;IF(AND($M318="",$L318&lt;&gt;"",OM_FACTOR_IS_LOCAL&lt;&gt;"Yes"),"Carbon derived from LOI using the default factor of "&amp;CARBON_FRACTION_OM&amp;", which has not been calibrated locally. See R1. Reference. ","")&amp;IF(AND(ISNUMBER($O318),$O318=0,ISNUMBER($E318)),"Section lies entirely below the reference depth — it counts to the full-profile stock only. ",""))</f>
        <v/>
      </c>
      <c r="U318" s="14" t="n"/>
    </row>
    <row r="319">
      <c r="A319" s="14" t="n"/>
      <c r="B319" s="14" t="n"/>
      <c r="C319" s="14" t="n"/>
      <c r="D319" s="14" t="n"/>
      <c r="E319" s="14" t="n"/>
      <c r="F319" s="14" t="n"/>
      <c r="G319" s="14">
        <f>IF(OR($E319="",$F319=""),"",$F319-$E319)</f>
        <v/>
      </c>
      <c r="H319" s="14" t="n"/>
      <c r="I319" s="14" t="n"/>
      <c r="J319" s="19" t="n"/>
      <c r="K319" s="19" t="n"/>
      <c r="L319" s="19" t="n"/>
      <c r="M319" s="19" t="n"/>
      <c r="N319" s="18">
        <f>IF($M319&lt;&gt;"",$M319,IF($L319&lt;&gt;"",$L319*CARBON_FRACTION_OM,""))</f>
        <v/>
      </c>
      <c r="O319" s="18">
        <f>IF(OR($E319="",$F319=""),"",MAX(0,MIN($F319,REFERENCE_DEPTH_CM)-MIN($E319,REFERENCE_DEPTH_CM)))</f>
        <v/>
      </c>
      <c r="P319" s="18">
        <f>IF(OR($J319="",$N319="",$G319=""),"",$J319*($N319/100)*$G319*10)</f>
        <v/>
      </c>
      <c r="Q319" s="18">
        <f>IF(OR($J319="",$N319="",$O319=""),"",$J319*($N319/100)*$O319*10)</f>
        <v/>
      </c>
      <c r="R319" s="18">
        <f>IF(OR(NOT(ISNUMBER($P319)),NOT(ISNUMBER($G319)),$G319=0),0,$P319/$G319)</f>
        <v/>
      </c>
      <c r="S319" s="18">
        <f>IF(OR($B319="",NOT(ISNUMBER($F319))),"",SUMIFS('3. Peat Data'!$P$5:$P$604,'3. Peat Data'!$B$5:$B$604,$B319,'3. Peat Data'!$F$5:$F$604,"&lt;="&amp;$F319))</f>
        <v/>
      </c>
      <c r="T319" s="18">
        <f>IF(AND($A319="",$B319="",$E319=""),"",IF(AND($B319&lt;&gt;"",COUNTIF('2. Core Log'!$A$5:$A$124,$B319)=0),"Core ID not in Core Log. ","")&amp;IF(AND($A319&lt;&gt;"",COUNTIF('1. Plot &amp; Site Log'!$A$5:$A$64,$A319)=0),"Plot ID not in Plot &amp; Site Log. ","")&amp;IF(AND(ISNUMBER($E319),ISNUMBER($F319),$F319&lt;=$E319),"Bottom depth is not below top depth. ","")&amp;IF($I319="","Say which bulk-density basis the lab reported. ","")&amp;IF(AND(ISNUMBER($J319),OR($J319&lt;QC_BD_MIN,$J319&gt;QC_BD_MAX)),"Bulk density outside "&amp;QC_BD_MIN&amp;"–"&amp;QC_BD_MAX&amp;" g/cm³ for peat. Above the top of that range usually means the mineral contact has been passed. ","")&amp;IF(AND(ISNUMBER($N319),$N319&gt;QC_CARBON_PCT_MAX),"Carbon above "&amp;QC_CARBON_PCT_MAX&amp;"% — check units; this may be organic matter rather than carbon. ","")&amp;IF(AND($L319&lt;&gt;"",$M319&lt;&gt;""),"Both LOI and measured carbon given — the measured value is used. ","")&amp;IF(AND($M319="",$L319&lt;&gt;"",OM_FACTOR_IS_LOCAL&lt;&gt;"Yes"),"Carbon derived from LOI using the default factor of "&amp;CARBON_FRACTION_OM&amp;", which has not been calibrated locally. See R1. Reference. ","")&amp;IF(AND(ISNUMBER($O319),$O319=0,ISNUMBER($E319)),"Section lies entirely below the reference depth — it counts to the full-profile stock only. ",""))</f>
        <v/>
      </c>
      <c r="U319" s="14" t="n"/>
    </row>
    <row r="320">
      <c r="A320" s="14" t="n"/>
      <c r="B320" s="14" t="n"/>
      <c r="C320" s="14" t="n"/>
      <c r="D320" s="14" t="n"/>
      <c r="E320" s="14" t="n"/>
      <c r="F320" s="14" t="n"/>
      <c r="G320" s="14">
        <f>IF(OR($E320="",$F320=""),"",$F320-$E320)</f>
        <v/>
      </c>
      <c r="H320" s="14" t="n"/>
      <c r="I320" s="14" t="n"/>
      <c r="J320" s="19" t="n"/>
      <c r="K320" s="19" t="n"/>
      <c r="L320" s="19" t="n"/>
      <c r="M320" s="19" t="n"/>
      <c r="N320" s="18">
        <f>IF($M320&lt;&gt;"",$M320,IF($L320&lt;&gt;"",$L320*CARBON_FRACTION_OM,""))</f>
        <v/>
      </c>
      <c r="O320" s="18">
        <f>IF(OR($E320="",$F320=""),"",MAX(0,MIN($F320,REFERENCE_DEPTH_CM)-MIN($E320,REFERENCE_DEPTH_CM)))</f>
        <v/>
      </c>
      <c r="P320" s="18">
        <f>IF(OR($J320="",$N320="",$G320=""),"",$J320*($N320/100)*$G320*10)</f>
        <v/>
      </c>
      <c r="Q320" s="18">
        <f>IF(OR($J320="",$N320="",$O320=""),"",$J320*($N320/100)*$O320*10)</f>
        <v/>
      </c>
      <c r="R320" s="18">
        <f>IF(OR(NOT(ISNUMBER($P320)),NOT(ISNUMBER($G320)),$G320=0),0,$P320/$G320)</f>
        <v/>
      </c>
      <c r="S320" s="18">
        <f>IF(OR($B320="",NOT(ISNUMBER($F320))),"",SUMIFS('3. Peat Data'!$P$5:$P$604,'3. Peat Data'!$B$5:$B$604,$B320,'3. Peat Data'!$F$5:$F$604,"&lt;="&amp;$F320))</f>
        <v/>
      </c>
      <c r="T320" s="18">
        <f>IF(AND($A320="",$B320="",$E320=""),"",IF(AND($B320&lt;&gt;"",COUNTIF('2. Core Log'!$A$5:$A$124,$B320)=0),"Core ID not in Core Log. ","")&amp;IF(AND($A320&lt;&gt;"",COUNTIF('1. Plot &amp; Site Log'!$A$5:$A$64,$A320)=0),"Plot ID not in Plot &amp; Site Log. ","")&amp;IF(AND(ISNUMBER($E320),ISNUMBER($F320),$F320&lt;=$E320),"Bottom depth is not below top depth. ","")&amp;IF($I320="","Say which bulk-density basis the lab reported. ","")&amp;IF(AND(ISNUMBER($J320),OR($J320&lt;QC_BD_MIN,$J320&gt;QC_BD_MAX)),"Bulk density outside "&amp;QC_BD_MIN&amp;"–"&amp;QC_BD_MAX&amp;" g/cm³ for peat. Above the top of that range usually means the mineral contact has been passed. ","")&amp;IF(AND(ISNUMBER($N320),$N320&gt;QC_CARBON_PCT_MAX),"Carbon above "&amp;QC_CARBON_PCT_MAX&amp;"% — check units; this may be organic matter rather than carbon. ","")&amp;IF(AND($L320&lt;&gt;"",$M320&lt;&gt;""),"Both LOI and measured carbon given — the measured value is used. ","")&amp;IF(AND($M320="",$L320&lt;&gt;"",OM_FACTOR_IS_LOCAL&lt;&gt;"Yes"),"Carbon derived from LOI using the default factor of "&amp;CARBON_FRACTION_OM&amp;", which has not been calibrated locally. See R1. Reference. ","")&amp;IF(AND(ISNUMBER($O320),$O320=0,ISNUMBER($E320)),"Section lies entirely below the reference depth — it counts to the full-profile stock only. ",""))</f>
        <v/>
      </c>
      <c r="U320" s="14" t="n"/>
    </row>
    <row r="321">
      <c r="A321" s="14" t="n"/>
      <c r="B321" s="14" t="n"/>
      <c r="C321" s="14" t="n"/>
      <c r="D321" s="14" t="n"/>
      <c r="E321" s="14" t="n"/>
      <c r="F321" s="14" t="n"/>
      <c r="G321" s="14">
        <f>IF(OR($E321="",$F321=""),"",$F321-$E321)</f>
        <v/>
      </c>
      <c r="H321" s="14" t="n"/>
      <c r="I321" s="14" t="n"/>
      <c r="J321" s="19" t="n"/>
      <c r="K321" s="19" t="n"/>
      <c r="L321" s="19" t="n"/>
      <c r="M321" s="19" t="n"/>
      <c r="N321" s="18">
        <f>IF($M321&lt;&gt;"",$M321,IF($L321&lt;&gt;"",$L321*CARBON_FRACTION_OM,""))</f>
        <v/>
      </c>
      <c r="O321" s="18">
        <f>IF(OR($E321="",$F321=""),"",MAX(0,MIN($F321,REFERENCE_DEPTH_CM)-MIN($E321,REFERENCE_DEPTH_CM)))</f>
        <v/>
      </c>
      <c r="P321" s="18">
        <f>IF(OR($J321="",$N321="",$G321=""),"",$J321*($N321/100)*$G321*10)</f>
        <v/>
      </c>
      <c r="Q321" s="18">
        <f>IF(OR($J321="",$N321="",$O321=""),"",$J321*($N321/100)*$O321*10)</f>
        <v/>
      </c>
      <c r="R321" s="18">
        <f>IF(OR(NOT(ISNUMBER($P321)),NOT(ISNUMBER($G321)),$G321=0),0,$P321/$G321)</f>
        <v/>
      </c>
      <c r="S321" s="18">
        <f>IF(OR($B321="",NOT(ISNUMBER($F321))),"",SUMIFS('3. Peat Data'!$P$5:$P$604,'3. Peat Data'!$B$5:$B$604,$B321,'3. Peat Data'!$F$5:$F$604,"&lt;="&amp;$F321))</f>
        <v/>
      </c>
      <c r="T321" s="18">
        <f>IF(AND($A321="",$B321="",$E321=""),"",IF(AND($B321&lt;&gt;"",COUNTIF('2. Core Log'!$A$5:$A$124,$B321)=0),"Core ID not in Core Log. ","")&amp;IF(AND($A321&lt;&gt;"",COUNTIF('1. Plot &amp; Site Log'!$A$5:$A$64,$A321)=0),"Plot ID not in Plot &amp; Site Log. ","")&amp;IF(AND(ISNUMBER($E321),ISNUMBER($F321),$F321&lt;=$E321),"Bottom depth is not below top depth. ","")&amp;IF($I321="","Say which bulk-density basis the lab reported. ","")&amp;IF(AND(ISNUMBER($J321),OR($J321&lt;QC_BD_MIN,$J321&gt;QC_BD_MAX)),"Bulk density outside "&amp;QC_BD_MIN&amp;"–"&amp;QC_BD_MAX&amp;" g/cm³ for peat. Above the top of that range usually means the mineral contact has been passed. ","")&amp;IF(AND(ISNUMBER($N321),$N321&gt;QC_CARBON_PCT_MAX),"Carbon above "&amp;QC_CARBON_PCT_MAX&amp;"% — check units; this may be organic matter rather than carbon. ","")&amp;IF(AND($L321&lt;&gt;"",$M321&lt;&gt;""),"Both LOI and measured carbon given — the measured value is used. ","")&amp;IF(AND($M321="",$L321&lt;&gt;"",OM_FACTOR_IS_LOCAL&lt;&gt;"Yes"),"Carbon derived from LOI using the default factor of "&amp;CARBON_FRACTION_OM&amp;", which has not been calibrated locally. See R1. Reference. ","")&amp;IF(AND(ISNUMBER($O321),$O321=0,ISNUMBER($E321)),"Section lies entirely below the reference depth — it counts to the full-profile stock only. ",""))</f>
        <v/>
      </c>
      <c r="U321" s="14" t="n"/>
    </row>
    <row r="322">
      <c r="A322" s="14" t="n"/>
      <c r="B322" s="14" t="n"/>
      <c r="C322" s="14" t="n"/>
      <c r="D322" s="14" t="n"/>
      <c r="E322" s="14" t="n"/>
      <c r="F322" s="14" t="n"/>
      <c r="G322" s="14">
        <f>IF(OR($E322="",$F322=""),"",$F322-$E322)</f>
        <v/>
      </c>
      <c r="H322" s="14" t="n"/>
      <c r="I322" s="14" t="n"/>
      <c r="J322" s="19" t="n"/>
      <c r="K322" s="19" t="n"/>
      <c r="L322" s="19" t="n"/>
      <c r="M322" s="19" t="n"/>
      <c r="N322" s="18">
        <f>IF($M322&lt;&gt;"",$M322,IF($L322&lt;&gt;"",$L322*CARBON_FRACTION_OM,""))</f>
        <v/>
      </c>
      <c r="O322" s="18">
        <f>IF(OR($E322="",$F322=""),"",MAX(0,MIN($F322,REFERENCE_DEPTH_CM)-MIN($E322,REFERENCE_DEPTH_CM)))</f>
        <v/>
      </c>
      <c r="P322" s="18">
        <f>IF(OR($J322="",$N322="",$G322=""),"",$J322*($N322/100)*$G322*10)</f>
        <v/>
      </c>
      <c r="Q322" s="18">
        <f>IF(OR($J322="",$N322="",$O322=""),"",$J322*($N322/100)*$O322*10)</f>
        <v/>
      </c>
      <c r="R322" s="18">
        <f>IF(OR(NOT(ISNUMBER($P322)),NOT(ISNUMBER($G322)),$G322=0),0,$P322/$G322)</f>
        <v/>
      </c>
      <c r="S322" s="18">
        <f>IF(OR($B322="",NOT(ISNUMBER($F322))),"",SUMIFS('3. Peat Data'!$P$5:$P$604,'3. Peat Data'!$B$5:$B$604,$B322,'3. Peat Data'!$F$5:$F$604,"&lt;="&amp;$F322))</f>
        <v/>
      </c>
      <c r="T322" s="18">
        <f>IF(AND($A322="",$B322="",$E322=""),"",IF(AND($B322&lt;&gt;"",COUNTIF('2. Core Log'!$A$5:$A$124,$B322)=0),"Core ID not in Core Log. ","")&amp;IF(AND($A322&lt;&gt;"",COUNTIF('1. Plot &amp; Site Log'!$A$5:$A$64,$A322)=0),"Plot ID not in Plot &amp; Site Log. ","")&amp;IF(AND(ISNUMBER($E322),ISNUMBER($F322),$F322&lt;=$E322),"Bottom depth is not below top depth. ","")&amp;IF($I322="","Say which bulk-density basis the lab reported. ","")&amp;IF(AND(ISNUMBER($J322),OR($J322&lt;QC_BD_MIN,$J322&gt;QC_BD_MAX)),"Bulk density outside "&amp;QC_BD_MIN&amp;"–"&amp;QC_BD_MAX&amp;" g/cm³ for peat. Above the top of that range usually means the mineral contact has been passed. ","")&amp;IF(AND(ISNUMBER($N322),$N322&gt;QC_CARBON_PCT_MAX),"Carbon above "&amp;QC_CARBON_PCT_MAX&amp;"% — check units; this may be organic matter rather than carbon. ","")&amp;IF(AND($L322&lt;&gt;"",$M322&lt;&gt;""),"Both LOI and measured carbon given — the measured value is used. ","")&amp;IF(AND($M322="",$L322&lt;&gt;"",OM_FACTOR_IS_LOCAL&lt;&gt;"Yes"),"Carbon derived from LOI using the default factor of "&amp;CARBON_FRACTION_OM&amp;", which has not been calibrated locally. See R1. Reference. ","")&amp;IF(AND(ISNUMBER($O322),$O322=0,ISNUMBER($E322)),"Section lies entirely below the reference depth — it counts to the full-profile stock only. ",""))</f>
        <v/>
      </c>
      <c r="U322" s="14" t="n"/>
    </row>
    <row r="323">
      <c r="A323" s="14" t="n"/>
      <c r="B323" s="14" t="n"/>
      <c r="C323" s="14" t="n"/>
      <c r="D323" s="14" t="n"/>
      <c r="E323" s="14" t="n"/>
      <c r="F323" s="14" t="n"/>
      <c r="G323" s="14">
        <f>IF(OR($E323="",$F323=""),"",$F323-$E323)</f>
        <v/>
      </c>
      <c r="H323" s="14" t="n"/>
      <c r="I323" s="14" t="n"/>
      <c r="J323" s="19" t="n"/>
      <c r="K323" s="19" t="n"/>
      <c r="L323" s="19" t="n"/>
      <c r="M323" s="19" t="n"/>
      <c r="N323" s="18">
        <f>IF($M323&lt;&gt;"",$M323,IF($L323&lt;&gt;"",$L323*CARBON_FRACTION_OM,""))</f>
        <v/>
      </c>
      <c r="O323" s="18">
        <f>IF(OR($E323="",$F323=""),"",MAX(0,MIN($F323,REFERENCE_DEPTH_CM)-MIN($E323,REFERENCE_DEPTH_CM)))</f>
        <v/>
      </c>
      <c r="P323" s="18">
        <f>IF(OR($J323="",$N323="",$G323=""),"",$J323*($N323/100)*$G323*10)</f>
        <v/>
      </c>
      <c r="Q323" s="18">
        <f>IF(OR($J323="",$N323="",$O323=""),"",$J323*($N323/100)*$O323*10)</f>
        <v/>
      </c>
      <c r="R323" s="18">
        <f>IF(OR(NOT(ISNUMBER($P323)),NOT(ISNUMBER($G323)),$G323=0),0,$P323/$G323)</f>
        <v/>
      </c>
      <c r="S323" s="18">
        <f>IF(OR($B323="",NOT(ISNUMBER($F323))),"",SUMIFS('3. Peat Data'!$P$5:$P$604,'3. Peat Data'!$B$5:$B$604,$B323,'3. Peat Data'!$F$5:$F$604,"&lt;="&amp;$F323))</f>
        <v/>
      </c>
      <c r="T323" s="18">
        <f>IF(AND($A323="",$B323="",$E323=""),"",IF(AND($B323&lt;&gt;"",COUNTIF('2. Core Log'!$A$5:$A$124,$B323)=0),"Core ID not in Core Log. ","")&amp;IF(AND($A323&lt;&gt;"",COUNTIF('1. Plot &amp; Site Log'!$A$5:$A$64,$A323)=0),"Plot ID not in Plot &amp; Site Log. ","")&amp;IF(AND(ISNUMBER($E323),ISNUMBER($F323),$F323&lt;=$E323),"Bottom depth is not below top depth. ","")&amp;IF($I323="","Say which bulk-density basis the lab reported. ","")&amp;IF(AND(ISNUMBER($J323),OR($J323&lt;QC_BD_MIN,$J323&gt;QC_BD_MAX)),"Bulk density outside "&amp;QC_BD_MIN&amp;"–"&amp;QC_BD_MAX&amp;" g/cm³ for peat. Above the top of that range usually means the mineral contact has been passed. ","")&amp;IF(AND(ISNUMBER($N323),$N323&gt;QC_CARBON_PCT_MAX),"Carbon above "&amp;QC_CARBON_PCT_MAX&amp;"% — check units; this may be organic matter rather than carbon. ","")&amp;IF(AND($L323&lt;&gt;"",$M323&lt;&gt;""),"Both LOI and measured carbon given — the measured value is used. ","")&amp;IF(AND($M323="",$L323&lt;&gt;"",OM_FACTOR_IS_LOCAL&lt;&gt;"Yes"),"Carbon derived from LOI using the default factor of "&amp;CARBON_FRACTION_OM&amp;", which has not been calibrated locally. See R1. Reference. ","")&amp;IF(AND(ISNUMBER($O323),$O323=0,ISNUMBER($E323)),"Section lies entirely below the reference depth — it counts to the full-profile stock only. ",""))</f>
        <v/>
      </c>
      <c r="U323" s="14" t="n"/>
    </row>
    <row r="324">
      <c r="A324" s="14" t="n"/>
      <c r="B324" s="14" t="n"/>
      <c r="C324" s="14" t="n"/>
      <c r="D324" s="14" t="n"/>
      <c r="E324" s="14" t="n"/>
      <c r="F324" s="14" t="n"/>
      <c r="G324" s="14">
        <f>IF(OR($E324="",$F324=""),"",$F324-$E324)</f>
        <v/>
      </c>
      <c r="H324" s="14" t="n"/>
      <c r="I324" s="14" t="n"/>
      <c r="J324" s="19" t="n"/>
      <c r="K324" s="19" t="n"/>
      <c r="L324" s="19" t="n"/>
      <c r="M324" s="19" t="n"/>
      <c r="N324" s="18">
        <f>IF($M324&lt;&gt;"",$M324,IF($L324&lt;&gt;"",$L324*CARBON_FRACTION_OM,""))</f>
        <v/>
      </c>
      <c r="O324" s="18">
        <f>IF(OR($E324="",$F324=""),"",MAX(0,MIN($F324,REFERENCE_DEPTH_CM)-MIN($E324,REFERENCE_DEPTH_CM)))</f>
        <v/>
      </c>
      <c r="P324" s="18">
        <f>IF(OR($J324="",$N324="",$G324=""),"",$J324*($N324/100)*$G324*10)</f>
        <v/>
      </c>
      <c r="Q324" s="18">
        <f>IF(OR($J324="",$N324="",$O324=""),"",$J324*($N324/100)*$O324*10)</f>
        <v/>
      </c>
      <c r="R324" s="18">
        <f>IF(OR(NOT(ISNUMBER($P324)),NOT(ISNUMBER($G324)),$G324=0),0,$P324/$G324)</f>
        <v/>
      </c>
      <c r="S324" s="18">
        <f>IF(OR($B324="",NOT(ISNUMBER($F324))),"",SUMIFS('3. Peat Data'!$P$5:$P$604,'3. Peat Data'!$B$5:$B$604,$B324,'3. Peat Data'!$F$5:$F$604,"&lt;="&amp;$F324))</f>
        <v/>
      </c>
      <c r="T324" s="18">
        <f>IF(AND($A324="",$B324="",$E324=""),"",IF(AND($B324&lt;&gt;"",COUNTIF('2. Core Log'!$A$5:$A$124,$B324)=0),"Core ID not in Core Log. ","")&amp;IF(AND($A324&lt;&gt;"",COUNTIF('1. Plot &amp; Site Log'!$A$5:$A$64,$A324)=0),"Plot ID not in Plot &amp; Site Log. ","")&amp;IF(AND(ISNUMBER($E324),ISNUMBER($F324),$F324&lt;=$E324),"Bottom depth is not below top depth. ","")&amp;IF($I324="","Say which bulk-density basis the lab reported. ","")&amp;IF(AND(ISNUMBER($J324),OR($J324&lt;QC_BD_MIN,$J324&gt;QC_BD_MAX)),"Bulk density outside "&amp;QC_BD_MIN&amp;"–"&amp;QC_BD_MAX&amp;" g/cm³ for peat. Above the top of that range usually means the mineral contact has been passed. ","")&amp;IF(AND(ISNUMBER($N324),$N324&gt;QC_CARBON_PCT_MAX),"Carbon above "&amp;QC_CARBON_PCT_MAX&amp;"% — check units; this may be organic matter rather than carbon. ","")&amp;IF(AND($L324&lt;&gt;"",$M324&lt;&gt;""),"Both LOI and measured carbon given — the measured value is used. ","")&amp;IF(AND($M324="",$L324&lt;&gt;"",OM_FACTOR_IS_LOCAL&lt;&gt;"Yes"),"Carbon derived from LOI using the default factor of "&amp;CARBON_FRACTION_OM&amp;", which has not been calibrated locally. See R1. Reference. ","")&amp;IF(AND(ISNUMBER($O324),$O324=0,ISNUMBER($E324)),"Section lies entirely below the reference depth — it counts to the full-profile stock only. ",""))</f>
        <v/>
      </c>
      <c r="U324" s="14" t="n"/>
    </row>
    <row r="325">
      <c r="A325" s="14" t="n"/>
      <c r="B325" s="14" t="n"/>
      <c r="C325" s="14" t="n"/>
      <c r="D325" s="14" t="n"/>
      <c r="E325" s="14" t="n"/>
      <c r="F325" s="14" t="n"/>
      <c r="G325" s="14">
        <f>IF(OR($E325="",$F325=""),"",$F325-$E325)</f>
        <v/>
      </c>
      <c r="H325" s="14" t="n"/>
      <c r="I325" s="14" t="n"/>
      <c r="J325" s="19" t="n"/>
      <c r="K325" s="19" t="n"/>
      <c r="L325" s="19" t="n"/>
      <c r="M325" s="19" t="n"/>
      <c r="N325" s="18">
        <f>IF($M325&lt;&gt;"",$M325,IF($L325&lt;&gt;"",$L325*CARBON_FRACTION_OM,""))</f>
        <v/>
      </c>
      <c r="O325" s="18">
        <f>IF(OR($E325="",$F325=""),"",MAX(0,MIN($F325,REFERENCE_DEPTH_CM)-MIN($E325,REFERENCE_DEPTH_CM)))</f>
        <v/>
      </c>
      <c r="P325" s="18">
        <f>IF(OR($J325="",$N325="",$G325=""),"",$J325*($N325/100)*$G325*10)</f>
        <v/>
      </c>
      <c r="Q325" s="18">
        <f>IF(OR($J325="",$N325="",$O325=""),"",$J325*($N325/100)*$O325*10)</f>
        <v/>
      </c>
      <c r="R325" s="18">
        <f>IF(OR(NOT(ISNUMBER($P325)),NOT(ISNUMBER($G325)),$G325=0),0,$P325/$G325)</f>
        <v/>
      </c>
      <c r="S325" s="18">
        <f>IF(OR($B325="",NOT(ISNUMBER($F325))),"",SUMIFS('3. Peat Data'!$P$5:$P$604,'3. Peat Data'!$B$5:$B$604,$B325,'3. Peat Data'!$F$5:$F$604,"&lt;="&amp;$F325))</f>
        <v/>
      </c>
      <c r="T325" s="18">
        <f>IF(AND($A325="",$B325="",$E325=""),"",IF(AND($B325&lt;&gt;"",COUNTIF('2. Core Log'!$A$5:$A$124,$B325)=0),"Core ID not in Core Log. ","")&amp;IF(AND($A325&lt;&gt;"",COUNTIF('1. Plot &amp; Site Log'!$A$5:$A$64,$A325)=0),"Plot ID not in Plot &amp; Site Log. ","")&amp;IF(AND(ISNUMBER($E325),ISNUMBER($F325),$F325&lt;=$E325),"Bottom depth is not below top depth. ","")&amp;IF($I325="","Say which bulk-density basis the lab reported. ","")&amp;IF(AND(ISNUMBER($J325),OR($J325&lt;QC_BD_MIN,$J325&gt;QC_BD_MAX)),"Bulk density outside "&amp;QC_BD_MIN&amp;"–"&amp;QC_BD_MAX&amp;" g/cm³ for peat. Above the top of that range usually means the mineral contact has been passed. ","")&amp;IF(AND(ISNUMBER($N325),$N325&gt;QC_CARBON_PCT_MAX),"Carbon above "&amp;QC_CARBON_PCT_MAX&amp;"% — check units; this may be organic matter rather than carbon. ","")&amp;IF(AND($L325&lt;&gt;"",$M325&lt;&gt;""),"Both LOI and measured carbon given — the measured value is used. ","")&amp;IF(AND($M325="",$L325&lt;&gt;"",OM_FACTOR_IS_LOCAL&lt;&gt;"Yes"),"Carbon derived from LOI using the default factor of "&amp;CARBON_FRACTION_OM&amp;", which has not been calibrated locally. See R1. Reference. ","")&amp;IF(AND(ISNUMBER($O325),$O325=0,ISNUMBER($E325)),"Section lies entirely below the reference depth — it counts to the full-profile stock only. ",""))</f>
        <v/>
      </c>
      <c r="U325" s="14" t="n"/>
    </row>
    <row r="326">
      <c r="A326" s="14" t="n"/>
      <c r="B326" s="14" t="n"/>
      <c r="C326" s="14" t="n"/>
      <c r="D326" s="14" t="n"/>
      <c r="E326" s="14" t="n"/>
      <c r="F326" s="14" t="n"/>
      <c r="G326" s="14">
        <f>IF(OR($E326="",$F326=""),"",$F326-$E326)</f>
        <v/>
      </c>
      <c r="H326" s="14" t="n"/>
      <c r="I326" s="14" t="n"/>
      <c r="J326" s="19" t="n"/>
      <c r="K326" s="19" t="n"/>
      <c r="L326" s="19" t="n"/>
      <c r="M326" s="19" t="n"/>
      <c r="N326" s="18">
        <f>IF($M326&lt;&gt;"",$M326,IF($L326&lt;&gt;"",$L326*CARBON_FRACTION_OM,""))</f>
        <v/>
      </c>
      <c r="O326" s="18">
        <f>IF(OR($E326="",$F326=""),"",MAX(0,MIN($F326,REFERENCE_DEPTH_CM)-MIN($E326,REFERENCE_DEPTH_CM)))</f>
        <v/>
      </c>
      <c r="P326" s="18">
        <f>IF(OR($J326="",$N326="",$G326=""),"",$J326*($N326/100)*$G326*10)</f>
        <v/>
      </c>
      <c r="Q326" s="18">
        <f>IF(OR($J326="",$N326="",$O326=""),"",$J326*($N326/100)*$O326*10)</f>
        <v/>
      </c>
      <c r="R326" s="18">
        <f>IF(OR(NOT(ISNUMBER($P326)),NOT(ISNUMBER($G326)),$G326=0),0,$P326/$G326)</f>
        <v/>
      </c>
      <c r="S326" s="18">
        <f>IF(OR($B326="",NOT(ISNUMBER($F326))),"",SUMIFS('3. Peat Data'!$P$5:$P$604,'3. Peat Data'!$B$5:$B$604,$B326,'3. Peat Data'!$F$5:$F$604,"&lt;="&amp;$F326))</f>
        <v/>
      </c>
      <c r="T326" s="18">
        <f>IF(AND($A326="",$B326="",$E326=""),"",IF(AND($B326&lt;&gt;"",COUNTIF('2. Core Log'!$A$5:$A$124,$B326)=0),"Core ID not in Core Log. ","")&amp;IF(AND($A326&lt;&gt;"",COUNTIF('1. Plot &amp; Site Log'!$A$5:$A$64,$A326)=0),"Plot ID not in Plot &amp; Site Log. ","")&amp;IF(AND(ISNUMBER($E326),ISNUMBER($F326),$F326&lt;=$E326),"Bottom depth is not below top depth. ","")&amp;IF($I326="","Say which bulk-density basis the lab reported. ","")&amp;IF(AND(ISNUMBER($J326),OR($J326&lt;QC_BD_MIN,$J326&gt;QC_BD_MAX)),"Bulk density outside "&amp;QC_BD_MIN&amp;"–"&amp;QC_BD_MAX&amp;" g/cm³ for peat. Above the top of that range usually means the mineral contact has been passed. ","")&amp;IF(AND(ISNUMBER($N326),$N326&gt;QC_CARBON_PCT_MAX),"Carbon above "&amp;QC_CARBON_PCT_MAX&amp;"% — check units; this may be organic matter rather than carbon. ","")&amp;IF(AND($L326&lt;&gt;"",$M326&lt;&gt;""),"Both LOI and measured carbon given — the measured value is used. ","")&amp;IF(AND($M326="",$L326&lt;&gt;"",OM_FACTOR_IS_LOCAL&lt;&gt;"Yes"),"Carbon derived from LOI using the default factor of "&amp;CARBON_FRACTION_OM&amp;", which has not been calibrated locally. See R1. Reference. ","")&amp;IF(AND(ISNUMBER($O326),$O326=0,ISNUMBER($E326)),"Section lies entirely below the reference depth — it counts to the full-profile stock only. ",""))</f>
        <v/>
      </c>
      <c r="U326" s="14" t="n"/>
    </row>
    <row r="327">
      <c r="A327" s="14" t="n"/>
      <c r="B327" s="14" t="n"/>
      <c r="C327" s="14" t="n"/>
      <c r="D327" s="14" t="n"/>
      <c r="E327" s="14" t="n"/>
      <c r="F327" s="14" t="n"/>
      <c r="G327" s="14">
        <f>IF(OR($E327="",$F327=""),"",$F327-$E327)</f>
        <v/>
      </c>
      <c r="H327" s="14" t="n"/>
      <c r="I327" s="14" t="n"/>
      <c r="J327" s="19" t="n"/>
      <c r="K327" s="19" t="n"/>
      <c r="L327" s="19" t="n"/>
      <c r="M327" s="19" t="n"/>
      <c r="N327" s="18">
        <f>IF($M327&lt;&gt;"",$M327,IF($L327&lt;&gt;"",$L327*CARBON_FRACTION_OM,""))</f>
        <v/>
      </c>
      <c r="O327" s="18">
        <f>IF(OR($E327="",$F327=""),"",MAX(0,MIN($F327,REFERENCE_DEPTH_CM)-MIN($E327,REFERENCE_DEPTH_CM)))</f>
        <v/>
      </c>
      <c r="P327" s="18">
        <f>IF(OR($J327="",$N327="",$G327=""),"",$J327*($N327/100)*$G327*10)</f>
        <v/>
      </c>
      <c r="Q327" s="18">
        <f>IF(OR($J327="",$N327="",$O327=""),"",$J327*($N327/100)*$O327*10)</f>
        <v/>
      </c>
      <c r="R327" s="18">
        <f>IF(OR(NOT(ISNUMBER($P327)),NOT(ISNUMBER($G327)),$G327=0),0,$P327/$G327)</f>
        <v/>
      </c>
      <c r="S327" s="18">
        <f>IF(OR($B327="",NOT(ISNUMBER($F327))),"",SUMIFS('3. Peat Data'!$P$5:$P$604,'3. Peat Data'!$B$5:$B$604,$B327,'3. Peat Data'!$F$5:$F$604,"&lt;="&amp;$F327))</f>
        <v/>
      </c>
      <c r="T327" s="18">
        <f>IF(AND($A327="",$B327="",$E327=""),"",IF(AND($B327&lt;&gt;"",COUNTIF('2. Core Log'!$A$5:$A$124,$B327)=0),"Core ID not in Core Log. ","")&amp;IF(AND($A327&lt;&gt;"",COUNTIF('1. Plot &amp; Site Log'!$A$5:$A$64,$A327)=0),"Plot ID not in Plot &amp; Site Log. ","")&amp;IF(AND(ISNUMBER($E327),ISNUMBER($F327),$F327&lt;=$E327),"Bottom depth is not below top depth. ","")&amp;IF($I327="","Say which bulk-density basis the lab reported. ","")&amp;IF(AND(ISNUMBER($J327),OR($J327&lt;QC_BD_MIN,$J327&gt;QC_BD_MAX)),"Bulk density outside "&amp;QC_BD_MIN&amp;"–"&amp;QC_BD_MAX&amp;" g/cm³ for peat. Above the top of that range usually means the mineral contact has been passed. ","")&amp;IF(AND(ISNUMBER($N327),$N327&gt;QC_CARBON_PCT_MAX),"Carbon above "&amp;QC_CARBON_PCT_MAX&amp;"% — check units; this may be organic matter rather than carbon. ","")&amp;IF(AND($L327&lt;&gt;"",$M327&lt;&gt;""),"Both LOI and measured carbon given — the measured value is used. ","")&amp;IF(AND($M327="",$L327&lt;&gt;"",OM_FACTOR_IS_LOCAL&lt;&gt;"Yes"),"Carbon derived from LOI using the default factor of "&amp;CARBON_FRACTION_OM&amp;", which has not been calibrated locally. See R1. Reference. ","")&amp;IF(AND(ISNUMBER($O327),$O327=0,ISNUMBER($E327)),"Section lies entirely below the reference depth — it counts to the full-profile stock only. ",""))</f>
        <v/>
      </c>
      <c r="U327" s="14" t="n"/>
    </row>
    <row r="328">
      <c r="A328" s="14" t="n"/>
      <c r="B328" s="14" t="n"/>
      <c r="C328" s="14" t="n"/>
      <c r="D328" s="14" t="n"/>
      <c r="E328" s="14" t="n"/>
      <c r="F328" s="14" t="n"/>
      <c r="G328" s="14">
        <f>IF(OR($E328="",$F328=""),"",$F328-$E328)</f>
        <v/>
      </c>
      <c r="H328" s="14" t="n"/>
      <c r="I328" s="14" t="n"/>
      <c r="J328" s="19" t="n"/>
      <c r="K328" s="19" t="n"/>
      <c r="L328" s="19" t="n"/>
      <c r="M328" s="19" t="n"/>
      <c r="N328" s="18">
        <f>IF($M328&lt;&gt;"",$M328,IF($L328&lt;&gt;"",$L328*CARBON_FRACTION_OM,""))</f>
        <v/>
      </c>
      <c r="O328" s="18">
        <f>IF(OR($E328="",$F328=""),"",MAX(0,MIN($F328,REFERENCE_DEPTH_CM)-MIN($E328,REFERENCE_DEPTH_CM)))</f>
        <v/>
      </c>
      <c r="P328" s="18">
        <f>IF(OR($J328="",$N328="",$G328=""),"",$J328*($N328/100)*$G328*10)</f>
        <v/>
      </c>
      <c r="Q328" s="18">
        <f>IF(OR($J328="",$N328="",$O328=""),"",$J328*($N328/100)*$O328*10)</f>
        <v/>
      </c>
      <c r="R328" s="18">
        <f>IF(OR(NOT(ISNUMBER($P328)),NOT(ISNUMBER($G328)),$G328=0),0,$P328/$G328)</f>
        <v/>
      </c>
      <c r="S328" s="18">
        <f>IF(OR($B328="",NOT(ISNUMBER($F328))),"",SUMIFS('3. Peat Data'!$P$5:$P$604,'3. Peat Data'!$B$5:$B$604,$B328,'3. Peat Data'!$F$5:$F$604,"&lt;="&amp;$F328))</f>
        <v/>
      </c>
      <c r="T328" s="18">
        <f>IF(AND($A328="",$B328="",$E328=""),"",IF(AND($B328&lt;&gt;"",COUNTIF('2. Core Log'!$A$5:$A$124,$B328)=0),"Core ID not in Core Log. ","")&amp;IF(AND($A328&lt;&gt;"",COUNTIF('1. Plot &amp; Site Log'!$A$5:$A$64,$A328)=0),"Plot ID not in Plot &amp; Site Log. ","")&amp;IF(AND(ISNUMBER($E328),ISNUMBER($F328),$F328&lt;=$E328),"Bottom depth is not below top depth. ","")&amp;IF($I328="","Say which bulk-density basis the lab reported. ","")&amp;IF(AND(ISNUMBER($J328),OR($J328&lt;QC_BD_MIN,$J328&gt;QC_BD_MAX)),"Bulk density outside "&amp;QC_BD_MIN&amp;"–"&amp;QC_BD_MAX&amp;" g/cm³ for peat. Above the top of that range usually means the mineral contact has been passed. ","")&amp;IF(AND(ISNUMBER($N328),$N328&gt;QC_CARBON_PCT_MAX),"Carbon above "&amp;QC_CARBON_PCT_MAX&amp;"% — check units; this may be organic matter rather than carbon. ","")&amp;IF(AND($L328&lt;&gt;"",$M328&lt;&gt;""),"Both LOI and measured carbon given — the measured value is used. ","")&amp;IF(AND($M328="",$L328&lt;&gt;"",OM_FACTOR_IS_LOCAL&lt;&gt;"Yes"),"Carbon derived from LOI using the default factor of "&amp;CARBON_FRACTION_OM&amp;", which has not been calibrated locally. See R1. Reference. ","")&amp;IF(AND(ISNUMBER($O328),$O328=0,ISNUMBER($E328)),"Section lies entirely below the reference depth — it counts to the full-profile stock only. ",""))</f>
        <v/>
      </c>
      <c r="U328" s="14" t="n"/>
    </row>
    <row r="329">
      <c r="A329" s="14" t="n"/>
      <c r="B329" s="14" t="n"/>
      <c r="C329" s="14" t="n"/>
      <c r="D329" s="14" t="n"/>
      <c r="E329" s="14" t="n"/>
      <c r="F329" s="14" t="n"/>
      <c r="G329" s="14">
        <f>IF(OR($E329="",$F329=""),"",$F329-$E329)</f>
        <v/>
      </c>
      <c r="H329" s="14" t="n"/>
      <c r="I329" s="14" t="n"/>
      <c r="J329" s="19" t="n"/>
      <c r="K329" s="19" t="n"/>
      <c r="L329" s="19" t="n"/>
      <c r="M329" s="19" t="n"/>
      <c r="N329" s="18">
        <f>IF($M329&lt;&gt;"",$M329,IF($L329&lt;&gt;"",$L329*CARBON_FRACTION_OM,""))</f>
        <v/>
      </c>
      <c r="O329" s="18">
        <f>IF(OR($E329="",$F329=""),"",MAX(0,MIN($F329,REFERENCE_DEPTH_CM)-MIN($E329,REFERENCE_DEPTH_CM)))</f>
        <v/>
      </c>
      <c r="P329" s="18">
        <f>IF(OR($J329="",$N329="",$G329=""),"",$J329*($N329/100)*$G329*10)</f>
        <v/>
      </c>
      <c r="Q329" s="18">
        <f>IF(OR($J329="",$N329="",$O329=""),"",$J329*($N329/100)*$O329*10)</f>
        <v/>
      </c>
      <c r="R329" s="18">
        <f>IF(OR(NOT(ISNUMBER($P329)),NOT(ISNUMBER($G329)),$G329=0),0,$P329/$G329)</f>
        <v/>
      </c>
      <c r="S329" s="18">
        <f>IF(OR($B329="",NOT(ISNUMBER($F329))),"",SUMIFS('3. Peat Data'!$P$5:$P$604,'3. Peat Data'!$B$5:$B$604,$B329,'3. Peat Data'!$F$5:$F$604,"&lt;="&amp;$F329))</f>
        <v/>
      </c>
      <c r="T329" s="18">
        <f>IF(AND($A329="",$B329="",$E329=""),"",IF(AND($B329&lt;&gt;"",COUNTIF('2. Core Log'!$A$5:$A$124,$B329)=0),"Core ID not in Core Log. ","")&amp;IF(AND($A329&lt;&gt;"",COUNTIF('1. Plot &amp; Site Log'!$A$5:$A$64,$A329)=0),"Plot ID not in Plot &amp; Site Log. ","")&amp;IF(AND(ISNUMBER($E329),ISNUMBER($F329),$F329&lt;=$E329),"Bottom depth is not below top depth. ","")&amp;IF($I329="","Say which bulk-density basis the lab reported. ","")&amp;IF(AND(ISNUMBER($J329),OR($J329&lt;QC_BD_MIN,$J329&gt;QC_BD_MAX)),"Bulk density outside "&amp;QC_BD_MIN&amp;"–"&amp;QC_BD_MAX&amp;" g/cm³ for peat. Above the top of that range usually means the mineral contact has been passed. ","")&amp;IF(AND(ISNUMBER($N329),$N329&gt;QC_CARBON_PCT_MAX),"Carbon above "&amp;QC_CARBON_PCT_MAX&amp;"% — check units; this may be organic matter rather than carbon. ","")&amp;IF(AND($L329&lt;&gt;"",$M329&lt;&gt;""),"Both LOI and measured carbon given — the measured value is used. ","")&amp;IF(AND($M329="",$L329&lt;&gt;"",OM_FACTOR_IS_LOCAL&lt;&gt;"Yes"),"Carbon derived from LOI using the default factor of "&amp;CARBON_FRACTION_OM&amp;", which has not been calibrated locally. See R1. Reference. ","")&amp;IF(AND(ISNUMBER($O329),$O329=0,ISNUMBER($E329)),"Section lies entirely below the reference depth — it counts to the full-profile stock only. ",""))</f>
        <v/>
      </c>
      <c r="U329" s="14" t="n"/>
    </row>
    <row r="330">
      <c r="A330" s="14" t="n"/>
      <c r="B330" s="14" t="n"/>
      <c r="C330" s="14" t="n"/>
      <c r="D330" s="14" t="n"/>
      <c r="E330" s="14" t="n"/>
      <c r="F330" s="14" t="n"/>
      <c r="G330" s="14">
        <f>IF(OR($E330="",$F330=""),"",$F330-$E330)</f>
        <v/>
      </c>
      <c r="H330" s="14" t="n"/>
      <c r="I330" s="14" t="n"/>
      <c r="J330" s="19" t="n"/>
      <c r="K330" s="19" t="n"/>
      <c r="L330" s="19" t="n"/>
      <c r="M330" s="19" t="n"/>
      <c r="N330" s="18">
        <f>IF($M330&lt;&gt;"",$M330,IF($L330&lt;&gt;"",$L330*CARBON_FRACTION_OM,""))</f>
        <v/>
      </c>
      <c r="O330" s="18">
        <f>IF(OR($E330="",$F330=""),"",MAX(0,MIN($F330,REFERENCE_DEPTH_CM)-MIN($E330,REFERENCE_DEPTH_CM)))</f>
        <v/>
      </c>
      <c r="P330" s="18">
        <f>IF(OR($J330="",$N330="",$G330=""),"",$J330*($N330/100)*$G330*10)</f>
        <v/>
      </c>
      <c r="Q330" s="18">
        <f>IF(OR($J330="",$N330="",$O330=""),"",$J330*($N330/100)*$O330*10)</f>
        <v/>
      </c>
      <c r="R330" s="18">
        <f>IF(OR(NOT(ISNUMBER($P330)),NOT(ISNUMBER($G330)),$G330=0),0,$P330/$G330)</f>
        <v/>
      </c>
      <c r="S330" s="18">
        <f>IF(OR($B330="",NOT(ISNUMBER($F330))),"",SUMIFS('3. Peat Data'!$P$5:$P$604,'3. Peat Data'!$B$5:$B$604,$B330,'3. Peat Data'!$F$5:$F$604,"&lt;="&amp;$F330))</f>
        <v/>
      </c>
      <c r="T330" s="18">
        <f>IF(AND($A330="",$B330="",$E330=""),"",IF(AND($B330&lt;&gt;"",COUNTIF('2. Core Log'!$A$5:$A$124,$B330)=0),"Core ID not in Core Log. ","")&amp;IF(AND($A330&lt;&gt;"",COUNTIF('1. Plot &amp; Site Log'!$A$5:$A$64,$A330)=0),"Plot ID not in Plot &amp; Site Log. ","")&amp;IF(AND(ISNUMBER($E330),ISNUMBER($F330),$F330&lt;=$E330),"Bottom depth is not below top depth. ","")&amp;IF($I330="","Say which bulk-density basis the lab reported. ","")&amp;IF(AND(ISNUMBER($J330),OR($J330&lt;QC_BD_MIN,$J330&gt;QC_BD_MAX)),"Bulk density outside "&amp;QC_BD_MIN&amp;"–"&amp;QC_BD_MAX&amp;" g/cm³ for peat. Above the top of that range usually means the mineral contact has been passed. ","")&amp;IF(AND(ISNUMBER($N330),$N330&gt;QC_CARBON_PCT_MAX),"Carbon above "&amp;QC_CARBON_PCT_MAX&amp;"% — check units; this may be organic matter rather than carbon. ","")&amp;IF(AND($L330&lt;&gt;"",$M330&lt;&gt;""),"Both LOI and measured carbon given — the measured value is used. ","")&amp;IF(AND($M330="",$L330&lt;&gt;"",OM_FACTOR_IS_LOCAL&lt;&gt;"Yes"),"Carbon derived from LOI using the default factor of "&amp;CARBON_FRACTION_OM&amp;", which has not been calibrated locally. See R1. Reference. ","")&amp;IF(AND(ISNUMBER($O330),$O330=0,ISNUMBER($E330)),"Section lies entirely below the reference depth — it counts to the full-profile stock only. ",""))</f>
        <v/>
      </c>
      <c r="U330" s="14" t="n"/>
    </row>
    <row r="331">
      <c r="A331" s="14" t="n"/>
      <c r="B331" s="14" t="n"/>
      <c r="C331" s="14" t="n"/>
      <c r="D331" s="14" t="n"/>
      <c r="E331" s="14" t="n"/>
      <c r="F331" s="14" t="n"/>
      <c r="G331" s="14">
        <f>IF(OR($E331="",$F331=""),"",$F331-$E331)</f>
        <v/>
      </c>
      <c r="H331" s="14" t="n"/>
      <c r="I331" s="14" t="n"/>
      <c r="J331" s="19" t="n"/>
      <c r="K331" s="19" t="n"/>
      <c r="L331" s="19" t="n"/>
      <c r="M331" s="19" t="n"/>
      <c r="N331" s="18">
        <f>IF($M331&lt;&gt;"",$M331,IF($L331&lt;&gt;"",$L331*CARBON_FRACTION_OM,""))</f>
        <v/>
      </c>
      <c r="O331" s="18">
        <f>IF(OR($E331="",$F331=""),"",MAX(0,MIN($F331,REFERENCE_DEPTH_CM)-MIN($E331,REFERENCE_DEPTH_CM)))</f>
        <v/>
      </c>
      <c r="P331" s="18">
        <f>IF(OR($J331="",$N331="",$G331=""),"",$J331*($N331/100)*$G331*10)</f>
        <v/>
      </c>
      <c r="Q331" s="18">
        <f>IF(OR($J331="",$N331="",$O331=""),"",$J331*($N331/100)*$O331*10)</f>
        <v/>
      </c>
      <c r="R331" s="18">
        <f>IF(OR(NOT(ISNUMBER($P331)),NOT(ISNUMBER($G331)),$G331=0),0,$P331/$G331)</f>
        <v/>
      </c>
      <c r="S331" s="18">
        <f>IF(OR($B331="",NOT(ISNUMBER($F331))),"",SUMIFS('3. Peat Data'!$P$5:$P$604,'3. Peat Data'!$B$5:$B$604,$B331,'3. Peat Data'!$F$5:$F$604,"&lt;="&amp;$F331))</f>
        <v/>
      </c>
      <c r="T331" s="18">
        <f>IF(AND($A331="",$B331="",$E331=""),"",IF(AND($B331&lt;&gt;"",COUNTIF('2. Core Log'!$A$5:$A$124,$B331)=0),"Core ID not in Core Log. ","")&amp;IF(AND($A331&lt;&gt;"",COUNTIF('1. Plot &amp; Site Log'!$A$5:$A$64,$A331)=0),"Plot ID not in Plot &amp; Site Log. ","")&amp;IF(AND(ISNUMBER($E331),ISNUMBER($F331),$F331&lt;=$E331),"Bottom depth is not below top depth. ","")&amp;IF($I331="","Say which bulk-density basis the lab reported. ","")&amp;IF(AND(ISNUMBER($J331),OR($J331&lt;QC_BD_MIN,$J331&gt;QC_BD_MAX)),"Bulk density outside "&amp;QC_BD_MIN&amp;"–"&amp;QC_BD_MAX&amp;" g/cm³ for peat. Above the top of that range usually means the mineral contact has been passed. ","")&amp;IF(AND(ISNUMBER($N331),$N331&gt;QC_CARBON_PCT_MAX),"Carbon above "&amp;QC_CARBON_PCT_MAX&amp;"% — check units; this may be organic matter rather than carbon. ","")&amp;IF(AND($L331&lt;&gt;"",$M331&lt;&gt;""),"Both LOI and measured carbon given — the measured value is used. ","")&amp;IF(AND($M331="",$L331&lt;&gt;"",OM_FACTOR_IS_LOCAL&lt;&gt;"Yes"),"Carbon derived from LOI using the default factor of "&amp;CARBON_FRACTION_OM&amp;", which has not been calibrated locally. See R1. Reference. ","")&amp;IF(AND(ISNUMBER($O331),$O331=0,ISNUMBER($E331)),"Section lies entirely below the reference depth — it counts to the full-profile stock only. ",""))</f>
        <v/>
      </c>
      <c r="U331" s="14" t="n"/>
    </row>
    <row r="332">
      <c r="A332" s="14" t="n"/>
      <c r="B332" s="14" t="n"/>
      <c r="C332" s="14" t="n"/>
      <c r="D332" s="14" t="n"/>
      <c r="E332" s="14" t="n"/>
      <c r="F332" s="14" t="n"/>
      <c r="G332" s="14">
        <f>IF(OR($E332="",$F332=""),"",$F332-$E332)</f>
        <v/>
      </c>
      <c r="H332" s="14" t="n"/>
      <c r="I332" s="14" t="n"/>
      <c r="J332" s="19" t="n"/>
      <c r="K332" s="19" t="n"/>
      <c r="L332" s="19" t="n"/>
      <c r="M332" s="19" t="n"/>
      <c r="N332" s="18">
        <f>IF($M332&lt;&gt;"",$M332,IF($L332&lt;&gt;"",$L332*CARBON_FRACTION_OM,""))</f>
        <v/>
      </c>
      <c r="O332" s="18">
        <f>IF(OR($E332="",$F332=""),"",MAX(0,MIN($F332,REFERENCE_DEPTH_CM)-MIN($E332,REFERENCE_DEPTH_CM)))</f>
        <v/>
      </c>
      <c r="P332" s="18">
        <f>IF(OR($J332="",$N332="",$G332=""),"",$J332*($N332/100)*$G332*10)</f>
        <v/>
      </c>
      <c r="Q332" s="18">
        <f>IF(OR($J332="",$N332="",$O332=""),"",$J332*($N332/100)*$O332*10)</f>
        <v/>
      </c>
      <c r="R332" s="18">
        <f>IF(OR(NOT(ISNUMBER($P332)),NOT(ISNUMBER($G332)),$G332=0),0,$P332/$G332)</f>
        <v/>
      </c>
      <c r="S332" s="18">
        <f>IF(OR($B332="",NOT(ISNUMBER($F332))),"",SUMIFS('3. Peat Data'!$P$5:$P$604,'3. Peat Data'!$B$5:$B$604,$B332,'3. Peat Data'!$F$5:$F$604,"&lt;="&amp;$F332))</f>
        <v/>
      </c>
      <c r="T332" s="18">
        <f>IF(AND($A332="",$B332="",$E332=""),"",IF(AND($B332&lt;&gt;"",COUNTIF('2. Core Log'!$A$5:$A$124,$B332)=0),"Core ID not in Core Log. ","")&amp;IF(AND($A332&lt;&gt;"",COUNTIF('1. Plot &amp; Site Log'!$A$5:$A$64,$A332)=0),"Plot ID not in Plot &amp; Site Log. ","")&amp;IF(AND(ISNUMBER($E332),ISNUMBER($F332),$F332&lt;=$E332),"Bottom depth is not below top depth. ","")&amp;IF($I332="","Say which bulk-density basis the lab reported. ","")&amp;IF(AND(ISNUMBER($J332),OR($J332&lt;QC_BD_MIN,$J332&gt;QC_BD_MAX)),"Bulk density outside "&amp;QC_BD_MIN&amp;"–"&amp;QC_BD_MAX&amp;" g/cm³ for peat. Above the top of that range usually means the mineral contact has been passed. ","")&amp;IF(AND(ISNUMBER($N332),$N332&gt;QC_CARBON_PCT_MAX),"Carbon above "&amp;QC_CARBON_PCT_MAX&amp;"% — check units; this may be organic matter rather than carbon. ","")&amp;IF(AND($L332&lt;&gt;"",$M332&lt;&gt;""),"Both LOI and measured carbon given — the measured value is used. ","")&amp;IF(AND($M332="",$L332&lt;&gt;"",OM_FACTOR_IS_LOCAL&lt;&gt;"Yes"),"Carbon derived from LOI using the default factor of "&amp;CARBON_FRACTION_OM&amp;", which has not been calibrated locally. See R1. Reference. ","")&amp;IF(AND(ISNUMBER($O332),$O332=0,ISNUMBER($E332)),"Section lies entirely below the reference depth — it counts to the full-profile stock only. ",""))</f>
        <v/>
      </c>
      <c r="U332" s="14" t="n"/>
    </row>
    <row r="333">
      <c r="A333" s="14" t="n"/>
      <c r="B333" s="14" t="n"/>
      <c r="C333" s="14" t="n"/>
      <c r="D333" s="14" t="n"/>
      <c r="E333" s="14" t="n"/>
      <c r="F333" s="14" t="n"/>
      <c r="G333" s="14">
        <f>IF(OR($E333="",$F333=""),"",$F333-$E333)</f>
        <v/>
      </c>
      <c r="H333" s="14" t="n"/>
      <c r="I333" s="14" t="n"/>
      <c r="J333" s="19" t="n"/>
      <c r="K333" s="19" t="n"/>
      <c r="L333" s="19" t="n"/>
      <c r="M333" s="19" t="n"/>
      <c r="N333" s="18">
        <f>IF($M333&lt;&gt;"",$M333,IF($L333&lt;&gt;"",$L333*CARBON_FRACTION_OM,""))</f>
        <v/>
      </c>
      <c r="O333" s="18">
        <f>IF(OR($E333="",$F333=""),"",MAX(0,MIN($F333,REFERENCE_DEPTH_CM)-MIN($E333,REFERENCE_DEPTH_CM)))</f>
        <v/>
      </c>
      <c r="P333" s="18">
        <f>IF(OR($J333="",$N333="",$G333=""),"",$J333*($N333/100)*$G333*10)</f>
        <v/>
      </c>
      <c r="Q333" s="18">
        <f>IF(OR($J333="",$N333="",$O333=""),"",$J333*($N333/100)*$O333*10)</f>
        <v/>
      </c>
      <c r="R333" s="18">
        <f>IF(OR(NOT(ISNUMBER($P333)),NOT(ISNUMBER($G333)),$G333=0),0,$P333/$G333)</f>
        <v/>
      </c>
      <c r="S333" s="18">
        <f>IF(OR($B333="",NOT(ISNUMBER($F333))),"",SUMIFS('3. Peat Data'!$P$5:$P$604,'3. Peat Data'!$B$5:$B$604,$B333,'3. Peat Data'!$F$5:$F$604,"&lt;="&amp;$F333))</f>
        <v/>
      </c>
      <c r="T333" s="18">
        <f>IF(AND($A333="",$B333="",$E333=""),"",IF(AND($B333&lt;&gt;"",COUNTIF('2. Core Log'!$A$5:$A$124,$B333)=0),"Core ID not in Core Log. ","")&amp;IF(AND($A333&lt;&gt;"",COUNTIF('1. Plot &amp; Site Log'!$A$5:$A$64,$A333)=0),"Plot ID not in Plot &amp; Site Log. ","")&amp;IF(AND(ISNUMBER($E333),ISNUMBER($F333),$F333&lt;=$E333),"Bottom depth is not below top depth. ","")&amp;IF($I333="","Say which bulk-density basis the lab reported. ","")&amp;IF(AND(ISNUMBER($J333),OR($J333&lt;QC_BD_MIN,$J333&gt;QC_BD_MAX)),"Bulk density outside "&amp;QC_BD_MIN&amp;"–"&amp;QC_BD_MAX&amp;" g/cm³ for peat. Above the top of that range usually means the mineral contact has been passed. ","")&amp;IF(AND(ISNUMBER($N333),$N333&gt;QC_CARBON_PCT_MAX),"Carbon above "&amp;QC_CARBON_PCT_MAX&amp;"% — check units; this may be organic matter rather than carbon. ","")&amp;IF(AND($L333&lt;&gt;"",$M333&lt;&gt;""),"Both LOI and measured carbon given — the measured value is used. ","")&amp;IF(AND($M333="",$L333&lt;&gt;"",OM_FACTOR_IS_LOCAL&lt;&gt;"Yes"),"Carbon derived from LOI using the default factor of "&amp;CARBON_FRACTION_OM&amp;", which has not been calibrated locally. See R1. Reference. ","")&amp;IF(AND(ISNUMBER($O333),$O333=0,ISNUMBER($E333)),"Section lies entirely below the reference depth — it counts to the full-profile stock only. ",""))</f>
        <v/>
      </c>
      <c r="U333" s="14" t="n"/>
    </row>
    <row r="334">
      <c r="A334" s="14" t="n"/>
      <c r="B334" s="14" t="n"/>
      <c r="C334" s="14" t="n"/>
      <c r="D334" s="14" t="n"/>
      <c r="E334" s="14" t="n"/>
      <c r="F334" s="14" t="n"/>
      <c r="G334" s="14">
        <f>IF(OR($E334="",$F334=""),"",$F334-$E334)</f>
        <v/>
      </c>
      <c r="H334" s="14" t="n"/>
      <c r="I334" s="14" t="n"/>
      <c r="J334" s="19" t="n"/>
      <c r="K334" s="19" t="n"/>
      <c r="L334" s="19" t="n"/>
      <c r="M334" s="19" t="n"/>
      <c r="N334" s="18">
        <f>IF($M334&lt;&gt;"",$M334,IF($L334&lt;&gt;"",$L334*CARBON_FRACTION_OM,""))</f>
        <v/>
      </c>
      <c r="O334" s="18">
        <f>IF(OR($E334="",$F334=""),"",MAX(0,MIN($F334,REFERENCE_DEPTH_CM)-MIN($E334,REFERENCE_DEPTH_CM)))</f>
        <v/>
      </c>
      <c r="P334" s="18">
        <f>IF(OR($J334="",$N334="",$G334=""),"",$J334*($N334/100)*$G334*10)</f>
        <v/>
      </c>
      <c r="Q334" s="18">
        <f>IF(OR($J334="",$N334="",$O334=""),"",$J334*($N334/100)*$O334*10)</f>
        <v/>
      </c>
      <c r="R334" s="18">
        <f>IF(OR(NOT(ISNUMBER($P334)),NOT(ISNUMBER($G334)),$G334=0),0,$P334/$G334)</f>
        <v/>
      </c>
      <c r="S334" s="18">
        <f>IF(OR($B334="",NOT(ISNUMBER($F334))),"",SUMIFS('3. Peat Data'!$P$5:$P$604,'3. Peat Data'!$B$5:$B$604,$B334,'3. Peat Data'!$F$5:$F$604,"&lt;="&amp;$F334))</f>
        <v/>
      </c>
      <c r="T334" s="18">
        <f>IF(AND($A334="",$B334="",$E334=""),"",IF(AND($B334&lt;&gt;"",COUNTIF('2. Core Log'!$A$5:$A$124,$B334)=0),"Core ID not in Core Log. ","")&amp;IF(AND($A334&lt;&gt;"",COUNTIF('1. Plot &amp; Site Log'!$A$5:$A$64,$A334)=0),"Plot ID not in Plot &amp; Site Log. ","")&amp;IF(AND(ISNUMBER($E334),ISNUMBER($F334),$F334&lt;=$E334),"Bottom depth is not below top depth. ","")&amp;IF($I334="","Say which bulk-density basis the lab reported. ","")&amp;IF(AND(ISNUMBER($J334),OR($J334&lt;QC_BD_MIN,$J334&gt;QC_BD_MAX)),"Bulk density outside "&amp;QC_BD_MIN&amp;"–"&amp;QC_BD_MAX&amp;" g/cm³ for peat. Above the top of that range usually means the mineral contact has been passed. ","")&amp;IF(AND(ISNUMBER($N334),$N334&gt;QC_CARBON_PCT_MAX),"Carbon above "&amp;QC_CARBON_PCT_MAX&amp;"% — check units; this may be organic matter rather than carbon. ","")&amp;IF(AND($L334&lt;&gt;"",$M334&lt;&gt;""),"Both LOI and measured carbon given — the measured value is used. ","")&amp;IF(AND($M334="",$L334&lt;&gt;"",OM_FACTOR_IS_LOCAL&lt;&gt;"Yes"),"Carbon derived from LOI using the default factor of "&amp;CARBON_FRACTION_OM&amp;", which has not been calibrated locally. See R1. Reference. ","")&amp;IF(AND(ISNUMBER($O334),$O334=0,ISNUMBER($E334)),"Section lies entirely below the reference depth — it counts to the full-profile stock only. ",""))</f>
        <v/>
      </c>
      <c r="U334" s="14" t="n"/>
    </row>
    <row r="335">
      <c r="A335" s="14" t="n"/>
      <c r="B335" s="14" t="n"/>
      <c r="C335" s="14" t="n"/>
      <c r="D335" s="14" t="n"/>
      <c r="E335" s="14" t="n"/>
      <c r="F335" s="14" t="n"/>
      <c r="G335" s="14">
        <f>IF(OR($E335="",$F335=""),"",$F335-$E335)</f>
        <v/>
      </c>
      <c r="H335" s="14" t="n"/>
      <c r="I335" s="14" t="n"/>
      <c r="J335" s="19" t="n"/>
      <c r="K335" s="19" t="n"/>
      <c r="L335" s="19" t="n"/>
      <c r="M335" s="19" t="n"/>
      <c r="N335" s="18">
        <f>IF($M335&lt;&gt;"",$M335,IF($L335&lt;&gt;"",$L335*CARBON_FRACTION_OM,""))</f>
        <v/>
      </c>
      <c r="O335" s="18">
        <f>IF(OR($E335="",$F335=""),"",MAX(0,MIN($F335,REFERENCE_DEPTH_CM)-MIN($E335,REFERENCE_DEPTH_CM)))</f>
        <v/>
      </c>
      <c r="P335" s="18">
        <f>IF(OR($J335="",$N335="",$G335=""),"",$J335*($N335/100)*$G335*10)</f>
        <v/>
      </c>
      <c r="Q335" s="18">
        <f>IF(OR($J335="",$N335="",$O335=""),"",$J335*($N335/100)*$O335*10)</f>
        <v/>
      </c>
      <c r="R335" s="18">
        <f>IF(OR(NOT(ISNUMBER($P335)),NOT(ISNUMBER($G335)),$G335=0),0,$P335/$G335)</f>
        <v/>
      </c>
      <c r="S335" s="18">
        <f>IF(OR($B335="",NOT(ISNUMBER($F335))),"",SUMIFS('3. Peat Data'!$P$5:$P$604,'3. Peat Data'!$B$5:$B$604,$B335,'3. Peat Data'!$F$5:$F$604,"&lt;="&amp;$F335))</f>
        <v/>
      </c>
      <c r="T335" s="18">
        <f>IF(AND($A335="",$B335="",$E335=""),"",IF(AND($B335&lt;&gt;"",COUNTIF('2. Core Log'!$A$5:$A$124,$B335)=0),"Core ID not in Core Log. ","")&amp;IF(AND($A335&lt;&gt;"",COUNTIF('1. Plot &amp; Site Log'!$A$5:$A$64,$A335)=0),"Plot ID not in Plot &amp; Site Log. ","")&amp;IF(AND(ISNUMBER($E335),ISNUMBER($F335),$F335&lt;=$E335),"Bottom depth is not below top depth. ","")&amp;IF($I335="","Say which bulk-density basis the lab reported. ","")&amp;IF(AND(ISNUMBER($J335),OR($J335&lt;QC_BD_MIN,$J335&gt;QC_BD_MAX)),"Bulk density outside "&amp;QC_BD_MIN&amp;"–"&amp;QC_BD_MAX&amp;" g/cm³ for peat. Above the top of that range usually means the mineral contact has been passed. ","")&amp;IF(AND(ISNUMBER($N335),$N335&gt;QC_CARBON_PCT_MAX),"Carbon above "&amp;QC_CARBON_PCT_MAX&amp;"% — check units; this may be organic matter rather than carbon. ","")&amp;IF(AND($L335&lt;&gt;"",$M335&lt;&gt;""),"Both LOI and measured carbon given — the measured value is used. ","")&amp;IF(AND($M335="",$L335&lt;&gt;"",OM_FACTOR_IS_LOCAL&lt;&gt;"Yes"),"Carbon derived from LOI using the default factor of "&amp;CARBON_FRACTION_OM&amp;", which has not been calibrated locally. See R1. Reference. ","")&amp;IF(AND(ISNUMBER($O335),$O335=0,ISNUMBER($E335)),"Section lies entirely below the reference depth — it counts to the full-profile stock only. ",""))</f>
        <v/>
      </c>
      <c r="U335" s="14" t="n"/>
    </row>
    <row r="336">
      <c r="A336" s="14" t="n"/>
      <c r="B336" s="14" t="n"/>
      <c r="C336" s="14" t="n"/>
      <c r="D336" s="14" t="n"/>
      <c r="E336" s="14" t="n"/>
      <c r="F336" s="14" t="n"/>
      <c r="G336" s="14">
        <f>IF(OR($E336="",$F336=""),"",$F336-$E336)</f>
        <v/>
      </c>
      <c r="H336" s="14" t="n"/>
      <c r="I336" s="14" t="n"/>
      <c r="J336" s="19" t="n"/>
      <c r="K336" s="19" t="n"/>
      <c r="L336" s="19" t="n"/>
      <c r="M336" s="19" t="n"/>
      <c r="N336" s="18">
        <f>IF($M336&lt;&gt;"",$M336,IF($L336&lt;&gt;"",$L336*CARBON_FRACTION_OM,""))</f>
        <v/>
      </c>
      <c r="O336" s="18">
        <f>IF(OR($E336="",$F336=""),"",MAX(0,MIN($F336,REFERENCE_DEPTH_CM)-MIN($E336,REFERENCE_DEPTH_CM)))</f>
        <v/>
      </c>
      <c r="P336" s="18">
        <f>IF(OR($J336="",$N336="",$G336=""),"",$J336*($N336/100)*$G336*10)</f>
        <v/>
      </c>
      <c r="Q336" s="18">
        <f>IF(OR($J336="",$N336="",$O336=""),"",$J336*($N336/100)*$O336*10)</f>
        <v/>
      </c>
      <c r="R336" s="18">
        <f>IF(OR(NOT(ISNUMBER($P336)),NOT(ISNUMBER($G336)),$G336=0),0,$P336/$G336)</f>
        <v/>
      </c>
      <c r="S336" s="18">
        <f>IF(OR($B336="",NOT(ISNUMBER($F336))),"",SUMIFS('3. Peat Data'!$P$5:$P$604,'3. Peat Data'!$B$5:$B$604,$B336,'3. Peat Data'!$F$5:$F$604,"&lt;="&amp;$F336))</f>
        <v/>
      </c>
      <c r="T336" s="18">
        <f>IF(AND($A336="",$B336="",$E336=""),"",IF(AND($B336&lt;&gt;"",COUNTIF('2. Core Log'!$A$5:$A$124,$B336)=0),"Core ID not in Core Log. ","")&amp;IF(AND($A336&lt;&gt;"",COUNTIF('1. Plot &amp; Site Log'!$A$5:$A$64,$A336)=0),"Plot ID not in Plot &amp; Site Log. ","")&amp;IF(AND(ISNUMBER($E336),ISNUMBER($F336),$F336&lt;=$E336),"Bottom depth is not below top depth. ","")&amp;IF($I336="","Say which bulk-density basis the lab reported. ","")&amp;IF(AND(ISNUMBER($J336),OR($J336&lt;QC_BD_MIN,$J336&gt;QC_BD_MAX)),"Bulk density outside "&amp;QC_BD_MIN&amp;"–"&amp;QC_BD_MAX&amp;" g/cm³ for peat. Above the top of that range usually means the mineral contact has been passed. ","")&amp;IF(AND(ISNUMBER($N336),$N336&gt;QC_CARBON_PCT_MAX),"Carbon above "&amp;QC_CARBON_PCT_MAX&amp;"% — check units; this may be organic matter rather than carbon. ","")&amp;IF(AND($L336&lt;&gt;"",$M336&lt;&gt;""),"Both LOI and measured carbon given — the measured value is used. ","")&amp;IF(AND($M336="",$L336&lt;&gt;"",OM_FACTOR_IS_LOCAL&lt;&gt;"Yes"),"Carbon derived from LOI using the default factor of "&amp;CARBON_FRACTION_OM&amp;", which has not been calibrated locally. See R1. Reference. ","")&amp;IF(AND(ISNUMBER($O336),$O336=0,ISNUMBER($E336)),"Section lies entirely below the reference depth — it counts to the full-profile stock only. ",""))</f>
        <v/>
      </c>
      <c r="U336" s="14" t="n"/>
    </row>
    <row r="337">
      <c r="A337" s="14" t="n"/>
      <c r="B337" s="14" t="n"/>
      <c r="C337" s="14" t="n"/>
      <c r="D337" s="14" t="n"/>
      <c r="E337" s="14" t="n"/>
      <c r="F337" s="14" t="n"/>
      <c r="G337" s="14">
        <f>IF(OR($E337="",$F337=""),"",$F337-$E337)</f>
        <v/>
      </c>
      <c r="H337" s="14" t="n"/>
      <c r="I337" s="14" t="n"/>
      <c r="J337" s="19" t="n"/>
      <c r="K337" s="19" t="n"/>
      <c r="L337" s="19" t="n"/>
      <c r="M337" s="19" t="n"/>
      <c r="N337" s="18">
        <f>IF($M337&lt;&gt;"",$M337,IF($L337&lt;&gt;"",$L337*CARBON_FRACTION_OM,""))</f>
        <v/>
      </c>
      <c r="O337" s="18">
        <f>IF(OR($E337="",$F337=""),"",MAX(0,MIN($F337,REFERENCE_DEPTH_CM)-MIN($E337,REFERENCE_DEPTH_CM)))</f>
        <v/>
      </c>
      <c r="P337" s="18">
        <f>IF(OR($J337="",$N337="",$G337=""),"",$J337*($N337/100)*$G337*10)</f>
        <v/>
      </c>
      <c r="Q337" s="18">
        <f>IF(OR($J337="",$N337="",$O337=""),"",$J337*($N337/100)*$O337*10)</f>
        <v/>
      </c>
      <c r="R337" s="18">
        <f>IF(OR(NOT(ISNUMBER($P337)),NOT(ISNUMBER($G337)),$G337=0),0,$P337/$G337)</f>
        <v/>
      </c>
      <c r="S337" s="18">
        <f>IF(OR($B337="",NOT(ISNUMBER($F337))),"",SUMIFS('3. Peat Data'!$P$5:$P$604,'3. Peat Data'!$B$5:$B$604,$B337,'3. Peat Data'!$F$5:$F$604,"&lt;="&amp;$F337))</f>
        <v/>
      </c>
      <c r="T337" s="18">
        <f>IF(AND($A337="",$B337="",$E337=""),"",IF(AND($B337&lt;&gt;"",COUNTIF('2. Core Log'!$A$5:$A$124,$B337)=0),"Core ID not in Core Log. ","")&amp;IF(AND($A337&lt;&gt;"",COUNTIF('1. Plot &amp; Site Log'!$A$5:$A$64,$A337)=0),"Plot ID not in Plot &amp; Site Log. ","")&amp;IF(AND(ISNUMBER($E337),ISNUMBER($F337),$F337&lt;=$E337),"Bottom depth is not below top depth. ","")&amp;IF($I337="","Say which bulk-density basis the lab reported. ","")&amp;IF(AND(ISNUMBER($J337),OR($J337&lt;QC_BD_MIN,$J337&gt;QC_BD_MAX)),"Bulk density outside "&amp;QC_BD_MIN&amp;"–"&amp;QC_BD_MAX&amp;" g/cm³ for peat. Above the top of that range usually means the mineral contact has been passed. ","")&amp;IF(AND(ISNUMBER($N337),$N337&gt;QC_CARBON_PCT_MAX),"Carbon above "&amp;QC_CARBON_PCT_MAX&amp;"% — check units; this may be organic matter rather than carbon. ","")&amp;IF(AND($L337&lt;&gt;"",$M337&lt;&gt;""),"Both LOI and measured carbon given — the measured value is used. ","")&amp;IF(AND($M337="",$L337&lt;&gt;"",OM_FACTOR_IS_LOCAL&lt;&gt;"Yes"),"Carbon derived from LOI using the default factor of "&amp;CARBON_FRACTION_OM&amp;", which has not been calibrated locally. See R1. Reference. ","")&amp;IF(AND(ISNUMBER($O337),$O337=0,ISNUMBER($E337)),"Section lies entirely below the reference depth — it counts to the full-profile stock only. ",""))</f>
        <v/>
      </c>
      <c r="U337" s="14" t="n"/>
    </row>
    <row r="338">
      <c r="A338" s="14" t="n"/>
      <c r="B338" s="14" t="n"/>
      <c r="C338" s="14" t="n"/>
      <c r="D338" s="14" t="n"/>
      <c r="E338" s="14" t="n"/>
      <c r="F338" s="14" t="n"/>
      <c r="G338" s="14">
        <f>IF(OR($E338="",$F338=""),"",$F338-$E338)</f>
        <v/>
      </c>
      <c r="H338" s="14" t="n"/>
      <c r="I338" s="14" t="n"/>
      <c r="J338" s="19" t="n"/>
      <c r="K338" s="19" t="n"/>
      <c r="L338" s="19" t="n"/>
      <c r="M338" s="19" t="n"/>
      <c r="N338" s="18">
        <f>IF($M338&lt;&gt;"",$M338,IF($L338&lt;&gt;"",$L338*CARBON_FRACTION_OM,""))</f>
        <v/>
      </c>
      <c r="O338" s="18">
        <f>IF(OR($E338="",$F338=""),"",MAX(0,MIN($F338,REFERENCE_DEPTH_CM)-MIN($E338,REFERENCE_DEPTH_CM)))</f>
        <v/>
      </c>
      <c r="P338" s="18">
        <f>IF(OR($J338="",$N338="",$G338=""),"",$J338*($N338/100)*$G338*10)</f>
        <v/>
      </c>
      <c r="Q338" s="18">
        <f>IF(OR($J338="",$N338="",$O338=""),"",$J338*($N338/100)*$O338*10)</f>
        <v/>
      </c>
      <c r="R338" s="18">
        <f>IF(OR(NOT(ISNUMBER($P338)),NOT(ISNUMBER($G338)),$G338=0),0,$P338/$G338)</f>
        <v/>
      </c>
      <c r="S338" s="18">
        <f>IF(OR($B338="",NOT(ISNUMBER($F338))),"",SUMIFS('3. Peat Data'!$P$5:$P$604,'3. Peat Data'!$B$5:$B$604,$B338,'3. Peat Data'!$F$5:$F$604,"&lt;="&amp;$F338))</f>
        <v/>
      </c>
      <c r="T338" s="18">
        <f>IF(AND($A338="",$B338="",$E338=""),"",IF(AND($B338&lt;&gt;"",COUNTIF('2. Core Log'!$A$5:$A$124,$B338)=0),"Core ID not in Core Log. ","")&amp;IF(AND($A338&lt;&gt;"",COUNTIF('1. Plot &amp; Site Log'!$A$5:$A$64,$A338)=0),"Plot ID not in Plot &amp; Site Log. ","")&amp;IF(AND(ISNUMBER($E338),ISNUMBER($F338),$F338&lt;=$E338),"Bottom depth is not below top depth. ","")&amp;IF($I338="","Say which bulk-density basis the lab reported. ","")&amp;IF(AND(ISNUMBER($J338),OR($J338&lt;QC_BD_MIN,$J338&gt;QC_BD_MAX)),"Bulk density outside "&amp;QC_BD_MIN&amp;"–"&amp;QC_BD_MAX&amp;" g/cm³ for peat. Above the top of that range usually means the mineral contact has been passed. ","")&amp;IF(AND(ISNUMBER($N338),$N338&gt;QC_CARBON_PCT_MAX),"Carbon above "&amp;QC_CARBON_PCT_MAX&amp;"% — check units; this may be organic matter rather than carbon. ","")&amp;IF(AND($L338&lt;&gt;"",$M338&lt;&gt;""),"Both LOI and measured carbon given — the measured value is used. ","")&amp;IF(AND($M338="",$L338&lt;&gt;"",OM_FACTOR_IS_LOCAL&lt;&gt;"Yes"),"Carbon derived from LOI using the default factor of "&amp;CARBON_FRACTION_OM&amp;", which has not been calibrated locally. See R1. Reference. ","")&amp;IF(AND(ISNUMBER($O338),$O338=0,ISNUMBER($E338)),"Section lies entirely below the reference depth — it counts to the full-profile stock only. ",""))</f>
        <v/>
      </c>
      <c r="U338" s="14" t="n"/>
    </row>
    <row r="339">
      <c r="A339" s="14" t="n"/>
      <c r="B339" s="14" t="n"/>
      <c r="C339" s="14" t="n"/>
      <c r="D339" s="14" t="n"/>
      <c r="E339" s="14" t="n"/>
      <c r="F339" s="14" t="n"/>
      <c r="G339" s="14">
        <f>IF(OR($E339="",$F339=""),"",$F339-$E339)</f>
        <v/>
      </c>
      <c r="H339" s="14" t="n"/>
      <c r="I339" s="14" t="n"/>
      <c r="J339" s="19" t="n"/>
      <c r="K339" s="19" t="n"/>
      <c r="L339" s="19" t="n"/>
      <c r="M339" s="19" t="n"/>
      <c r="N339" s="18">
        <f>IF($M339&lt;&gt;"",$M339,IF($L339&lt;&gt;"",$L339*CARBON_FRACTION_OM,""))</f>
        <v/>
      </c>
      <c r="O339" s="18">
        <f>IF(OR($E339="",$F339=""),"",MAX(0,MIN($F339,REFERENCE_DEPTH_CM)-MIN($E339,REFERENCE_DEPTH_CM)))</f>
        <v/>
      </c>
      <c r="P339" s="18">
        <f>IF(OR($J339="",$N339="",$G339=""),"",$J339*($N339/100)*$G339*10)</f>
        <v/>
      </c>
      <c r="Q339" s="18">
        <f>IF(OR($J339="",$N339="",$O339=""),"",$J339*($N339/100)*$O339*10)</f>
        <v/>
      </c>
      <c r="R339" s="18">
        <f>IF(OR(NOT(ISNUMBER($P339)),NOT(ISNUMBER($G339)),$G339=0),0,$P339/$G339)</f>
        <v/>
      </c>
      <c r="S339" s="18">
        <f>IF(OR($B339="",NOT(ISNUMBER($F339))),"",SUMIFS('3. Peat Data'!$P$5:$P$604,'3. Peat Data'!$B$5:$B$604,$B339,'3. Peat Data'!$F$5:$F$604,"&lt;="&amp;$F339))</f>
        <v/>
      </c>
      <c r="T339" s="18">
        <f>IF(AND($A339="",$B339="",$E339=""),"",IF(AND($B339&lt;&gt;"",COUNTIF('2. Core Log'!$A$5:$A$124,$B339)=0),"Core ID not in Core Log. ","")&amp;IF(AND($A339&lt;&gt;"",COUNTIF('1. Plot &amp; Site Log'!$A$5:$A$64,$A339)=0),"Plot ID not in Plot &amp; Site Log. ","")&amp;IF(AND(ISNUMBER($E339),ISNUMBER($F339),$F339&lt;=$E339),"Bottom depth is not below top depth. ","")&amp;IF($I339="","Say which bulk-density basis the lab reported. ","")&amp;IF(AND(ISNUMBER($J339),OR($J339&lt;QC_BD_MIN,$J339&gt;QC_BD_MAX)),"Bulk density outside "&amp;QC_BD_MIN&amp;"–"&amp;QC_BD_MAX&amp;" g/cm³ for peat. Above the top of that range usually means the mineral contact has been passed. ","")&amp;IF(AND(ISNUMBER($N339),$N339&gt;QC_CARBON_PCT_MAX),"Carbon above "&amp;QC_CARBON_PCT_MAX&amp;"% — check units; this may be organic matter rather than carbon. ","")&amp;IF(AND($L339&lt;&gt;"",$M339&lt;&gt;""),"Both LOI and measured carbon given — the measured value is used. ","")&amp;IF(AND($M339="",$L339&lt;&gt;"",OM_FACTOR_IS_LOCAL&lt;&gt;"Yes"),"Carbon derived from LOI using the default factor of "&amp;CARBON_FRACTION_OM&amp;", which has not been calibrated locally. See R1. Reference. ","")&amp;IF(AND(ISNUMBER($O339),$O339=0,ISNUMBER($E339)),"Section lies entirely below the reference depth — it counts to the full-profile stock only. ",""))</f>
        <v/>
      </c>
      <c r="U339" s="14" t="n"/>
    </row>
    <row r="340">
      <c r="A340" s="14" t="n"/>
      <c r="B340" s="14" t="n"/>
      <c r="C340" s="14" t="n"/>
      <c r="D340" s="14" t="n"/>
      <c r="E340" s="14" t="n"/>
      <c r="F340" s="14" t="n"/>
      <c r="G340" s="14">
        <f>IF(OR($E340="",$F340=""),"",$F340-$E340)</f>
        <v/>
      </c>
      <c r="H340" s="14" t="n"/>
      <c r="I340" s="14" t="n"/>
      <c r="J340" s="19" t="n"/>
      <c r="K340" s="19" t="n"/>
      <c r="L340" s="19" t="n"/>
      <c r="M340" s="19" t="n"/>
      <c r="N340" s="18">
        <f>IF($M340&lt;&gt;"",$M340,IF($L340&lt;&gt;"",$L340*CARBON_FRACTION_OM,""))</f>
        <v/>
      </c>
      <c r="O340" s="18">
        <f>IF(OR($E340="",$F340=""),"",MAX(0,MIN($F340,REFERENCE_DEPTH_CM)-MIN($E340,REFERENCE_DEPTH_CM)))</f>
        <v/>
      </c>
      <c r="P340" s="18">
        <f>IF(OR($J340="",$N340="",$G340=""),"",$J340*($N340/100)*$G340*10)</f>
        <v/>
      </c>
      <c r="Q340" s="18">
        <f>IF(OR($J340="",$N340="",$O340=""),"",$J340*($N340/100)*$O340*10)</f>
        <v/>
      </c>
      <c r="R340" s="18">
        <f>IF(OR(NOT(ISNUMBER($P340)),NOT(ISNUMBER($G340)),$G340=0),0,$P340/$G340)</f>
        <v/>
      </c>
      <c r="S340" s="18">
        <f>IF(OR($B340="",NOT(ISNUMBER($F340))),"",SUMIFS('3. Peat Data'!$P$5:$P$604,'3. Peat Data'!$B$5:$B$604,$B340,'3. Peat Data'!$F$5:$F$604,"&lt;="&amp;$F340))</f>
        <v/>
      </c>
      <c r="T340" s="18">
        <f>IF(AND($A340="",$B340="",$E340=""),"",IF(AND($B340&lt;&gt;"",COUNTIF('2. Core Log'!$A$5:$A$124,$B340)=0),"Core ID not in Core Log. ","")&amp;IF(AND($A340&lt;&gt;"",COUNTIF('1. Plot &amp; Site Log'!$A$5:$A$64,$A340)=0),"Plot ID not in Plot &amp; Site Log. ","")&amp;IF(AND(ISNUMBER($E340),ISNUMBER($F340),$F340&lt;=$E340),"Bottom depth is not below top depth. ","")&amp;IF($I340="","Say which bulk-density basis the lab reported. ","")&amp;IF(AND(ISNUMBER($J340),OR($J340&lt;QC_BD_MIN,$J340&gt;QC_BD_MAX)),"Bulk density outside "&amp;QC_BD_MIN&amp;"–"&amp;QC_BD_MAX&amp;" g/cm³ for peat. Above the top of that range usually means the mineral contact has been passed. ","")&amp;IF(AND(ISNUMBER($N340),$N340&gt;QC_CARBON_PCT_MAX),"Carbon above "&amp;QC_CARBON_PCT_MAX&amp;"% — check units; this may be organic matter rather than carbon. ","")&amp;IF(AND($L340&lt;&gt;"",$M340&lt;&gt;""),"Both LOI and measured carbon given — the measured value is used. ","")&amp;IF(AND($M340="",$L340&lt;&gt;"",OM_FACTOR_IS_LOCAL&lt;&gt;"Yes"),"Carbon derived from LOI using the default factor of "&amp;CARBON_FRACTION_OM&amp;", which has not been calibrated locally. See R1. Reference. ","")&amp;IF(AND(ISNUMBER($O340),$O340=0,ISNUMBER($E340)),"Section lies entirely below the reference depth — it counts to the full-profile stock only. ",""))</f>
        <v/>
      </c>
      <c r="U340" s="14" t="n"/>
    </row>
    <row r="341">
      <c r="A341" s="14" t="n"/>
      <c r="B341" s="14" t="n"/>
      <c r="C341" s="14" t="n"/>
      <c r="D341" s="14" t="n"/>
      <c r="E341" s="14" t="n"/>
      <c r="F341" s="14" t="n"/>
      <c r="G341" s="14">
        <f>IF(OR($E341="",$F341=""),"",$F341-$E341)</f>
        <v/>
      </c>
      <c r="H341" s="14" t="n"/>
      <c r="I341" s="14" t="n"/>
      <c r="J341" s="19" t="n"/>
      <c r="K341" s="19" t="n"/>
      <c r="L341" s="19" t="n"/>
      <c r="M341" s="19" t="n"/>
      <c r="N341" s="18">
        <f>IF($M341&lt;&gt;"",$M341,IF($L341&lt;&gt;"",$L341*CARBON_FRACTION_OM,""))</f>
        <v/>
      </c>
      <c r="O341" s="18">
        <f>IF(OR($E341="",$F341=""),"",MAX(0,MIN($F341,REFERENCE_DEPTH_CM)-MIN($E341,REFERENCE_DEPTH_CM)))</f>
        <v/>
      </c>
      <c r="P341" s="18">
        <f>IF(OR($J341="",$N341="",$G341=""),"",$J341*($N341/100)*$G341*10)</f>
        <v/>
      </c>
      <c r="Q341" s="18">
        <f>IF(OR($J341="",$N341="",$O341=""),"",$J341*($N341/100)*$O341*10)</f>
        <v/>
      </c>
      <c r="R341" s="18">
        <f>IF(OR(NOT(ISNUMBER($P341)),NOT(ISNUMBER($G341)),$G341=0),0,$P341/$G341)</f>
        <v/>
      </c>
      <c r="S341" s="18">
        <f>IF(OR($B341="",NOT(ISNUMBER($F341))),"",SUMIFS('3. Peat Data'!$P$5:$P$604,'3. Peat Data'!$B$5:$B$604,$B341,'3. Peat Data'!$F$5:$F$604,"&lt;="&amp;$F341))</f>
        <v/>
      </c>
      <c r="T341" s="18">
        <f>IF(AND($A341="",$B341="",$E341=""),"",IF(AND($B341&lt;&gt;"",COUNTIF('2. Core Log'!$A$5:$A$124,$B341)=0),"Core ID not in Core Log. ","")&amp;IF(AND($A341&lt;&gt;"",COUNTIF('1. Plot &amp; Site Log'!$A$5:$A$64,$A341)=0),"Plot ID not in Plot &amp; Site Log. ","")&amp;IF(AND(ISNUMBER($E341),ISNUMBER($F341),$F341&lt;=$E341),"Bottom depth is not below top depth. ","")&amp;IF($I341="","Say which bulk-density basis the lab reported. ","")&amp;IF(AND(ISNUMBER($J341),OR($J341&lt;QC_BD_MIN,$J341&gt;QC_BD_MAX)),"Bulk density outside "&amp;QC_BD_MIN&amp;"–"&amp;QC_BD_MAX&amp;" g/cm³ for peat. Above the top of that range usually means the mineral contact has been passed. ","")&amp;IF(AND(ISNUMBER($N341),$N341&gt;QC_CARBON_PCT_MAX),"Carbon above "&amp;QC_CARBON_PCT_MAX&amp;"% — check units; this may be organic matter rather than carbon. ","")&amp;IF(AND($L341&lt;&gt;"",$M341&lt;&gt;""),"Both LOI and measured carbon given — the measured value is used. ","")&amp;IF(AND($M341="",$L341&lt;&gt;"",OM_FACTOR_IS_LOCAL&lt;&gt;"Yes"),"Carbon derived from LOI using the default factor of "&amp;CARBON_FRACTION_OM&amp;", which has not been calibrated locally. See R1. Reference. ","")&amp;IF(AND(ISNUMBER($O341),$O341=0,ISNUMBER($E341)),"Section lies entirely below the reference depth — it counts to the full-profile stock only. ",""))</f>
        <v/>
      </c>
      <c r="U341" s="14" t="n"/>
    </row>
    <row r="342">
      <c r="A342" s="14" t="n"/>
      <c r="B342" s="14" t="n"/>
      <c r="C342" s="14" t="n"/>
      <c r="D342" s="14" t="n"/>
      <c r="E342" s="14" t="n"/>
      <c r="F342" s="14" t="n"/>
      <c r="G342" s="14">
        <f>IF(OR($E342="",$F342=""),"",$F342-$E342)</f>
        <v/>
      </c>
      <c r="H342" s="14" t="n"/>
      <c r="I342" s="14" t="n"/>
      <c r="J342" s="19" t="n"/>
      <c r="K342" s="19" t="n"/>
      <c r="L342" s="19" t="n"/>
      <c r="M342" s="19" t="n"/>
      <c r="N342" s="18">
        <f>IF($M342&lt;&gt;"",$M342,IF($L342&lt;&gt;"",$L342*CARBON_FRACTION_OM,""))</f>
        <v/>
      </c>
      <c r="O342" s="18">
        <f>IF(OR($E342="",$F342=""),"",MAX(0,MIN($F342,REFERENCE_DEPTH_CM)-MIN($E342,REFERENCE_DEPTH_CM)))</f>
        <v/>
      </c>
      <c r="P342" s="18">
        <f>IF(OR($J342="",$N342="",$G342=""),"",$J342*($N342/100)*$G342*10)</f>
        <v/>
      </c>
      <c r="Q342" s="18">
        <f>IF(OR($J342="",$N342="",$O342=""),"",$J342*($N342/100)*$O342*10)</f>
        <v/>
      </c>
      <c r="R342" s="18">
        <f>IF(OR(NOT(ISNUMBER($P342)),NOT(ISNUMBER($G342)),$G342=0),0,$P342/$G342)</f>
        <v/>
      </c>
      <c r="S342" s="18">
        <f>IF(OR($B342="",NOT(ISNUMBER($F342))),"",SUMIFS('3. Peat Data'!$P$5:$P$604,'3. Peat Data'!$B$5:$B$604,$B342,'3. Peat Data'!$F$5:$F$604,"&lt;="&amp;$F342))</f>
        <v/>
      </c>
      <c r="T342" s="18">
        <f>IF(AND($A342="",$B342="",$E342=""),"",IF(AND($B342&lt;&gt;"",COUNTIF('2. Core Log'!$A$5:$A$124,$B342)=0),"Core ID not in Core Log. ","")&amp;IF(AND($A342&lt;&gt;"",COUNTIF('1. Plot &amp; Site Log'!$A$5:$A$64,$A342)=0),"Plot ID not in Plot &amp; Site Log. ","")&amp;IF(AND(ISNUMBER($E342),ISNUMBER($F342),$F342&lt;=$E342),"Bottom depth is not below top depth. ","")&amp;IF($I342="","Say which bulk-density basis the lab reported. ","")&amp;IF(AND(ISNUMBER($J342),OR($J342&lt;QC_BD_MIN,$J342&gt;QC_BD_MAX)),"Bulk density outside "&amp;QC_BD_MIN&amp;"–"&amp;QC_BD_MAX&amp;" g/cm³ for peat. Above the top of that range usually means the mineral contact has been passed. ","")&amp;IF(AND(ISNUMBER($N342),$N342&gt;QC_CARBON_PCT_MAX),"Carbon above "&amp;QC_CARBON_PCT_MAX&amp;"% — check units; this may be organic matter rather than carbon. ","")&amp;IF(AND($L342&lt;&gt;"",$M342&lt;&gt;""),"Both LOI and measured carbon given — the measured value is used. ","")&amp;IF(AND($M342="",$L342&lt;&gt;"",OM_FACTOR_IS_LOCAL&lt;&gt;"Yes"),"Carbon derived from LOI using the default factor of "&amp;CARBON_FRACTION_OM&amp;", which has not been calibrated locally. See R1. Reference. ","")&amp;IF(AND(ISNUMBER($O342),$O342=0,ISNUMBER($E342)),"Section lies entirely below the reference depth — it counts to the full-profile stock only. ",""))</f>
        <v/>
      </c>
      <c r="U342" s="14" t="n"/>
    </row>
    <row r="343">
      <c r="A343" s="14" t="n"/>
      <c r="B343" s="14" t="n"/>
      <c r="C343" s="14" t="n"/>
      <c r="D343" s="14" t="n"/>
      <c r="E343" s="14" t="n"/>
      <c r="F343" s="14" t="n"/>
      <c r="G343" s="14">
        <f>IF(OR($E343="",$F343=""),"",$F343-$E343)</f>
        <v/>
      </c>
      <c r="H343" s="14" t="n"/>
      <c r="I343" s="14" t="n"/>
      <c r="J343" s="19" t="n"/>
      <c r="K343" s="19" t="n"/>
      <c r="L343" s="19" t="n"/>
      <c r="M343" s="19" t="n"/>
      <c r="N343" s="18">
        <f>IF($M343&lt;&gt;"",$M343,IF($L343&lt;&gt;"",$L343*CARBON_FRACTION_OM,""))</f>
        <v/>
      </c>
      <c r="O343" s="18">
        <f>IF(OR($E343="",$F343=""),"",MAX(0,MIN($F343,REFERENCE_DEPTH_CM)-MIN($E343,REFERENCE_DEPTH_CM)))</f>
        <v/>
      </c>
      <c r="P343" s="18">
        <f>IF(OR($J343="",$N343="",$G343=""),"",$J343*($N343/100)*$G343*10)</f>
        <v/>
      </c>
      <c r="Q343" s="18">
        <f>IF(OR($J343="",$N343="",$O343=""),"",$J343*($N343/100)*$O343*10)</f>
        <v/>
      </c>
      <c r="R343" s="18">
        <f>IF(OR(NOT(ISNUMBER($P343)),NOT(ISNUMBER($G343)),$G343=0),0,$P343/$G343)</f>
        <v/>
      </c>
      <c r="S343" s="18">
        <f>IF(OR($B343="",NOT(ISNUMBER($F343))),"",SUMIFS('3. Peat Data'!$P$5:$P$604,'3. Peat Data'!$B$5:$B$604,$B343,'3. Peat Data'!$F$5:$F$604,"&lt;="&amp;$F343))</f>
        <v/>
      </c>
      <c r="T343" s="18">
        <f>IF(AND($A343="",$B343="",$E343=""),"",IF(AND($B343&lt;&gt;"",COUNTIF('2. Core Log'!$A$5:$A$124,$B343)=0),"Core ID not in Core Log. ","")&amp;IF(AND($A343&lt;&gt;"",COUNTIF('1. Plot &amp; Site Log'!$A$5:$A$64,$A343)=0),"Plot ID not in Plot &amp; Site Log. ","")&amp;IF(AND(ISNUMBER($E343),ISNUMBER($F343),$F343&lt;=$E343),"Bottom depth is not below top depth. ","")&amp;IF($I343="","Say which bulk-density basis the lab reported. ","")&amp;IF(AND(ISNUMBER($J343),OR($J343&lt;QC_BD_MIN,$J343&gt;QC_BD_MAX)),"Bulk density outside "&amp;QC_BD_MIN&amp;"–"&amp;QC_BD_MAX&amp;" g/cm³ for peat. Above the top of that range usually means the mineral contact has been passed. ","")&amp;IF(AND(ISNUMBER($N343),$N343&gt;QC_CARBON_PCT_MAX),"Carbon above "&amp;QC_CARBON_PCT_MAX&amp;"% — check units; this may be organic matter rather than carbon. ","")&amp;IF(AND($L343&lt;&gt;"",$M343&lt;&gt;""),"Both LOI and measured carbon given — the measured value is used. ","")&amp;IF(AND($M343="",$L343&lt;&gt;"",OM_FACTOR_IS_LOCAL&lt;&gt;"Yes"),"Carbon derived from LOI using the default factor of "&amp;CARBON_FRACTION_OM&amp;", which has not been calibrated locally. See R1. Reference. ","")&amp;IF(AND(ISNUMBER($O343),$O343=0,ISNUMBER($E343)),"Section lies entirely below the reference depth — it counts to the full-profile stock only. ",""))</f>
        <v/>
      </c>
      <c r="U343" s="14" t="n"/>
    </row>
    <row r="344">
      <c r="A344" s="14" t="n"/>
      <c r="B344" s="14" t="n"/>
      <c r="C344" s="14" t="n"/>
      <c r="D344" s="14" t="n"/>
      <c r="E344" s="14" t="n"/>
      <c r="F344" s="14" t="n"/>
      <c r="G344" s="14">
        <f>IF(OR($E344="",$F344=""),"",$F344-$E344)</f>
        <v/>
      </c>
      <c r="H344" s="14" t="n"/>
      <c r="I344" s="14" t="n"/>
      <c r="J344" s="19" t="n"/>
      <c r="K344" s="19" t="n"/>
      <c r="L344" s="19" t="n"/>
      <c r="M344" s="19" t="n"/>
      <c r="N344" s="18">
        <f>IF($M344&lt;&gt;"",$M344,IF($L344&lt;&gt;"",$L344*CARBON_FRACTION_OM,""))</f>
        <v/>
      </c>
      <c r="O344" s="18">
        <f>IF(OR($E344="",$F344=""),"",MAX(0,MIN($F344,REFERENCE_DEPTH_CM)-MIN($E344,REFERENCE_DEPTH_CM)))</f>
        <v/>
      </c>
      <c r="P344" s="18">
        <f>IF(OR($J344="",$N344="",$G344=""),"",$J344*($N344/100)*$G344*10)</f>
        <v/>
      </c>
      <c r="Q344" s="18">
        <f>IF(OR($J344="",$N344="",$O344=""),"",$J344*($N344/100)*$O344*10)</f>
        <v/>
      </c>
      <c r="R344" s="18">
        <f>IF(OR(NOT(ISNUMBER($P344)),NOT(ISNUMBER($G344)),$G344=0),0,$P344/$G344)</f>
        <v/>
      </c>
      <c r="S344" s="18">
        <f>IF(OR($B344="",NOT(ISNUMBER($F344))),"",SUMIFS('3. Peat Data'!$P$5:$P$604,'3. Peat Data'!$B$5:$B$604,$B344,'3. Peat Data'!$F$5:$F$604,"&lt;="&amp;$F344))</f>
        <v/>
      </c>
      <c r="T344" s="18">
        <f>IF(AND($A344="",$B344="",$E344=""),"",IF(AND($B344&lt;&gt;"",COUNTIF('2. Core Log'!$A$5:$A$124,$B344)=0),"Core ID not in Core Log. ","")&amp;IF(AND($A344&lt;&gt;"",COUNTIF('1. Plot &amp; Site Log'!$A$5:$A$64,$A344)=0),"Plot ID not in Plot &amp; Site Log. ","")&amp;IF(AND(ISNUMBER($E344),ISNUMBER($F344),$F344&lt;=$E344),"Bottom depth is not below top depth. ","")&amp;IF($I344="","Say which bulk-density basis the lab reported. ","")&amp;IF(AND(ISNUMBER($J344),OR($J344&lt;QC_BD_MIN,$J344&gt;QC_BD_MAX)),"Bulk density outside "&amp;QC_BD_MIN&amp;"–"&amp;QC_BD_MAX&amp;" g/cm³ for peat. Above the top of that range usually means the mineral contact has been passed. ","")&amp;IF(AND(ISNUMBER($N344),$N344&gt;QC_CARBON_PCT_MAX),"Carbon above "&amp;QC_CARBON_PCT_MAX&amp;"% — check units; this may be organic matter rather than carbon. ","")&amp;IF(AND($L344&lt;&gt;"",$M344&lt;&gt;""),"Both LOI and measured carbon given — the measured value is used. ","")&amp;IF(AND($M344="",$L344&lt;&gt;"",OM_FACTOR_IS_LOCAL&lt;&gt;"Yes"),"Carbon derived from LOI using the default factor of "&amp;CARBON_FRACTION_OM&amp;", which has not been calibrated locally. See R1. Reference. ","")&amp;IF(AND(ISNUMBER($O344),$O344=0,ISNUMBER($E344)),"Section lies entirely below the reference depth — it counts to the full-profile stock only. ",""))</f>
        <v/>
      </c>
      <c r="U344" s="14" t="n"/>
    </row>
    <row r="345">
      <c r="A345" s="14" t="n"/>
      <c r="B345" s="14" t="n"/>
      <c r="C345" s="14" t="n"/>
      <c r="D345" s="14" t="n"/>
      <c r="E345" s="14" t="n"/>
      <c r="F345" s="14" t="n"/>
      <c r="G345" s="14">
        <f>IF(OR($E345="",$F345=""),"",$F345-$E345)</f>
        <v/>
      </c>
      <c r="H345" s="14" t="n"/>
      <c r="I345" s="14" t="n"/>
      <c r="J345" s="19" t="n"/>
      <c r="K345" s="19" t="n"/>
      <c r="L345" s="19" t="n"/>
      <c r="M345" s="19" t="n"/>
      <c r="N345" s="18">
        <f>IF($M345&lt;&gt;"",$M345,IF($L345&lt;&gt;"",$L345*CARBON_FRACTION_OM,""))</f>
        <v/>
      </c>
      <c r="O345" s="18">
        <f>IF(OR($E345="",$F345=""),"",MAX(0,MIN($F345,REFERENCE_DEPTH_CM)-MIN($E345,REFERENCE_DEPTH_CM)))</f>
        <v/>
      </c>
      <c r="P345" s="18">
        <f>IF(OR($J345="",$N345="",$G345=""),"",$J345*($N345/100)*$G345*10)</f>
        <v/>
      </c>
      <c r="Q345" s="18">
        <f>IF(OR($J345="",$N345="",$O345=""),"",$J345*($N345/100)*$O345*10)</f>
        <v/>
      </c>
      <c r="R345" s="18">
        <f>IF(OR(NOT(ISNUMBER($P345)),NOT(ISNUMBER($G345)),$G345=0),0,$P345/$G345)</f>
        <v/>
      </c>
      <c r="S345" s="18">
        <f>IF(OR($B345="",NOT(ISNUMBER($F345))),"",SUMIFS('3. Peat Data'!$P$5:$P$604,'3. Peat Data'!$B$5:$B$604,$B345,'3. Peat Data'!$F$5:$F$604,"&lt;="&amp;$F345))</f>
        <v/>
      </c>
      <c r="T345" s="18">
        <f>IF(AND($A345="",$B345="",$E345=""),"",IF(AND($B345&lt;&gt;"",COUNTIF('2. Core Log'!$A$5:$A$124,$B345)=0),"Core ID not in Core Log. ","")&amp;IF(AND($A345&lt;&gt;"",COUNTIF('1. Plot &amp; Site Log'!$A$5:$A$64,$A345)=0),"Plot ID not in Plot &amp; Site Log. ","")&amp;IF(AND(ISNUMBER($E345),ISNUMBER($F345),$F345&lt;=$E345),"Bottom depth is not below top depth. ","")&amp;IF($I345="","Say which bulk-density basis the lab reported. ","")&amp;IF(AND(ISNUMBER($J345),OR($J345&lt;QC_BD_MIN,$J345&gt;QC_BD_MAX)),"Bulk density outside "&amp;QC_BD_MIN&amp;"–"&amp;QC_BD_MAX&amp;" g/cm³ for peat. Above the top of that range usually means the mineral contact has been passed. ","")&amp;IF(AND(ISNUMBER($N345),$N345&gt;QC_CARBON_PCT_MAX),"Carbon above "&amp;QC_CARBON_PCT_MAX&amp;"% — check units; this may be organic matter rather than carbon. ","")&amp;IF(AND($L345&lt;&gt;"",$M345&lt;&gt;""),"Both LOI and measured carbon given — the measured value is used. ","")&amp;IF(AND($M345="",$L345&lt;&gt;"",OM_FACTOR_IS_LOCAL&lt;&gt;"Yes"),"Carbon derived from LOI using the default factor of "&amp;CARBON_FRACTION_OM&amp;", which has not been calibrated locally. See R1. Reference. ","")&amp;IF(AND(ISNUMBER($O345),$O345=0,ISNUMBER($E345)),"Section lies entirely below the reference depth — it counts to the full-profile stock only. ",""))</f>
        <v/>
      </c>
      <c r="U345" s="14" t="n"/>
    </row>
    <row r="346">
      <c r="A346" s="14" t="n"/>
      <c r="B346" s="14" t="n"/>
      <c r="C346" s="14" t="n"/>
      <c r="D346" s="14" t="n"/>
      <c r="E346" s="14" t="n"/>
      <c r="F346" s="14" t="n"/>
      <c r="G346" s="14">
        <f>IF(OR($E346="",$F346=""),"",$F346-$E346)</f>
        <v/>
      </c>
      <c r="H346" s="14" t="n"/>
      <c r="I346" s="14" t="n"/>
      <c r="J346" s="19" t="n"/>
      <c r="K346" s="19" t="n"/>
      <c r="L346" s="19" t="n"/>
      <c r="M346" s="19" t="n"/>
      <c r="N346" s="18">
        <f>IF($M346&lt;&gt;"",$M346,IF($L346&lt;&gt;"",$L346*CARBON_FRACTION_OM,""))</f>
        <v/>
      </c>
      <c r="O346" s="18">
        <f>IF(OR($E346="",$F346=""),"",MAX(0,MIN($F346,REFERENCE_DEPTH_CM)-MIN($E346,REFERENCE_DEPTH_CM)))</f>
        <v/>
      </c>
      <c r="P346" s="18">
        <f>IF(OR($J346="",$N346="",$G346=""),"",$J346*($N346/100)*$G346*10)</f>
        <v/>
      </c>
      <c r="Q346" s="18">
        <f>IF(OR($J346="",$N346="",$O346=""),"",$J346*($N346/100)*$O346*10)</f>
        <v/>
      </c>
      <c r="R346" s="18">
        <f>IF(OR(NOT(ISNUMBER($P346)),NOT(ISNUMBER($G346)),$G346=0),0,$P346/$G346)</f>
        <v/>
      </c>
      <c r="S346" s="18">
        <f>IF(OR($B346="",NOT(ISNUMBER($F346))),"",SUMIFS('3. Peat Data'!$P$5:$P$604,'3. Peat Data'!$B$5:$B$604,$B346,'3. Peat Data'!$F$5:$F$604,"&lt;="&amp;$F346))</f>
        <v/>
      </c>
      <c r="T346" s="18">
        <f>IF(AND($A346="",$B346="",$E346=""),"",IF(AND($B346&lt;&gt;"",COUNTIF('2. Core Log'!$A$5:$A$124,$B346)=0),"Core ID not in Core Log. ","")&amp;IF(AND($A346&lt;&gt;"",COUNTIF('1. Plot &amp; Site Log'!$A$5:$A$64,$A346)=0),"Plot ID not in Plot &amp; Site Log. ","")&amp;IF(AND(ISNUMBER($E346),ISNUMBER($F346),$F346&lt;=$E346),"Bottom depth is not below top depth. ","")&amp;IF($I346="","Say which bulk-density basis the lab reported. ","")&amp;IF(AND(ISNUMBER($J346),OR($J346&lt;QC_BD_MIN,$J346&gt;QC_BD_MAX)),"Bulk density outside "&amp;QC_BD_MIN&amp;"–"&amp;QC_BD_MAX&amp;" g/cm³ for peat. Above the top of that range usually means the mineral contact has been passed. ","")&amp;IF(AND(ISNUMBER($N346),$N346&gt;QC_CARBON_PCT_MAX),"Carbon above "&amp;QC_CARBON_PCT_MAX&amp;"% — check units; this may be organic matter rather than carbon. ","")&amp;IF(AND($L346&lt;&gt;"",$M346&lt;&gt;""),"Both LOI and measured carbon given — the measured value is used. ","")&amp;IF(AND($M346="",$L346&lt;&gt;"",OM_FACTOR_IS_LOCAL&lt;&gt;"Yes"),"Carbon derived from LOI using the default factor of "&amp;CARBON_FRACTION_OM&amp;", which has not been calibrated locally. See R1. Reference. ","")&amp;IF(AND(ISNUMBER($O346),$O346=0,ISNUMBER($E346)),"Section lies entirely below the reference depth — it counts to the full-profile stock only. ",""))</f>
        <v/>
      </c>
      <c r="U346" s="14" t="n"/>
    </row>
    <row r="347">
      <c r="A347" s="14" t="n"/>
      <c r="B347" s="14" t="n"/>
      <c r="C347" s="14" t="n"/>
      <c r="D347" s="14" t="n"/>
      <c r="E347" s="14" t="n"/>
      <c r="F347" s="14" t="n"/>
      <c r="G347" s="14">
        <f>IF(OR($E347="",$F347=""),"",$F347-$E347)</f>
        <v/>
      </c>
      <c r="H347" s="14" t="n"/>
      <c r="I347" s="14" t="n"/>
      <c r="J347" s="19" t="n"/>
      <c r="K347" s="19" t="n"/>
      <c r="L347" s="19" t="n"/>
      <c r="M347" s="19" t="n"/>
      <c r="N347" s="18">
        <f>IF($M347&lt;&gt;"",$M347,IF($L347&lt;&gt;"",$L347*CARBON_FRACTION_OM,""))</f>
        <v/>
      </c>
      <c r="O347" s="18">
        <f>IF(OR($E347="",$F347=""),"",MAX(0,MIN($F347,REFERENCE_DEPTH_CM)-MIN($E347,REFERENCE_DEPTH_CM)))</f>
        <v/>
      </c>
      <c r="P347" s="18">
        <f>IF(OR($J347="",$N347="",$G347=""),"",$J347*($N347/100)*$G347*10)</f>
        <v/>
      </c>
      <c r="Q347" s="18">
        <f>IF(OR($J347="",$N347="",$O347=""),"",$J347*($N347/100)*$O347*10)</f>
        <v/>
      </c>
      <c r="R347" s="18">
        <f>IF(OR(NOT(ISNUMBER($P347)),NOT(ISNUMBER($G347)),$G347=0),0,$P347/$G347)</f>
        <v/>
      </c>
      <c r="S347" s="18">
        <f>IF(OR($B347="",NOT(ISNUMBER($F347))),"",SUMIFS('3. Peat Data'!$P$5:$P$604,'3. Peat Data'!$B$5:$B$604,$B347,'3. Peat Data'!$F$5:$F$604,"&lt;="&amp;$F347))</f>
        <v/>
      </c>
      <c r="T347" s="18">
        <f>IF(AND($A347="",$B347="",$E347=""),"",IF(AND($B347&lt;&gt;"",COUNTIF('2. Core Log'!$A$5:$A$124,$B347)=0),"Core ID not in Core Log. ","")&amp;IF(AND($A347&lt;&gt;"",COUNTIF('1. Plot &amp; Site Log'!$A$5:$A$64,$A347)=0),"Plot ID not in Plot &amp; Site Log. ","")&amp;IF(AND(ISNUMBER($E347),ISNUMBER($F347),$F347&lt;=$E347),"Bottom depth is not below top depth. ","")&amp;IF($I347="","Say which bulk-density basis the lab reported. ","")&amp;IF(AND(ISNUMBER($J347),OR($J347&lt;QC_BD_MIN,$J347&gt;QC_BD_MAX)),"Bulk density outside "&amp;QC_BD_MIN&amp;"–"&amp;QC_BD_MAX&amp;" g/cm³ for peat. Above the top of that range usually means the mineral contact has been passed. ","")&amp;IF(AND(ISNUMBER($N347),$N347&gt;QC_CARBON_PCT_MAX),"Carbon above "&amp;QC_CARBON_PCT_MAX&amp;"% — check units; this may be organic matter rather than carbon. ","")&amp;IF(AND($L347&lt;&gt;"",$M347&lt;&gt;""),"Both LOI and measured carbon given — the measured value is used. ","")&amp;IF(AND($M347="",$L347&lt;&gt;"",OM_FACTOR_IS_LOCAL&lt;&gt;"Yes"),"Carbon derived from LOI using the default factor of "&amp;CARBON_FRACTION_OM&amp;", which has not been calibrated locally. See R1. Reference. ","")&amp;IF(AND(ISNUMBER($O347),$O347=0,ISNUMBER($E347)),"Section lies entirely below the reference depth — it counts to the full-profile stock only. ",""))</f>
        <v/>
      </c>
      <c r="U347" s="14" t="n"/>
    </row>
    <row r="348">
      <c r="A348" s="14" t="n"/>
      <c r="B348" s="14" t="n"/>
      <c r="C348" s="14" t="n"/>
      <c r="D348" s="14" t="n"/>
      <c r="E348" s="14" t="n"/>
      <c r="F348" s="14" t="n"/>
      <c r="G348" s="14">
        <f>IF(OR($E348="",$F348=""),"",$F348-$E348)</f>
        <v/>
      </c>
      <c r="H348" s="14" t="n"/>
      <c r="I348" s="14" t="n"/>
      <c r="J348" s="19" t="n"/>
      <c r="K348" s="19" t="n"/>
      <c r="L348" s="19" t="n"/>
      <c r="M348" s="19" t="n"/>
      <c r="N348" s="18">
        <f>IF($M348&lt;&gt;"",$M348,IF($L348&lt;&gt;"",$L348*CARBON_FRACTION_OM,""))</f>
        <v/>
      </c>
      <c r="O348" s="18">
        <f>IF(OR($E348="",$F348=""),"",MAX(0,MIN($F348,REFERENCE_DEPTH_CM)-MIN($E348,REFERENCE_DEPTH_CM)))</f>
        <v/>
      </c>
      <c r="P348" s="18">
        <f>IF(OR($J348="",$N348="",$G348=""),"",$J348*($N348/100)*$G348*10)</f>
        <v/>
      </c>
      <c r="Q348" s="18">
        <f>IF(OR($J348="",$N348="",$O348=""),"",$J348*($N348/100)*$O348*10)</f>
        <v/>
      </c>
      <c r="R348" s="18">
        <f>IF(OR(NOT(ISNUMBER($P348)),NOT(ISNUMBER($G348)),$G348=0),0,$P348/$G348)</f>
        <v/>
      </c>
      <c r="S348" s="18">
        <f>IF(OR($B348="",NOT(ISNUMBER($F348))),"",SUMIFS('3. Peat Data'!$P$5:$P$604,'3. Peat Data'!$B$5:$B$604,$B348,'3. Peat Data'!$F$5:$F$604,"&lt;="&amp;$F348))</f>
        <v/>
      </c>
      <c r="T348" s="18">
        <f>IF(AND($A348="",$B348="",$E348=""),"",IF(AND($B348&lt;&gt;"",COUNTIF('2. Core Log'!$A$5:$A$124,$B348)=0),"Core ID not in Core Log. ","")&amp;IF(AND($A348&lt;&gt;"",COUNTIF('1. Plot &amp; Site Log'!$A$5:$A$64,$A348)=0),"Plot ID not in Plot &amp; Site Log. ","")&amp;IF(AND(ISNUMBER($E348),ISNUMBER($F348),$F348&lt;=$E348),"Bottom depth is not below top depth. ","")&amp;IF($I348="","Say which bulk-density basis the lab reported. ","")&amp;IF(AND(ISNUMBER($J348),OR($J348&lt;QC_BD_MIN,$J348&gt;QC_BD_MAX)),"Bulk density outside "&amp;QC_BD_MIN&amp;"–"&amp;QC_BD_MAX&amp;" g/cm³ for peat. Above the top of that range usually means the mineral contact has been passed. ","")&amp;IF(AND(ISNUMBER($N348),$N348&gt;QC_CARBON_PCT_MAX),"Carbon above "&amp;QC_CARBON_PCT_MAX&amp;"% — check units; this may be organic matter rather than carbon. ","")&amp;IF(AND($L348&lt;&gt;"",$M348&lt;&gt;""),"Both LOI and measured carbon given — the measured value is used. ","")&amp;IF(AND($M348="",$L348&lt;&gt;"",OM_FACTOR_IS_LOCAL&lt;&gt;"Yes"),"Carbon derived from LOI using the default factor of "&amp;CARBON_FRACTION_OM&amp;", which has not been calibrated locally. See R1. Reference. ","")&amp;IF(AND(ISNUMBER($O348),$O348=0,ISNUMBER($E348)),"Section lies entirely below the reference depth — it counts to the full-profile stock only. ",""))</f>
        <v/>
      </c>
      <c r="U348" s="14" t="n"/>
    </row>
    <row r="349">
      <c r="A349" s="14" t="n"/>
      <c r="B349" s="14" t="n"/>
      <c r="C349" s="14" t="n"/>
      <c r="D349" s="14" t="n"/>
      <c r="E349" s="14" t="n"/>
      <c r="F349" s="14" t="n"/>
      <c r="G349" s="14">
        <f>IF(OR($E349="",$F349=""),"",$F349-$E349)</f>
        <v/>
      </c>
      <c r="H349" s="14" t="n"/>
      <c r="I349" s="14" t="n"/>
      <c r="J349" s="19" t="n"/>
      <c r="K349" s="19" t="n"/>
      <c r="L349" s="19" t="n"/>
      <c r="M349" s="19" t="n"/>
      <c r="N349" s="18">
        <f>IF($M349&lt;&gt;"",$M349,IF($L349&lt;&gt;"",$L349*CARBON_FRACTION_OM,""))</f>
        <v/>
      </c>
      <c r="O349" s="18">
        <f>IF(OR($E349="",$F349=""),"",MAX(0,MIN($F349,REFERENCE_DEPTH_CM)-MIN($E349,REFERENCE_DEPTH_CM)))</f>
        <v/>
      </c>
      <c r="P349" s="18">
        <f>IF(OR($J349="",$N349="",$G349=""),"",$J349*($N349/100)*$G349*10)</f>
        <v/>
      </c>
      <c r="Q349" s="18">
        <f>IF(OR($J349="",$N349="",$O349=""),"",$J349*($N349/100)*$O349*10)</f>
        <v/>
      </c>
      <c r="R349" s="18">
        <f>IF(OR(NOT(ISNUMBER($P349)),NOT(ISNUMBER($G349)),$G349=0),0,$P349/$G349)</f>
        <v/>
      </c>
      <c r="S349" s="18">
        <f>IF(OR($B349="",NOT(ISNUMBER($F349))),"",SUMIFS('3. Peat Data'!$P$5:$P$604,'3. Peat Data'!$B$5:$B$604,$B349,'3. Peat Data'!$F$5:$F$604,"&lt;="&amp;$F349))</f>
        <v/>
      </c>
      <c r="T349" s="18">
        <f>IF(AND($A349="",$B349="",$E349=""),"",IF(AND($B349&lt;&gt;"",COUNTIF('2. Core Log'!$A$5:$A$124,$B349)=0),"Core ID not in Core Log. ","")&amp;IF(AND($A349&lt;&gt;"",COUNTIF('1. Plot &amp; Site Log'!$A$5:$A$64,$A349)=0),"Plot ID not in Plot &amp; Site Log. ","")&amp;IF(AND(ISNUMBER($E349),ISNUMBER($F349),$F349&lt;=$E349),"Bottom depth is not below top depth. ","")&amp;IF($I349="","Say which bulk-density basis the lab reported. ","")&amp;IF(AND(ISNUMBER($J349),OR($J349&lt;QC_BD_MIN,$J349&gt;QC_BD_MAX)),"Bulk density outside "&amp;QC_BD_MIN&amp;"–"&amp;QC_BD_MAX&amp;" g/cm³ for peat. Above the top of that range usually means the mineral contact has been passed. ","")&amp;IF(AND(ISNUMBER($N349),$N349&gt;QC_CARBON_PCT_MAX),"Carbon above "&amp;QC_CARBON_PCT_MAX&amp;"% — check units; this may be organic matter rather than carbon. ","")&amp;IF(AND($L349&lt;&gt;"",$M349&lt;&gt;""),"Both LOI and measured carbon given — the measured value is used. ","")&amp;IF(AND($M349="",$L349&lt;&gt;"",OM_FACTOR_IS_LOCAL&lt;&gt;"Yes"),"Carbon derived from LOI using the default factor of "&amp;CARBON_FRACTION_OM&amp;", which has not been calibrated locally. See R1. Reference. ","")&amp;IF(AND(ISNUMBER($O349),$O349=0,ISNUMBER($E349)),"Section lies entirely below the reference depth — it counts to the full-profile stock only. ",""))</f>
        <v/>
      </c>
      <c r="U349" s="14" t="n"/>
    </row>
    <row r="350">
      <c r="A350" s="14" t="n"/>
      <c r="B350" s="14" t="n"/>
      <c r="C350" s="14" t="n"/>
      <c r="D350" s="14" t="n"/>
      <c r="E350" s="14" t="n"/>
      <c r="F350" s="14" t="n"/>
      <c r="G350" s="14">
        <f>IF(OR($E350="",$F350=""),"",$F350-$E350)</f>
        <v/>
      </c>
      <c r="H350" s="14" t="n"/>
      <c r="I350" s="14" t="n"/>
      <c r="J350" s="19" t="n"/>
      <c r="K350" s="19" t="n"/>
      <c r="L350" s="19" t="n"/>
      <c r="M350" s="19" t="n"/>
      <c r="N350" s="18">
        <f>IF($M350&lt;&gt;"",$M350,IF($L350&lt;&gt;"",$L350*CARBON_FRACTION_OM,""))</f>
        <v/>
      </c>
      <c r="O350" s="18">
        <f>IF(OR($E350="",$F350=""),"",MAX(0,MIN($F350,REFERENCE_DEPTH_CM)-MIN($E350,REFERENCE_DEPTH_CM)))</f>
        <v/>
      </c>
      <c r="P350" s="18">
        <f>IF(OR($J350="",$N350="",$G350=""),"",$J350*($N350/100)*$G350*10)</f>
        <v/>
      </c>
      <c r="Q350" s="18">
        <f>IF(OR($J350="",$N350="",$O350=""),"",$J350*($N350/100)*$O350*10)</f>
        <v/>
      </c>
      <c r="R350" s="18">
        <f>IF(OR(NOT(ISNUMBER($P350)),NOT(ISNUMBER($G350)),$G350=0),0,$P350/$G350)</f>
        <v/>
      </c>
      <c r="S350" s="18">
        <f>IF(OR($B350="",NOT(ISNUMBER($F350))),"",SUMIFS('3. Peat Data'!$P$5:$P$604,'3. Peat Data'!$B$5:$B$604,$B350,'3. Peat Data'!$F$5:$F$604,"&lt;="&amp;$F350))</f>
        <v/>
      </c>
      <c r="T350" s="18">
        <f>IF(AND($A350="",$B350="",$E350=""),"",IF(AND($B350&lt;&gt;"",COUNTIF('2. Core Log'!$A$5:$A$124,$B350)=0),"Core ID not in Core Log. ","")&amp;IF(AND($A350&lt;&gt;"",COUNTIF('1. Plot &amp; Site Log'!$A$5:$A$64,$A350)=0),"Plot ID not in Plot &amp; Site Log. ","")&amp;IF(AND(ISNUMBER($E350),ISNUMBER($F350),$F350&lt;=$E350),"Bottom depth is not below top depth. ","")&amp;IF($I350="","Say which bulk-density basis the lab reported. ","")&amp;IF(AND(ISNUMBER($J350),OR($J350&lt;QC_BD_MIN,$J350&gt;QC_BD_MAX)),"Bulk density outside "&amp;QC_BD_MIN&amp;"–"&amp;QC_BD_MAX&amp;" g/cm³ for peat. Above the top of that range usually means the mineral contact has been passed. ","")&amp;IF(AND(ISNUMBER($N350),$N350&gt;QC_CARBON_PCT_MAX),"Carbon above "&amp;QC_CARBON_PCT_MAX&amp;"% — check units; this may be organic matter rather than carbon. ","")&amp;IF(AND($L350&lt;&gt;"",$M350&lt;&gt;""),"Both LOI and measured carbon given — the measured value is used. ","")&amp;IF(AND($M350="",$L350&lt;&gt;"",OM_FACTOR_IS_LOCAL&lt;&gt;"Yes"),"Carbon derived from LOI using the default factor of "&amp;CARBON_FRACTION_OM&amp;", which has not been calibrated locally. See R1. Reference. ","")&amp;IF(AND(ISNUMBER($O350),$O350=0,ISNUMBER($E350)),"Section lies entirely below the reference depth — it counts to the full-profile stock only. ",""))</f>
        <v/>
      </c>
      <c r="U350" s="14" t="n"/>
    </row>
    <row r="351">
      <c r="A351" s="14" t="n"/>
      <c r="B351" s="14" t="n"/>
      <c r="C351" s="14" t="n"/>
      <c r="D351" s="14" t="n"/>
      <c r="E351" s="14" t="n"/>
      <c r="F351" s="14" t="n"/>
      <c r="G351" s="14">
        <f>IF(OR($E351="",$F351=""),"",$F351-$E351)</f>
        <v/>
      </c>
      <c r="H351" s="14" t="n"/>
      <c r="I351" s="14" t="n"/>
      <c r="J351" s="19" t="n"/>
      <c r="K351" s="19" t="n"/>
      <c r="L351" s="19" t="n"/>
      <c r="M351" s="19" t="n"/>
      <c r="N351" s="18">
        <f>IF($M351&lt;&gt;"",$M351,IF($L351&lt;&gt;"",$L351*CARBON_FRACTION_OM,""))</f>
        <v/>
      </c>
      <c r="O351" s="18">
        <f>IF(OR($E351="",$F351=""),"",MAX(0,MIN($F351,REFERENCE_DEPTH_CM)-MIN($E351,REFERENCE_DEPTH_CM)))</f>
        <v/>
      </c>
      <c r="P351" s="18">
        <f>IF(OR($J351="",$N351="",$G351=""),"",$J351*($N351/100)*$G351*10)</f>
        <v/>
      </c>
      <c r="Q351" s="18">
        <f>IF(OR($J351="",$N351="",$O351=""),"",$J351*($N351/100)*$O351*10)</f>
        <v/>
      </c>
      <c r="R351" s="18">
        <f>IF(OR(NOT(ISNUMBER($P351)),NOT(ISNUMBER($G351)),$G351=0),0,$P351/$G351)</f>
        <v/>
      </c>
      <c r="S351" s="18">
        <f>IF(OR($B351="",NOT(ISNUMBER($F351))),"",SUMIFS('3. Peat Data'!$P$5:$P$604,'3. Peat Data'!$B$5:$B$604,$B351,'3. Peat Data'!$F$5:$F$604,"&lt;="&amp;$F351))</f>
        <v/>
      </c>
      <c r="T351" s="18">
        <f>IF(AND($A351="",$B351="",$E351=""),"",IF(AND($B351&lt;&gt;"",COUNTIF('2. Core Log'!$A$5:$A$124,$B351)=0),"Core ID not in Core Log. ","")&amp;IF(AND($A351&lt;&gt;"",COUNTIF('1. Plot &amp; Site Log'!$A$5:$A$64,$A351)=0),"Plot ID not in Plot &amp; Site Log. ","")&amp;IF(AND(ISNUMBER($E351),ISNUMBER($F351),$F351&lt;=$E351),"Bottom depth is not below top depth. ","")&amp;IF($I351="","Say which bulk-density basis the lab reported. ","")&amp;IF(AND(ISNUMBER($J351),OR($J351&lt;QC_BD_MIN,$J351&gt;QC_BD_MAX)),"Bulk density outside "&amp;QC_BD_MIN&amp;"–"&amp;QC_BD_MAX&amp;" g/cm³ for peat. Above the top of that range usually means the mineral contact has been passed. ","")&amp;IF(AND(ISNUMBER($N351),$N351&gt;QC_CARBON_PCT_MAX),"Carbon above "&amp;QC_CARBON_PCT_MAX&amp;"% — check units; this may be organic matter rather than carbon. ","")&amp;IF(AND($L351&lt;&gt;"",$M351&lt;&gt;""),"Both LOI and measured carbon given — the measured value is used. ","")&amp;IF(AND($M351="",$L351&lt;&gt;"",OM_FACTOR_IS_LOCAL&lt;&gt;"Yes"),"Carbon derived from LOI using the default factor of "&amp;CARBON_FRACTION_OM&amp;", which has not been calibrated locally. See R1. Reference. ","")&amp;IF(AND(ISNUMBER($O351),$O351=0,ISNUMBER($E351)),"Section lies entirely below the reference depth — it counts to the full-profile stock only. ",""))</f>
        <v/>
      </c>
      <c r="U351" s="14" t="n"/>
    </row>
    <row r="352">
      <c r="A352" s="14" t="n"/>
      <c r="B352" s="14" t="n"/>
      <c r="C352" s="14" t="n"/>
      <c r="D352" s="14" t="n"/>
      <c r="E352" s="14" t="n"/>
      <c r="F352" s="14" t="n"/>
      <c r="G352" s="14">
        <f>IF(OR($E352="",$F352=""),"",$F352-$E352)</f>
        <v/>
      </c>
      <c r="H352" s="14" t="n"/>
      <c r="I352" s="14" t="n"/>
      <c r="J352" s="19" t="n"/>
      <c r="K352" s="19" t="n"/>
      <c r="L352" s="19" t="n"/>
      <c r="M352" s="19" t="n"/>
      <c r="N352" s="18">
        <f>IF($M352&lt;&gt;"",$M352,IF($L352&lt;&gt;"",$L352*CARBON_FRACTION_OM,""))</f>
        <v/>
      </c>
      <c r="O352" s="18">
        <f>IF(OR($E352="",$F352=""),"",MAX(0,MIN($F352,REFERENCE_DEPTH_CM)-MIN($E352,REFERENCE_DEPTH_CM)))</f>
        <v/>
      </c>
      <c r="P352" s="18">
        <f>IF(OR($J352="",$N352="",$G352=""),"",$J352*($N352/100)*$G352*10)</f>
        <v/>
      </c>
      <c r="Q352" s="18">
        <f>IF(OR($J352="",$N352="",$O352=""),"",$J352*($N352/100)*$O352*10)</f>
        <v/>
      </c>
      <c r="R352" s="18">
        <f>IF(OR(NOT(ISNUMBER($P352)),NOT(ISNUMBER($G352)),$G352=0),0,$P352/$G352)</f>
        <v/>
      </c>
      <c r="S352" s="18">
        <f>IF(OR($B352="",NOT(ISNUMBER($F352))),"",SUMIFS('3. Peat Data'!$P$5:$P$604,'3. Peat Data'!$B$5:$B$604,$B352,'3. Peat Data'!$F$5:$F$604,"&lt;="&amp;$F352))</f>
        <v/>
      </c>
      <c r="T352" s="18">
        <f>IF(AND($A352="",$B352="",$E352=""),"",IF(AND($B352&lt;&gt;"",COUNTIF('2. Core Log'!$A$5:$A$124,$B352)=0),"Core ID not in Core Log. ","")&amp;IF(AND($A352&lt;&gt;"",COUNTIF('1. Plot &amp; Site Log'!$A$5:$A$64,$A352)=0),"Plot ID not in Plot &amp; Site Log. ","")&amp;IF(AND(ISNUMBER($E352),ISNUMBER($F352),$F352&lt;=$E352),"Bottom depth is not below top depth. ","")&amp;IF($I352="","Say which bulk-density basis the lab reported. ","")&amp;IF(AND(ISNUMBER($J352),OR($J352&lt;QC_BD_MIN,$J352&gt;QC_BD_MAX)),"Bulk density outside "&amp;QC_BD_MIN&amp;"–"&amp;QC_BD_MAX&amp;" g/cm³ for peat. Above the top of that range usually means the mineral contact has been passed. ","")&amp;IF(AND(ISNUMBER($N352),$N352&gt;QC_CARBON_PCT_MAX),"Carbon above "&amp;QC_CARBON_PCT_MAX&amp;"% — check units; this may be organic matter rather than carbon. ","")&amp;IF(AND($L352&lt;&gt;"",$M352&lt;&gt;""),"Both LOI and measured carbon given — the measured value is used. ","")&amp;IF(AND($M352="",$L352&lt;&gt;"",OM_FACTOR_IS_LOCAL&lt;&gt;"Yes"),"Carbon derived from LOI using the default factor of "&amp;CARBON_FRACTION_OM&amp;", which has not been calibrated locally. See R1. Reference. ","")&amp;IF(AND(ISNUMBER($O352),$O352=0,ISNUMBER($E352)),"Section lies entirely below the reference depth — it counts to the full-profile stock only. ",""))</f>
        <v/>
      </c>
      <c r="U352" s="14" t="n"/>
    </row>
    <row r="353">
      <c r="A353" s="14" t="n"/>
      <c r="B353" s="14" t="n"/>
      <c r="C353" s="14" t="n"/>
      <c r="D353" s="14" t="n"/>
      <c r="E353" s="14" t="n"/>
      <c r="F353" s="14" t="n"/>
      <c r="G353" s="14">
        <f>IF(OR($E353="",$F353=""),"",$F353-$E353)</f>
        <v/>
      </c>
      <c r="H353" s="14" t="n"/>
      <c r="I353" s="14" t="n"/>
      <c r="J353" s="19" t="n"/>
      <c r="K353" s="19" t="n"/>
      <c r="L353" s="19" t="n"/>
      <c r="M353" s="19" t="n"/>
      <c r="N353" s="18">
        <f>IF($M353&lt;&gt;"",$M353,IF($L353&lt;&gt;"",$L353*CARBON_FRACTION_OM,""))</f>
        <v/>
      </c>
      <c r="O353" s="18">
        <f>IF(OR($E353="",$F353=""),"",MAX(0,MIN($F353,REFERENCE_DEPTH_CM)-MIN($E353,REFERENCE_DEPTH_CM)))</f>
        <v/>
      </c>
      <c r="P353" s="18">
        <f>IF(OR($J353="",$N353="",$G353=""),"",$J353*($N353/100)*$G353*10)</f>
        <v/>
      </c>
      <c r="Q353" s="18">
        <f>IF(OR($J353="",$N353="",$O353=""),"",$J353*($N353/100)*$O353*10)</f>
        <v/>
      </c>
      <c r="R353" s="18">
        <f>IF(OR(NOT(ISNUMBER($P353)),NOT(ISNUMBER($G353)),$G353=0),0,$P353/$G353)</f>
        <v/>
      </c>
      <c r="S353" s="18">
        <f>IF(OR($B353="",NOT(ISNUMBER($F353))),"",SUMIFS('3. Peat Data'!$P$5:$P$604,'3. Peat Data'!$B$5:$B$604,$B353,'3. Peat Data'!$F$5:$F$604,"&lt;="&amp;$F353))</f>
        <v/>
      </c>
      <c r="T353" s="18">
        <f>IF(AND($A353="",$B353="",$E353=""),"",IF(AND($B353&lt;&gt;"",COUNTIF('2. Core Log'!$A$5:$A$124,$B353)=0),"Core ID not in Core Log. ","")&amp;IF(AND($A353&lt;&gt;"",COUNTIF('1. Plot &amp; Site Log'!$A$5:$A$64,$A353)=0),"Plot ID not in Plot &amp; Site Log. ","")&amp;IF(AND(ISNUMBER($E353),ISNUMBER($F353),$F353&lt;=$E353),"Bottom depth is not below top depth. ","")&amp;IF($I353="","Say which bulk-density basis the lab reported. ","")&amp;IF(AND(ISNUMBER($J353),OR($J353&lt;QC_BD_MIN,$J353&gt;QC_BD_MAX)),"Bulk density outside "&amp;QC_BD_MIN&amp;"–"&amp;QC_BD_MAX&amp;" g/cm³ for peat. Above the top of that range usually means the mineral contact has been passed. ","")&amp;IF(AND(ISNUMBER($N353),$N353&gt;QC_CARBON_PCT_MAX),"Carbon above "&amp;QC_CARBON_PCT_MAX&amp;"% — check units; this may be organic matter rather than carbon. ","")&amp;IF(AND($L353&lt;&gt;"",$M353&lt;&gt;""),"Both LOI and measured carbon given — the measured value is used. ","")&amp;IF(AND($M353="",$L353&lt;&gt;"",OM_FACTOR_IS_LOCAL&lt;&gt;"Yes"),"Carbon derived from LOI using the default factor of "&amp;CARBON_FRACTION_OM&amp;", which has not been calibrated locally. See R1. Reference. ","")&amp;IF(AND(ISNUMBER($O353),$O353=0,ISNUMBER($E353)),"Section lies entirely below the reference depth — it counts to the full-profile stock only. ",""))</f>
        <v/>
      </c>
      <c r="U353" s="14" t="n"/>
    </row>
    <row r="354">
      <c r="A354" s="14" t="n"/>
      <c r="B354" s="14" t="n"/>
      <c r="C354" s="14" t="n"/>
      <c r="D354" s="14" t="n"/>
      <c r="E354" s="14" t="n"/>
      <c r="F354" s="14" t="n"/>
      <c r="G354" s="14">
        <f>IF(OR($E354="",$F354=""),"",$F354-$E354)</f>
        <v/>
      </c>
      <c r="H354" s="14" t="n"/>
      <c r="I354" s="14" t="n"/>
      <c r="J354" s="19" t="n"/>
      <c r="K354" s="19" t="n"/>
      <c r="L354" s="19" t="n"/>
      <c r="M354" s="19" t="n"/>
      <c r="N354" s="18">
        <f>IF($M354&lt;&gt;"",$M354,IF($L354&lt;&gt;"",$L354*CARBON_FRACTION_OM,""))</f>
        <v/>
      </c>
      <c r="O354" s="18">
        <f>IF(OR($E354="",$F354=""),"",MAX(0,MIN($F354,REFERENCE_DEPTH_CM)-MIN($E354,REFERENCE_DEPTH_CM)))</f>
        <v/>
      </c>
      <c r="P354" s="18">
        <f>IF(OR($J354="",$N354="",$G354=""),"",$J354*($N354/100)*$G354*10)</f>
        <v/>
      </c>
      <c r="Q354" s="18">
        <f>IF(OR($J354="",$N354="",$O354=""),"",$J354*($N354/100)*$O354*10)</f>
        <v/>
      </c>
      <c r="R354" s="18">
        <f>IF(OR(NOT(ISNUMBER($P354)),NOT(ISNUMBER($G354)),$G354=0),0,$P354/$G354)</f>
        <v/>
      </c>
      <c r="S354" s="18">
        <f>IF(OR($B354="",NOT(ISNUMBER($F354))),"",SUMIFS('3. Peat Data'!$P$5:$P$604,'3. Peat Data'!$B$5:$B$604,$B354,'3. Peat Data'!$F$5:$F$604,"&lt;="&amp;$F354))</f>
        <v/>
      </c>
      <c r="T354" s="18">
        <f>IF(AND($A354="",$B354="",$E354=""),"",IF(AND($B354&lt;&gt;"",COUNTIF('2. Core Log'!$A$5:$A$124,$B354)=0),"Core ID not in Core Log. ","")&amp;IF(AND($A354&lt;&gt;"",COUNTIF('1. Plot &amp; Site Log'!$A$5:$A$64,$A354)=0),"Plot ID not in Plot &amp; Site Log. ","")&amp;IF(AND(ISNUMBER($E354),ISNUMBER($F354),$F354&lt;=$E354),"Bottom depth is not below top depth. ","")&amp;IF($I354="","Say which bulk-density basis the lab reported. ","")&amp;IF(AND(ISNUMBER($J354),OR($J354&lt;QC_BD_MIN,$J354&gt;QC_BD_MAX)),"Bulk density outside "&amp;QC_BD_MIN&amp;"–"&amp;QC_BD_MAX&amp;" g/cm³ for peat. Above the top of that range usually means the mineral contact has been passed. ","")&amp;IF(AND(ISNUMBER($N354),$N354&gt;QC_CARBON_PCT_MAX),"Carbon above "&amp;QC_CARBON_PCT_MAX&amp;"% — check units; this may be organic matter rather than carbon. ","")&amp;IF(AND($L354&lt;&gt;"",$M354&lt;&gt;""),"Both LOI and measured carbon given — the measured value is used. ","")&amp;IF(AND($M354="",$L354&lt;&gt;"",OM_FACTOR_IS_LOCAL&lt;&gt;"Yes"),"Carbon derived from LOI using the default factor of "&amp;CARBON_FRACTION_OM&amp;", which has not been calibrated locally. See R1. Reference. ","")&amp;IF(AND(ISNUMBER($O354),$O354=0,ISNUMBER($E354)),"Section lies entirely below the reference depth — it counts to the full-profile stock only. ",""))</f>
        <v/>
      </c>
      <c r="U354" s="14" t="n"/>
    </row>
    <row r="355">
      <c r="A355" s="14" t="n"/>
      <c r="B355" s="14" t="n"/>
      <c r="C355" s="14" t="n"/>
      <c r="D355" s="14" t="n"/>
      <c r="E355" s="14" t="n"/>
      <c r="F355" s="14" t="n"/>
      <c r="G355" s="14">
        <f>IF(OR($E355="",$F355=""),"",$F355-$E355)</f>
        <v/>
      </c>
      <c r="H355" s="14" t="n"/>
      <c r="I355" s="14" t="n"/>
      <c r="J355" s="19" t="n"/>
      <c r="K355" s="19" t="n"/>
      <c r="L355" s="19" t="n"/>
      <c r="M355" s="19" t="n"/>
      <c r="N355" s="18">
        <f>IF($M355&lt;&gt;"",$M355,IF($L355&lt;&gt;"",$L355*CARBON_FRACTION_OM,""))</f>
        <v/>
      </c>
      <c r="O355" s="18">
        <f>IF(OR($E355="",$F355=""),"",MAX(0,MIN($F355,REFERENCE_DEPTH_CM)-MIN($E355,REFERENCE_DEPTH_CM)))</f>
        <v/>
      </c>
      <c r="P355" s="18">
        <f>IF(OR($J355="",$N355="",$G355=""),"",$J355*($N355/100)*$G355*10)</f>
        <v/>
      </c>
      <c r="Q355" s="18">
        <f>IF(OR($J355="",$N355="",$O355=""),"",$J355*($N355/100)*$O355*10)</f>
        <v/>
      </c>
      <c r="R355" s="18">
        <f>IF(OR(NOT(ISNUMBER($P355)),NOT(ISNUMBER($G355)),$G355=0),0,$P355/$G355)</f>
        <v/>
      </c>
      <c r="S355" s="18">
        <f>IF(OR($B355="",NOT(ISNUMBER($F355))),"",SUMIFS('3. Peat Data'!$P$5:$P$604,'3. Peat Data'!$B$5:$B$604,$B355,'3. Peat Data'!$F$5:$F$604,"&lt;="&amp;$F355))</f>
        <v/>
      </c>
      <c r="T355" s="18">
        <f>IF(AND($A355="",$B355="",$E355=""),"",IF(AND($B355&lt;&gt;"",COUNTIF('2. Core Log'!$A$5:$A$124,$B355)=0),"Core ID not in Core Log. ","")&amp;IF(AND($A355&lt;&gt;"",COUNTIF('1. Plot &amp; Site Log'!$A$5:$A$64,$A355)=0),"Plot ID not in Plot &amp; Site Log. ","")&amp;IF(AND(ISNUMBER($E355),ISNUMBER($F355),$F355&lt;=$E355),"Bottom depth is not below top depth. ","")&amp;IF($I355="","Say which bulk-density basis the lab reported. ","")&amp;IF(AND(ISNUMBER($J355),OR($J355&lt;QC_BD_MIN,$J355&gt;QC_BD_MAX)),"Bulk density outside "&amp;QC_BD_MIN&amp;"–"&amp;QC_BD_MAX&amp;" g/cm³ for peat. Above the top of that range usually means the mineral contact has been passed. ","")&amp;IF(AND(ISNUMBER($N355),$N355&gt;QC_CARBON_PCT_MAX),"Carbon above "&amp;QC_CARBON_PCT_MAX&amp;"% — check units; this may be organic matter rather than carbon. ","")&amp;IF(AND($L355&lt;&gt;"",$M355&lt;&gt;""),"Both LOI and measured carbon given — the measured value is used. ","")&amp;IF(AND($M355="",$L355&lt;&gt;"",OM_FACTOR_IS_LOCAL&lt;&gt;"Yes"),"Carbon derived from LOI using the default factor of "&amp;CARBON_FRACTION_OM&amp;", which has not been calibrated locally. See R1. Reference. ","")&amp;IF(AND(ISNUMBER($O355),$O355=0,ISNUMBER($E355)),"Section lies entirely below the reference depth — it counts to the full-profile stock only. ",""))</f>
        <v/>
      </c>
      <c r="U355" s="14" t="n"/>
    </row>
    <row r="356">
      <c r="A356" s="14" t="n"/>
      <c r="B356" s="14" t="n"/>
      <c r="C356" s="14" t="n"/>
      <c r="D356" s="14" t="n"/>
      <c r="E356" s="14" t="n"/>
      <c r="F356" s="14" t="n"/>
      <c r="G356" s="14">
        <f>IF(OR($E356="",$F356=""),"",$F356-$E356)</f>
        <v/>
      </c>
      <c r="H356" s="14" t="n"/>
      <c r="I356" s="14" t="n"/>
      <c r="J356" s="19" t="n"/>
      <c r="K356" s="19" t="n"/>
      <c r="L356" s="19" t="n"/>
      <c r="M356" s="19" t="n"/>
      <c r="N356" s="18">
        <f>IF($M356&lt;&gt;"",$M356,IF($L356&lt;&gt;"",$L356*CARBON_FRACTION_OM,""))</f>
        <v/>
      </c>
      <c r="O356" s="18">
        <f>IF(OR($E356="",$F356=""),"",MAX(0,MIN($F356,REFERENCE_DEPTH_CM)-MIN($E356,REFERENCE_DEPTH_CM)))</f>
        <v/>
      </c>
      <c r="P356" s="18">
        <f>IF(OR($J356="",$N356="",$G356=""),"",$J356*($N356/100)*$G356*10)</f>
        <v/>
      </c>
      <c r="Q356" s="18">
        <f>IF(OR($J356="",$N356="",$O356=""),"",$J356*($N356/100)*$O356*10)</f>
        <v/>
      </c>
      <c r="R356" s="18">
        <f>IF(OR(NOT(ISNUMBER($P356)),NOT(ISNUMBER($G356)),$G356=0),0,$P356/$G356)</f>
        <v/>
      </c>
      <c r="S356" s="18">
        <f>IF(OR($B356="",NOT(ISNUMBER($F356))),"",SUMIFS('3. Peat Data'!$P$5:$P$604,'3. Peat Data'!$B$5:$B$604,$B356,'3. Peat Data'!$F$5:$F$604,"&lt;="&amp;$F356))</f>
        <v/>
      </c>
      <c r="T356" s="18">
        <f>IF(AND($A356="",$B356="",$E356=""),"",IF(AND($B356&lt;&gt;"",COUNTIF('2. Core Log'!$A$5:$A$124,$B356)=0),"Core ID not in Core Log. ","")&amp;IF(AND($A356&lt;&gt;"",COUNTIF('1. Plot &amp; Site Log'!$A$5:$A$64,$A356)=0),"Plot ID not in Plot &amp; Site Log. ","")&amp;IF(AND(ISNUMBER($E356),ISNUMBER($F356),$F356&lt;=$E356),"Bottom depth is not below top depth. ","")&amp;IF($I356="","Say which bulk-density basis the lab reported. ","")&amp;IF(AND(ISNUMBER($J356),OR($J356&lt;QC_BD_MIN,$J356&gt;QC_BD_MAX)),"Bulk density outside "&amp;QC_BD_MIN&amp;"–"&amp;QC_BD_MAX&amp;" g/cm³ for peat. Above the top of that range usually means the mineral contact has been passed. ","")&amp;IF(AND(ISNUMBER($N356),$N356&gt;QC_CARBON_PCT_MAX),"Carbon above "&amp;QC_CARBON_PCT_MAX&amp;"% — check units; this may be organic matter rather than carbon. ","")&amp;IF(AND($L356&lt;&gt;"",$M356&lt;&gt;""),"Both LOI and measured carbon given — the measured value is used. ","")&amp;IF(AND($M356="",$L356&lt;&gt;"",OM_FACTOR_IS_LOCAL&lt;&gt;"Yes"),"Carbon derived from LOI using the default factor of "&amp;CARBON_FRACTION_OM&amp;", which has not been calibrated locally. See R1. Reference. ","")&amp;IF(AND(ISNUMBER($O356),$O356=0,ISNUMBER($E356)),"Section lies entirely below the reference depth — it counts to the full-profile stock only. ",""))</f>
        <v/>
      </c>
      <c r="U356" s="14" t="n"/>
    </row>
    <row r="357">
      <c r="A357" s="14" t="n"/>
      <c r="B357" s="14" t="n"/>
      <c r="C357" s="14" t="n"/>
      <c r="D357" s="14" t="n"/>
      <c r="E357" s="14" t="n"/>
      <c r="F357" s="14" t="n"/>
      <c r="G357" s="14">
        <f>IF(OR($E357="",$F357=""),"",$F357-$E357)</f>
        <v/>
      </c>
      <c r="H357" s="14" t="n"/>
      <c r="I357" s="14" t="n"/>
      <c r="J357" s="19" t="n"/>
      <c r="K357" s="19" t="n"/>
      <c r="L357" s="19" t="n"/>
      <c r="M357" s="19" t="n"/>
      <c r="N357" s="18">
        <f>IF($M357&lt;&gt;"",$M357,IF($L357&lt;&gt;"",$L357*CARBON_FRACTION_OM,""))</f>
        <v/>
      </c>
      <c r="O357" s="18">
        <f>IF(OR($E357="",$F357=""),"",MAX(0,MIN($F357,REFERENCE_DEPTH_CM)-MIN($E357,REFERENCE_DEPTH_CM)))</f>
        <v/>
      </c>
      <c r="P357" s="18">
        <f>IF(OR($J357="",$N357="",$G357=""),"",$J357*($N357/100)*$G357*10)</f>
        <v/>
      </c>
      <c r="Q357" s="18">
        <f>IF(OR($J357="",$N357="",$O357=""),"",$J357*($N357/100)*$O357*10)</f>
        <v/>
      </c>
      <c r="R357" s="18">
        <f>IF(OR(NOT(ISNUMBER($P357)),NOT(ISNUMBER($G357)),$G357=0),0,$P357/$G357)</f>
        <v/>
      </c>
      <c r="S357" s="18">
        <f>IF(OR($B357="",NOT(ISNUMBER($F357))),"",SUMIFS('3. Peat Data'!$P$5:$P$604,'3. Peat Data'!$B$5:$B$604,$B357,'3. Peat Data'!$F$5:$F$604,"&lt;="&amp;$F357))</f>
        <v/>
      </c>
      <c r="T357" s="18">
        <f>IF(AND($A357="",$B357="",$E357=""),"",IF(AND($B357&lt;&gt;"",COUNTIF('2. Core Log'!$A$5:$A$124,$B357)=0),"Core ID not in Core Log. ","")&amp;IF(AND($A357&lt;&gt;"",COUNTIF('1. Plot &amp; Site Log'!$A$5:$A$64,$A357)=0),"Plot ID not in Plot &amp; Site Log. ","")&amp;IF(AND(ISNUMBER($E357),ISNUMBER($F357),$F357&lt;=$E357),"Bottom depth is not below top depth. ","")&amp;IF($I357="","Say which bulk-density basis the lab reported. ","")&amp;IF(AND(ISNUMBER($J357),OR($J357&lt;QC_BD_MIN,$J357&gt;QC_BD_MAX)),"Bulk density outside "&amp;QC_BD_MIN&amp;"–"&amp;QC_BD_MAX&amp;" g/cm³ for peat. Above the top of that range usually means the mineral contact has been passed. ","")&amp;IF(AND(ISNUMBER($N357),$N357&gt;QC_CARBON_PCT_MAX),"Carbon above "&amp;QC_CARBON_PCT_MAX&amp;"% — check units; this may be organic matter rather than carbon. ","")&amp;IF(AND($L357&lt;&gt;"",$M357&lt;&gt;""),"Both LOI and measured carbon given — the measured value is used. ","")&amp;IF(AND($M357="",$L357&lt;&gt;"",OM_FACTOR_IS_LOCAL&lt;&gt;"Yes"),"Carbon derived from LOI using the default factor of "&amp;CARBON_FRACTION_OM&amp;", which has not been calibrated locally. See R1. Reference. ","")&amp;IF(AND(ISNUMBER($O357),$O357=0,ISNUMBER($E357)),"Section lies entirely below the reference depth — it counts to the full-profile stock only. ",""))</f>
        <v/>
      </c>
      <c r="U357" s="14" t="n"/>
    </row>
    <row r="358">
      <c r="A358" s="14" t="n"/>
      <c r="B358" s="14" t="n"/>
      <c r="C358" s="14" t="n"/>
      <c r="D358" s="14" t="n"/>
      <c r="E358" s="14" t="n"/>
      <c r="F358" s="14" t="n"/>
      <c r="G358" s="14">
        <f>IF(OR($E358="",$F358=""),"",$F358-$E358)</f>
        <v/>
      </c>
      <c r="H358" s="14" t="n"/>
      <c r="I358" s="14" t="n"/>
      <c r="J358" s="19" t="n"/>
      <c r="K358" s="19" t="n"/>
      <c r="L358" s="19" t="n"/>
      <c r="M358" s="19" t="n"/>
      <c r="N358" s="18">
        <f>IF($M358&lt;&gt;"",$M358,IF($L358&lt;&gt;"",$L358*CARBON_FRACTION_OM,""))</f>
        <v/>
      </c>
      <c r="O358" s="18">
        <f>IF(OR($E358="",$F358=""),"",MAX(0,MIN($F358,REFERENCE_DEPTH_CM)-MIN($E358,REFERENCE_DEPTH_CM)))</f>
        <v/>
      </c>
      <c r="P358" s="18">
        <f>IF(OR($J358="",$N358="",$G358=""),"",$J358*($N358/100)*$G358*10)</f>
        <v/>
      </c>
      <c r="Q358" s="18">
        <f>IF(OR($J358="",$N358="",$O358=""),"",$J358*($N358/100)*$O358*10)</f>
        <v/>
      </c>
      <c r="R358" s="18">
        <f>IF(OR(NOT(ISNUMBER($P358)),NOT(ISNUMBER($G358)),$G358=0),0,$P358/$G358)</f>
        <v/>
      </c>
      <c r="S358" s="18">
        <f>IF(OR($B358="",NOT(ISNUMBER($F358))),"",SUMIFS('3. Peat Data'!$P$5:$P$604,'3. Peat Data'!$B$5:$B$604,$B358,'3. Peat Data'!$F$5:$F$604,"&lt;="&amp;$F358))</f>
        <v/>
      </c>
      <c r="T358" s="18">
        <f>IF(AND($A358="",$B358="",$E358=""),"",IF(AND($B358&lt;&gt;"",COUNTIF('2. Core Log'!$A$5:$A$124,$B358)=0),"Core ID not in Core Log. ","")&amp;IF(AND($A358&lt;&gt;"",COUNTIF('1. Plot &amp; Site Log'!$A$5:$A$64,$A358)=0),"Plot ID not in Plot &amp; Site Log. ","")&amp;IF(AND(ISNUMBER($E358),ISNUMBER($F358),$F358&lt;=$E358),"Bottom depth is not below top depth. ","")&amp;IF($I358="","Say which bulk-density basis the lab reported. ","")&amp;IF(AND(ISNUMBER($J358),OR($J358&lt;QC_BD_MIN,$J358&gt;QC_BD_MAX)),"Bulk density outside "&amp;QC_BD_MIN&amp;"–"&amp;QC_BD_MAX&amp;" g/cm³ for peat. Above the top of that range usually means the mineral contact has been passed. ","")&amp;IF(AND(ISNUMBER($N358),$N358&gt;QC_CARBON_PCT_MAX),"Carbon above "&amp;QC_CARBON_PCT_MAX&amp;"% — check units; this may be organic matter rather than carbon. ","")&amp;IF(AND($L358&lt;&gt;"",$M358&lt;&gt;""),"Both LOI and measured carbon given — the measured value is used. ","")&amp;IF(AND($M358="",$L358&lt;&gt;"",OM_FACTOR_IS_LOCAL&lt;&gt;"Yes"),"Carbon derived from LOI using the default factor of "&amp;CARBON_FRACTION_OM&amp;", which has not been calibrated locally. See R1. Reference. ","")&amp;IF(AND(ISNUMBER($O358),$O358=0,ISNUMBER($E358)),"Section lies entirely below the reference depth — it counts to the full-profile stock only. ",""))</f>
        <v/>
      </c>
      <c r="U358" s="14" t="n"/>
    </row>
    <row r="359">
      <c r="A359" s="14" t="n"/>
      <c r="B359" s="14" t="n"/>
      <c r="C359" s="14" t="n"/>
      <c r="D359" s="14" t="n"/>
      <c r="E359" s="14" t="n"/>
      <c r="F359" s="14" t="n"/>
      <c r="G359" s="14">
        <f>IF(OR($E359="",$F359=""),"",$F359-$E359)</f>
        <v/>
      </c>
      <c r="H359" s="14" t="n"/>
      <c r="I359" s="14" t="n"/>
      <c r="J359" s="19" t="n"/>
      <c r="K359" s="19" t="n"/>
      <c r="L359" s="19" t="n"/>
      <c r="M359" s="19" t="n"/>
      <c r="N359" s="18">
        <f>IF($M359&lt;&gt;"",$M359,IF($L359&lt;&gt;"",$L359*CARBON_FRACTION_OM,""))</f>
        <v/>
      </c>
      <c r="O359" s="18">
        <f>IF(OR($E359="",$F359=""),"",MAX(0,MIN($F359,REFERENCE_DEPTH_CM)-MIN($E359,REFERENCE_DEPTH_CM)))</f>
        <v/>
      </c>
      <c r="P359" s="18">
        <f>IF(OR($J359="",$N359="",$G359=""),"",$J359*($N359/100)*$G359*10)</f>
        <v/>
      </c>
      <c r="Q359" s="18">
        <f>IF(OR($J359="",$N359="",$O359=""),"",$J359*($N359/100)*$O359*10)</f>
        <v/>
      </c>
      <c r="R359" s="18">
        <f>IF(OR(NOT(ISNUMBER($P359)),NOT(ISNUMBER($G359)),$G359=0),0,$P359/$G359)</f>
        <v/>
      </c>
      <c r="S359" s="18">
        <f>IF(OR($B359="",NOT(ISNUMBER($F359))),"",SUMIFS('3. Peat Data'!$P$5:$P$604,'3. Peat Data'!$B$5:$B$604,$B359,'3. Peat Data'!$F$5:$F$604,"&lt;="&amp;$F359))</f>
        <v/>
      </c>
      <c r="T359" s="18">
        <f>IF(AND($A359="",$B359="",$E359=""),"",IF(AND($B359&lt;&gt;"",COUNTIF('2. Core Log'!$A$5:$A$124,$B359)=0),"Core ID not in Core Log. ","")&amp;IF(AND($A359&lt;&gt;"",COUNTIF('1. Plot &amp; Site Log'!$A$5:$A$64,$A359)=0),"Plot ID not in Plot &amp; Site Log. ","")&amp;IF(AND(ISNUMBER($E359),ISNUMBER($F359),$F359&lt;=$E359),"Bottom depth is not below top depth. ","")&amp;IF($I359="","Say which bulk-density basis the lab reported. ","")&amp;IF(AND(ISNUMBER($J359),OR($J359&lt;QC_BD_MIN,$J359&gt;QC_BD_MAX)),"Bulk density outside "&amp;QC_BD_MIN&amp;"–"&amp;QC_BD_MAX&amp;" g/cm³ for peat. Above the top of that range usually means the mineral contact has been passed. ","")&amp;IF(AND(ISNUMBER($N359),$N359&gt;QC_CARBON_PCT_MAX),"Carbon above "&amp;QC_CARBON_PCT_MAX&amp;"% — check units; this may be organic matter rather than carbon. ","")&amp;IF(AND($L359&lt;&gt;"",$M359&lt;&gt;""),"Both LOI and measured carbon given — the measured value is used. ","")&amp;IF(AND($M359="",$L359&lt;&gt;"",OM_FACTOR_IS_LOCAL&lt;&gt;"Yes"),"Carbon derived from LOI using the default factor of "&amp;CARBON_FRACTION_OM&amp;", which has not been calibrated locally. See R1. Reference. ","")&amp;IF(AND(ISNUMBER($O359),$O359=0,ISNUMBER($E359)),"Section lies entirely below the reference depth — it counts to the full-profile stock only. ",""))</f>
        <v/>
      </c>
      <c r="U359" s="14" t="n"/>
    </row>
    <row r="360">
      <c r="A360" s="14" t="n"/>
      <c r="B360" s="14" t="n"/>
      <c r="C360" s="14" t="n"/>
      <c r="D360" s="14" t="n"/>
      <c r="E360" s="14" t="n"/>
      <c r="F360" s="14" t="n"/>
      <c r="G360" s="14">
        <f>IF(OR($E360="",$F360=""),"",$F360-$E360)</f>
        <v/>
      </c>
      <c r="H360" s="14" t="n"/>
      <c r="I360" s="14" t="n"/>
      <c r="J360" s="19" t="n"/>
      <c r="K360" s="19" t="n"/>
      <c r="L360" s="19" t="n"/>
      <c r="M360" s="19" t="n"/>
      <c r="N360" s="18">
        <f>IF($M360&lt;&gt;"",$M360,IF($L360&lt;&gt;"",$L360*CARBON_FRACTION_OM,""))</f>
        <v/>
      </c>
      <c r="O360" s="18">
        <f>IF(OR($E360="",$F360=""),"",MAX(0,MIN($F360,REFERENCE_DEPTH_CM)-MIN($E360,REFERENCE_DEPTH_CM)))</f>
        <v/>
      </c>
      <c r="P360" s="18">
        <f>IF(OR($J360="",$N360="",$G360=""),"",$J360*($N360/100)*$G360*10)</f>
        <v/>
      </c>
      <c r="Q360" s="18">
        <f>IF(OR($J360="",$N360="",$O360=""),"",$J360*($N360/100)*$O360*10)</f>
        <v/>
      </c>
      <c r="R360" s="18">
        <f>IF(OR(NOT(ISNUMBER($P360)),NOT(ISNUMBER($G360)),$G360=0),0,$P360/$G360)</f>
        <v/>
      </c>
      <c r="S360" s="18">
        <f>IF(OR($B360="",NOT(ISNUMBER($F360))),"",SUMIFS('3. Peat Data'!$P$5:$P$604,'3. Peat Data'!$B$5:$B$604,$B360,'3. Peat Data'!$F$5:$F$604,"&lt;="&amp;$F360))</f>
        <v/>
      </c>
      <c r="T360" s="18">
        <f>IF(AND($A360="",$B360="",$E360=""),"",IF(AND($B360&lt;&gt;"",COUNTIF('2. Core Log'!$A$5:$A$124,$B360)=0),"Core ID not in Core Log. ","")&amp;IF(AND($A360&lt;&gt;"",COUNTIF('1. Plot &amp; Site Log'!$A$5:$A$64,$A360)=0),"Plot ID not in Plot &amp; Site Log. ","")&amp;IF(AND(ISNUMBER($E360),ISNUMBER($F360),$F360&lt;=$E360),"Bottom depth is not below top depth. ","")&amp;IF($I360="","Say which bulk-density basis the lab reported. ","")&amp;IF(AND(ISNUMBER($J360),OR($J360&lt;QC_BD_MIN,$J360&gt;QC_BD_MAX)),"Bulk density outside "&amp;QC_BD_MIN&amp;"–"&amp;QC_BD_MAX&amp;" g/cm³ for peat. Above the top of that range usually means the mineral contact has been passed. ","")&amp;IF(AND(ISNUMBER($N360),$N360&gt;QC_CARBON_PCT_MAX),"Carbon above "&amp;QC_CARBON_PCT_MAX&amp;"% — check units; this may be organic matter rather than carbon. ","")&amp;IF(AND($L360&lt;&gt;"",$M360&lt;&gt;""),"Both LOI and measured carbon given — the measured value is used. ","")&amp;IF(AND($M360="",$L360&lt;&gt;"",OM_FACTOR_IS_LOCAL&lt;&gt;"Yes"),"Carbon derived from LOI using the default factor of "&amp;CARBON_FRACTION_OM&amp;", which has not been calibrated locally. See R1. Reference. ","")&amp;IF(AND(ISNUMBER($O360),$O360=0,ISNUMBER($E360)),"Section lies entirely below the reference depth — it counts to the full-profile stock only. ",""))</f>
        <v/>
      </c>
      <c r="U360" s="14" t="n"/>
    </row>
    <row r="361">
      <c r="A361" s="14" t="n"/>
      <c r="B361" s="14" t="n"/>
      <c r="C361" s="14" t="n"/>
      <c r="D361" s="14" t="n"/>
      <c r="E361" s="14" t="n"/>
      <c r="F361" s="14" t="n"/>
      <c r="G361" s="14">
        <f>IF(OR($E361="",$F361=""),"",$F361-$E361)</f>
        <v/>
      </c>
      <c r="H361" s="14" t="n"/>
      <c r="I361" s="14" t="n"/>
      <c r="J361" s="19" t="n"/>
      <c r="K361" s="19" t="n"/>
      <c r="L361" s="19" t="n"/>
      <c r="M361" s="19" t="n"/>
      <c r="N361" s="18">
        <f>IF($M361&lt;&gt;"",$M361,IF($L361&lt;&gt;"",$L361*CARBON_FRACTION_OM,""))</f>
        <v/>
      </c>
      <c r="O361" s="18">
        <f>IF(OR($E361="",$F361=""),"",MAX(0,MIN($F361,REFERENCE_DEPTH_CM)-MIN($E361,REFERENCE_DEPTH_CM)))</f>
        <v/>
      </c>
      <c r="P361" s="18">
        <f>IF(OR($J361="",$N361="",$G361=""),"",$J361*($N361/100)*$G361*10)</f>
        <v/>
      </c>
      <c r="Q361" s="18">
        <f>IF(OR($J361="",$N361="",$O361=""),"",$J361*($N361/100)*$O361*10)</f>
        <v/>
      </c>
      <c r="R361" s="18">
        <f>IF(OR(NOT(ISNUMBER($P361)),NOT(ISNUMBER($G361)),$G361=0),0,$P361/$G361)</f>
        <v/>
      </c>
      <c r="S361" s="18">
        <f>IF(OR($B361="",NOT(ISNUMBER($F361))),"",SUMIFS('3. Peat Data'!$P$5:$P$604,'3. Peat Data'!$B$5:$B$604,$B361,'3. Peat Data'!$F$5:$F$604,"&lt;="&amp;$F361))</f>
        <v/>
      </c>
      <c r="T361" s="18">
        <f>IF(AND($A361="",$B361="",$E361=""),"",IF(AND($B361&lt;&gt;"",COUNTIF('2. Core Log'!$A$5:$A$124,$B361)=0),"Core ID not in Core Log. ","")&amp;IF(AND($A361&lt;&gt;"",COUNTIF('1. Plot &amp; Site Log'!$A$5:$A$64,$A361)=0),"Plot ID not in Plot &amp; Site Log. ","")&amp;IF(AND(ISNUMBER($E361),ISNUMBER($F361),$F361&lt;=$E361),"Bottom depth is not below top depth. ","")&amp;IF($I361="","Say which bulk-density basis the lab reported. ","")&amp;IF(AND(ISNUMBER($J361),OR($J361&lt;QC_BD_MIN,$J361&gt;QC_BD_MAX)),"Bulk density outside "&amp;QC_BD_MIN&amp;"–"&amp;QC_BD_MAX&amp;" g/cm³ for peat. Above the top of that range usually means the mineral contact has been passed. ","")&amp;IF(AND(ISNUMBER($N361),$N361&gt;QC_CARBON_PCT_MAX),"Carbon above "&amp;QC_CARBON_PCT_MAX&amp;"% — check units; this may be organic matter rather than carbon. ","")&amp;IF(AND($L361&lt;&gt;"",$M361&lt;&gt;""),"Both LOI and measured carbon given — the measured value is used. ","")&amp;IF(AND($M361="",$L361&lt;&gt;"",OM_FACTOR_IS_LOCAL&lt;&gt;"Yes"),"Carbon derived from LOI using the default factor of "&amp;CARBON_FRACTION_OM&amp;", which has not been calibrated locally. See R1. Reference. ","")&amp;IF(AND(ISNUMBER($O361),$O361=0,ISNUMBER($E361)),"Section lies entirely below the reference depth — it counts to the full-profile stock only. ",""))</f>
        <v/>
      </c>
      <c r="U361" s="14" t="n"/>
    </row>
    <row r="362">
      <c r="A362" s="14" t="n"/>
      <c r="B362" s="14" t="n"/>
      <c r="C362" s="14" t="n"/>
      <c r="D362" s="14" t="n"/>
      <c r="E362" s="14" t="n"/>
      <c r="F362" s="14" t="n"/>
      <c r="G362" s="14">
        <f>IF(OR($E362="",$F362=""),"",$F362-$E362)</f>
        <v/>
      </c>
      <c r="H362" s="14" t="n"/>
      <c r="I362" s="14" t="n"/>
      <c r="J362" s="19" t="n"/>
      <c r="K362" s="19" t="n"/>
      <c r="L362" s="19" t="n"/>
      <c r="M362" s="19" t="n"/>
      <c r="N362" s="18">
        <f>IF($M362&lt;&gt;"",$M362,IF($L362&lt;&gt;"",$L362*CARBON_FRACTION_OM,""))</f>
        <v/>
      </c>
      <c r="O362" s="18">
        <f>IF(OR($E362="",$F362=""),"",MAX(0,MIN($F362,REFERENCE_DEPTH_CM)-MIN($E362,REFERENCE_DEPTH_CM)))</f>
        <v/>
      </c>
      <c r="P362" s="18">
        <f>IF(OR($J362="",$N362="",$G362=""),"",$J362*($N362/100)*$G362*10)</f>
        <v/>
      </c>
      <c r="Q362" s="18">
        <f>IF(OR($J362="",$N362="",$O362=""),"",$J362*($N362/100)*$O362*10)</f>
        <v/>
      </c>
      <c r="R362" s="18">
        <f>IF(OR(NOT(ISNUMBER($P362)),NOT(ISNUMBER($G362)),$G362=0),0,$P362/$G362)</f>
        <v/>
      </c>
      <c r="S362" s="18">
        <f>IF(OR($B362="",NOT(ISNUMBER($F362))),"",SUMIFS('3. Peat Data'!$P$5:$P$604,'3. Peat Data'!$B$5:$B$604,$B362,'3. Peat Data'!$F$5:$F$604,"&lt;="&amp;$F362))</f>
        <v/>
      </c>
      <c r="T362" s="18">
        <f>IF(AND($A362="",$B362="",$E362=""),"",IF(AND($B362&lt;&gt;"",COUNTIF('2. Core Log'!$A$5:$A$124,$B362)=0),"Core ID not in Core Log. ","")&amp;IF(AND($A362&lt;&gt;"",COUNTIF('1. Plot &amp; Site Log'!$A$5:$A$64,$A362)=0),"Plot ID not in Plot &amp; Site Log. ","")&amp;IF(AND(ISNUMBER($E362),ISNUMBER($F362),$F362&lt;=$E362),"Bottom depth is not below top depth. ","")&amp;IF($I362="","Say which bulk-density basis the lab reported. ","")&amp;IF(AND(ISNUMBER($J362),OR($J362&lt;QC_BD_MIN,$J362&gt;QC_BD_MAX)),"Bulk density outside "&amp;QC_BD_MIN&amp;"–"&amp;QC_BD_MAX&amp;" g/cm³ for peat. Above the top of that range usually means the mineral contact has been passed. ","")&amp;IF(AND(ISNUMBER($N362),$N362&gt;QC_CARBON_PCT_MAX),"Carbon above "&amp;QC_CARBON_PCT_MAX&amp;"% — check units; this may be organic matter rather than carbon. ","")&amp;IF(AND($L362&lt;&gt;"",$M362&lt;&gt;""),"Both LOI and measured carbon given — the measured value is used. ","")&amp;IF(AND($M362="",$L362&lt;&gt;"",OM_FACTOR_IS_LOCAL&lt;&gt;"Yes"),"Carbon derived from LOI using the default factor of "&amp;CARBON_FRACTION_OM&amp;", which has not been calibrated locally. See R1. Reference. ","")&amp;IF(AND(ISNUMBER($O362),$O362=0,ISNUMBER($E362)),"Section lies entirely below the reference depth — it counts to the full-profile stock only. ",""))</f>
        <v/>
      </c>
      <c r="U362" s="14" t="n"/>
    </row>
    <row r="363">
      <c r="A363" s="14" t="n"/>
      <c r="B363" s="14" t="n"/>
      <c r="C363" s="14" t="n"/>
      <c r="D363" s="14" t="n"/>
      <c r="E363" s="14" t="n"/>
      <c r="F363" s="14" t="n"/>
      <c r="G363" s="14">
        <f>IF(OR($E363="",$F363=""),"",$F363-$E363)</f>
        <v/>
      </c>
      <c r="H363" s="14" t="n"/>
      <c r="I363" s="14" t="n"/>
      <c r="J363" s="19" t="n"/>
      <c r="K363" s="19" t="n"/>
      <c r="L363" s="19" t="n"/>
      <c r="M363" s="19" t="n"/>
      <c r="N363" s="18">
        <f>IF($M363&lt;&gt;"",$M363,IF($L363&lt;&gt;"",$L363*CARBON_FRACTION_OM,""))</f>
        <v/>
      </c>
      <c r="O363" s="18">
        <f>IF(OR($E363="",$F363=""),"",MAX(0,MIN($F363,REFERENCE_DEPTH_CM)-MIN($E363,REFERENCE_DEPTH_CM)))</f>
        <v/>
      </c>
      <c r="P363" s="18">
        <f>IF(OR($J363="",$N363="",$G363=""),"",$J363*($N363/100)*$G363*10)</f>
        <v/>
      </c>
      <c r="Q363" s="18">
        <f>IF(OR($J363="",$N363="",$O363=""),"",$J363*($N363/100)*$O363*10)</f>
        <v/>
      </c>
      <c r="R363" s="18">
        <f>IF(OR(NOT(ISNUMBER($P363)),NOT(ISNUMBER($G363)),$G363=0),0,$P363/$G363)</f>
        <v/>
      </c>
      <c r="S363" s="18">
        <f>IF(OR($B363="",NOT(ISNUMBER($F363))),"",SUMIFS('3. Peat Data'!$P$5:$P$604,'3. Peat Data'!$B$5:$B$604,$B363,'3. Peat Data'!$F$5:$F$604,"&lt;="&amp;$F363))</f>
        <v/>
      </c>
      <c r="T363" s="18">
        <f>IF(AND($A363="",$B363="",$E363=""),"",IF(AND($B363&lt;&gt;"",COUNTIF('2. Core Log'!$A$5:$A$124,$B363)=0),"Core ID not in Core Log. ","")&amp;IF(AND($A363&lt;&gt;"",COUNTIF('1. Plot &amp; Site Log'!$A$5:$A$64,$A363)=0),"Plot ID not in Plot &amp; Site Log. ","")&amp;IF(AND(ISNUMBER($E363),ISNUMBER($F363),$F363&lt;=$E363),"Bottom depth is not below top depth. ","")&amp;IF($I363="","Say which bulk-density basis the lab reported. ","")&amp;IF(AND(ISNUMBER($J363),OR($J363&lt;QC_BD_MIN,$J363&gt;QC_BD_MAX)),"Bulk density outside "&amp;QC_BD_MIN&amp;"–"&amp;QC_BD_MAX&amp;" g/cm³ for peat. Above the top of that range usually means the mineral contact has been passed. ","")&amp;IF(AND(ISNUMBER($N363),$N363&gt;QC_CARBON_PCT_MAX),"Carbon above "&amp;QC_CARBON_PCT_MAX&amp;"% — check units; this may be organic matter rather than carbon. ","")&amp;IF(AND($L363&lt;&gt;"",$M363&lt;&gt;""),"Both LOI and measured carbon given — the measured value is used. ","")&amp;IF(AND($M363="",$L363&lt;&gt;"",OM_FACTOR_IS_LOCAL&lt;&gt;"Yes"),"Carbon derived from LOI using the default factor of "&amp;CARBON_FRACTION_OM&amp;", which has not been calibrated locally. See R1. Reference. ","")&amp;IF(AND(ISNUMBER($O363),$O363=0,ISNUMBER($E363)),"Section lies entirely below the reference depth — it counts to the full-profile stock only. ",""))</f>
        <v/>
      </c>
      <c r="U363" s="14" t="n"/>
    </row>
    <row r="364">
      <c r="A364" s="14" t="n"/>
      <c r="B364" s="14" t="n"/>
      <c r="C364" s="14" t="n"/>
      <c r="D364" s="14" t="n"/>
      <c r="E364" s="14" t="n"/>
      <c r="F364" s="14" t="n"/>
      <c r="G364" s="14">
        <f>IF(OR($E364="",$F364=""),"",$F364-$E364)</f>
        <v/>
      </c>
      <c r="H364" s="14" t="n"/>
      <c r="I364" s="14" t="n"/>
      <c r="J364" s="19" t="n"/>
      <c r="K364" s="19" t="n"/>
      <c r="L364" s="19" t="n"/>
      <c r="M364" s="19" t="n"/>
      <c r="N364" s="18">
        <f>IF($M364&lt;&gt;"",$M364,IF($L364&lt;&gt;"",$L364*CARBON_FRACTION_OM,""))</f>
        <v/>
      </c>
      <c r="O364" s="18">
        <f>IF(OR($E364="",$F364=""),"",MAX(0,MIN($F364,REFERENCE_DEPTH_CM)-MIN($E364,REFERENCE_DEPTH_CM)))</f>
        <v/>
      </c>
      <c r="P364" s="18">
        <f>IF(OR($J364="",$N364="",$G364=""),"",$J364*($N364/100)*$G364*10)</f>
        <v/>
      </c>
      <c r="Q364" s="18">
        <f>IF(OR($J364="",$N364="",$O364=""),"",$J364*($N364/100)*$O364*10)</f>
        <v/>
      </c>
      <c r="R364" s="18">
        <f>IF(OR(NOT(ISNUMBER($P364)),NOT(ISNUMBER($G364)),$G364=0),0,$P364/$G364)</f>
        <v/>
      </c>
      <c r="S364" s="18">
        <f>IF(OR($B364="",NOT(ISNUMBER($F364))),"",SUMIFS('3. Peat Data'!$P$5:$P$604,'3. Peat Data'!$B$5:$B$604,$B364,'3. Peat Data'!$F$5:$F$604,"&lt;="&amp;$F364))</f>
        <v/>
      </c>
      <c r="T364" s="18">
        <f>IF(AND($A364="",$B364="",$E364=""),"",IF(AND($B364&lt;&gt;"",COUNTIF('2. Core Log'!$A$5:$A$124,$B364)=0),"Core ID not in Core Log. ","")&amp;IF(AND($A364&lt;&gt;"",COUNTIF('1. Plot &amp; Site Log'!$A$5:$A$64,$A364)=0),"Plot ID not in Plot &amp; Site Log. ","")&amp;IF(AND(ISNUMBER($E364),ISNUMBER($F364),$F364&lt;=$E364),"Bottom depth is not below top depth. ","")&amp;IF($I364="","Say which bulk-density basis the lab reported. ","")&amp;IF(AND(ISNUMBER($J364),OR($J364&lt;QC_BD_MIN,$J364&gt;QC_BD_MAX)),"Bulk density outside "&amp;QC_BD_MIN&amp;"–"&amp;QC_BD_MAX&amp;" g/cm³ for peat. Above the top of that range usually means the mineral contact has been passed. ","")&amp;IF(AND(ISNUMBER($N364),$N364&gt;QC_CARBON_PCT_MAX),"Carbon above "&amp;QC_CARBON_PCT_MAX&amp;"% — check units; this may be organic matter rather than carbon. ","")&amp;IF(AND($L364&lt;&gt;"",$M364&lt;&gt;""),"Both LOI and measured carbon given — the measured value is used. ","")&amp;IF(AND($M364="",$L364&lt;&gt;"",OM_FACTOR_IS_LOCAL&lt;&gt;"Yes"),"Carbon derived from LOI using the default factor of "&amp;CARBON_FRACTION_OM&amp;", which has not been calibrated locally. See R1. Reference. ","")&amp;IF(AND(ISNUMBER($O364),$O364=0,ISNUMBER($E364)),"Section lies entirely below the reference depth — it counts to the full-profile stock only. ",""))</f>
        <v/>
      </c>
      <c r="U364" s="14" t="n"/>
    </row>
    <row r="365">
      <c r="A365" s="14" t="n"/>
      <c r="B365" s="14" t="n"/>
      <c r="C365" s="14" t="n"/>
      <c r="D365" s="14" t="n"/>
      <c r="E365" s="14" t="n"/>
      <c r="F365" s="14" t="n"/>
      <c r="G365" s="14">
        <f>IF(OR($E365="",$F365=""),"",$F365-$E365)</f>
        <v/>
      </c>
      <c r="H365" s="14" t="n"/>
      <c r="I365" s="14" t="n"/>
      <c r="J365" s="19" t="n"/>
      <c r="K365" s="19" t="n"/>
      <c r="L365" s="19" t="n"/>
      <c r="M365" s="19" t="n"/>
      <c r="N365" s="18">
        <f>IF($M365&lt;&gt;"",$M365,IF($L365&lt;&gt;"",$L365*CARBON_FRACTION_OM,""))</f>
        <v/>
      </c>
      <c r="O365" s="18">
        <f>IF(OR($E365="",$F365=""),"",MAX(0,MIN($F365,REFERENCE_DEPTH_CM)-MIN($E365,REFERENCE_DEPTH_CM)))</f>
        <v/>
      </c>
      <c r="P365" s="18">
        <f>IF(OR($J365="",$N365="",$G365=""),"",$J365*($N365/100)*$G365*10)</f>
        <v/>
      </c>
      <c r="Q365" s="18">
        <f>IF(OR($J365="",$N365="",$O365=""),"",$J365*($N365/100)*$O365*10)</f>
        <v/>
      </c>
      <c r="R365" s="18">
        <f>IF(OR(NOT(ISNUMBER($P365)),NOT(ISNUMBER($G365)),$G365=0),0,$P365/$G365)</f>
        <v/>
      </c>
      <c r="S365" s="18">
        <f>IF(OR($B365="",NOT(ISNUMBER($F365))),"",SUMIFS('3. Peat Data'!$P$5:$P$604,'3. Peat Data'!$B$5:$B$604,$B365,'3. Peat Data'!$F$5:$F$604,"&lt;="&amp;$F365))</f>
        <v/>
      </c>
      <c r="T365" s="18">
        <f>IF(AND($A365="",$B365="",$E365=""),"",IF(AND($B365&lt;&gt;"",COUNTIF('2. Core Log'!$A$5:$A$124,$B365)=0),"Core ID not in Core Log. ","")&amp;IF(AND($A365&lt;&gt;"",COUNTIF('1. Plot &amp; Site Log'!$A$5:$A$64,$A365)=0),"Plot ID not in Plot &amp; Site Log. ","")&amp;IF(AND(ISNUMBER($E365),ISNUMBER($F365),$F365&lt;=$E365),"Bottom depth is not below top depth. ","")&amp;IF($I365="","Say which bulk-density basis the lab reported. ","")&amp;IF(AND(ISNUMBER($J365),OR($J365&lt;QC_BD_MIN,$J365&gt;QC_BD_MAX)),"Bulk density outside "&amp;QC_BD_MIN&amp;"–"&amp;QC_BD_MAX&amp;" g/cm³ for peat. Above the top of that range usually means the mineral contact has been passed. ","")&amp;IF(AND(ISNUMBER($N365),$N365&gt;QC_CARBON_PCT_MAX),"Carbon above "&amp;QC_CARBON_PCT_MAX&amp;"% — check units; this may be organic matter rather than carbon. ","")&amp;IF(AND($L365&lt;&gt;"",$M365&lt;&gt;""),"Both LOI and measured carbon given — the measured value is used. ","")&amp;IF(AND($M365="",$L365&lt;&gt;"",OM_FACTOR_IS_LOCAL&lt;&gt;"Yes"),"Carbon derived from LOI using the default factor of "&amp;CARBON_FRACTION_OM&amp;", which has not been calibrated locally. See R1. Reference. ","")&amp;IF(AND(ISNUMBER($O365),$O365=0,ISNUMBER($E365)),"Section lies entirely below the reference depth — it counts to the full-profile stock only. ",""))</f>
        <v/>
      </c>
      <c r="U365" s="14" t="n"/>
    </row>
    <row r="366">
      <c r="A366" s="14" t="n"/>
      <c r="B366" s="14" t="n"/>
      <c r="C366" s="14" t="n"/>
      <c r="D366" s="14" t="n"/>
      <c r="E366" s="14" t="n"/>
      <c r="F366" s="14" t="n"/>
      <c r="G366" s="14">
        <f>IF(OR($E366="",$F366=""),"",$F366-$E366)</f>
        <v/>
      </c>
      <c r="H366" s="14" t="n"/>
      <c r="I366" s="14" t="n"/>
      <c r="J366" s="19" t="n"/>
      <c r="K366" s="19" t="n"/>
      <c r="L366" s="19" t="n"/>
      <c r="M366" s="19" t="n"/>
      <c r="N366" s="18">
        <f>IF($M366&lt;&gt;"",$M366,IF($L366&lt;&gt;"",$L366*CARBON_FRACTION_OM,""))</f>
        <v/>
      </c>
      <c r="O366" s="18">
        <f>IF(OR($E366="",$F366=""),"",MAX(0,MIN($F366,REFERENCE_DEPTH_CM)-MIN($E366,REFERENCE_DEPTH_CM)))</f>
        <v/>
      </c>
      <c r="P366" s="18">
        <f>IF(OR($J366="",$N366="",$G366=""),"",$J366*($N366/100)*$G366*10)</f>
        <v/>
      </c>
      <c r="Q366" s="18">
        <f>IF(OR($J366="",$N366="",$O366=""),"",$J366*($N366/100)*$O366*10)</f>
        <v/>
      </c>
      <c r="R366" s="18">
        <f>IF(OR(NOT(ISNUMBER($P366)),NOT(ISNUMBER($G366)),$G366=0),0,$P366/$G366)</f>
        <v/>
      </c>
      <c r="S366" s="18">
        <f>IF(OR($B366="",NOT(ISNUMBER($F366))),"",SUMIFS('3. Peat Data'!$P$5:$P$604,'3. Peat Data'!$B$5:$B$604,$B366,'3. Peat Data'!$F$5:$F$604,"&lt;="&amp;$F366))</f>
        <v/>
      </c>
      <c r="T366" s="18">
        <f>IF(AND($A366="",$B366="",$E366=""),"",IF(AND($B366&lt;&gt;"",COUNTIF('2. Core Log'!$A$5:$A$124,$B366)=0),"Core ID not in Core Log. ","")&amp;IF(AND($A366&lt;&gt;"",COUNTIF('1. Plot &amp; Site Log'!$A$5:$A$64,$A366)=0),"Plot ID not in Plot &amp; Site Log. ","")&amp;IF(AND(ISNUMBER($E366),ISNUMBER($F366),$F366&lt;=$E366),"Bottom depth is not below top depth. ","")&amp;IF($I366="","Say which bulk-density basis the lab reported. ","")&amp;IF(AND(ISNUMBER($J366),OR($J366&lt;QC_BD_MIN,$J366&gt;QC_BD_MAX)),"Bulk density outside "&amp;QC_BD_MIN&amp;"–"&amp;QC_BD_MAX&amp;" g/cm³ for peat. Above the top of that range usually means the mineral contact has been passed. ","")&amp;IF(AND(ISNUMBER($N366),$N366&gt;QC_CARBON_PCT_MAX),"Carbon above "&amp;QC_CARBON_PCT_MAX&amp;"% — check units; this may be organic matter rather than carbon. ","")&amp;IF(AND($L366&lt;&gt;"",$M366&lt;&gt;""),"Both LOI and measured carbon given — the measured value is used. ","")&amp;IF(AND($M366="",$L366&lt;&gt;"",OM_FACTOR_IS_LOCAL&lt;&gt;"Yes"),"Carbon derived from LOI using the default factor of "&amp;CARBON_FRACTION_OM&amp;", which has not been calibrated locally. See R1. Reference. ","")&amp;IF(AND(ISNUMBER($O366),$O366=0,ISNUMBER($E366)),"Section lies entirely below the reference depth — it counts to the full-profile stock only. ",""))</f>
        <v/>
      </c>
      <c r="U366" s="14" t="n"/>
    </row>
    <row r="367">
      <c r="A367" s="14" t="n"/>
      <c r="B367" s="14" t="n"/>
      <c r="C367" s="14" t="n"/>
      <c r="D367" s="14" t="n"/>
      <c r="E367" s="14" t="n"/>
      <c r="F367" s="14" t="n"/>
      <c r="G367" s="14">
        <f>IF(OR($E367="",$F367=""),"",$F367-$E367)</f>
        <v/>
      </c>
      <c r="H367" s="14" t="n"/>
      <c r="I367" s="14" t="n"/>
      <c r="J367" s="19" t="n"/>
      <c r="K367" s="19" t="n"/>
      <c r="L367" s="19" t="n"/>
      <c r="M367" s="19" t="n"/>
      <c r="N367" s="18">
        <f>IF($M367&lt;&gt;"",$M367,IF($L367&lt;&gt;"",$L367*CARBON_FRACTION_OM,""))</f>
        <v/>
      </c>
      <c r="O367" s="18">
        <f>IF(OR($E367="",$F367=""),"",MAX(0,MIN($F367,REFERENCE_DEPTH_CM)-MIN($E367,REFERENCE_DEPTH_CM)))</f>
        <v/>
      </c>
      <c r="P367" s="18">
        <f>IF(OR($J367="",$N367="",$G367=""),"",$J367*($N367/100)*$G367*10)</f>
        <v/>
      </c>
      <c r="Q367" s="18">
        <f>IF(OR($J367="",$N367="",$O367=""),"",$J367*($N367/100)*$O367*10)</f>
        <v/>
      </c>
      <c r="R367" s="18">
        <f>IF(OR(NOT(ISNUMBER($P367)),NOT(ISNUMBER($G367)),$G367=0),0,$P367/$G367)</f>
        <v/>
      </c>
      <c r="S367" s="18">
        <f>IF(OR($B367="",NOT(ISNUMBER($F367))),"",SUMIFS('3. Peat Data'!$P$5:$P$604,'3. Peat Data'!$B$5:$B$604,$B367,'3. Peat Data'!$F$5:$F$604,"&lt;="&amp;$F367))</f>
        <v/>
      </c>
      <c r="T367" s="18">
        <f>IF(AND($A367="",$B367="",$E367=""),"",IF(AND($B367&lt;&gt;"",COUNTIF('2. Core Log'!$A$5:$A$124,$B367)=0),"Core ID not in Core Log. ","")&amp;IF(AND($A367&lt;&gt;"",COUNTIF('1. Plot &amp; Site Log'!$A$5:$A$64,$A367)=0),"Plot ID not in Plot &amp; Site Log. ","")&amp;IF(AND(ISNUMBER($E367),ISNUMBER($F367),$F367&lt;=$E367),"Bottom depth is not below top depth. ","")&amp;IF($I367="","Say which bulk-density basis the lab reported. ","")&amp;IF(AND(ISNUMBER($J367),OR($J367&lt;QC_BD_MIN,$J367&gt;QC_BD_MAX)),"Bulk density outside "&amp;QC_BD_MIN&amp;"–"&amp;QC_BD_MAX&amp;" g/cm³ for peat. Above the top of that range usually means the mineral contact has been passed. ","")&amp;IF(AND(ISNUMBER($N367),$N367&gt;QC_CARBON_PCT_MAX),"Carbon above "&amp;QC_CARBON_PCT_MAX&amp;"% — check units; this may be organic matter rather than carbon. ","")&amp;IF(AND($L367&lt;&gt;"",$M367&lt;&gt;""),"Both LOI and measured carbon given — the measured value is used. ","")&amp;IF(AND($M367="",$L367&lt;&gt;"",OM_FACTOR_IS_LOCAL&lt;&gt;"Yes"),"Carbon derived from LOI using the default factor of "&amp;CARBON_FRACTION_OM&amp;", which has not been calibrated locally. See R1. Reference. ","")&amp;IF(AND(ISNUMBER($O367),$O367=0,ISNUMBER($E367)),"Section lies entirely below the reference depth — it counts to the full-profile stock only. ",""))</f>
        <v/>
      </c>
      <c r="U367" s="14" t="n"/>
    </row>
    <row r="368">
      <c r="A368" s="14" t="n"/>
      <c r="B368" s="14" t="n"/>
      <c r="C368" s="14" t="n"/>
      <c r="D368" s="14" t="n"/>
      <c r="E368" s="14" t="n"/>
      <c r="F368" s="14" t="n"/>
      <c r="G368" s="14">
        <f>IF(OR($E368="",$F368=""),"",$F368-$E368)</f>
        <v/>
      </c>
      <c r="H368" s="14" t="n"/>
      <c r="I368" s="14" t="n"/>
      <c r="J368" s="19" t="n"/>
      <c r="K368" s="19" t="n"/>
      <c r="L368" s="19" t="n"/>
      <c r="M368" s="19" t="n"/>
      <c r="N368" s="18">
        <f>IF($M368&lt;&gt;"",$M368,IF($L368&lt;&gt;"",$L368*CARBON_FRACTION_OM,""))</f>
        <v/>
      </c>
      <c r="O368" s="18">
        <f>IF(OR($E368="",$F368=""),"",MAX(0,MIN($F368,REFERENCE_DEPTH_CM)-MIN($E368,REFERENCE_DEPTH_CM)))</f>
        <v/>
      </c>
      <c r="P368" s="18">
        <f>IF(OR($J368="",$N368="",$G368=""),"",$J368*($N368/100)*$G368*10)</f>
        <v/>
      </c>
      <c r="Q368" s="18">
        <f>IF(OR($J368="",$N368="",$O368=""),"",$J368*($N368/100)*$O368*10)</f>
        <v/>
      </c>
      <c r="R368" s="18">
        <f>IF(OR(NOT(ISNUMBER($P368)),NOT(ISNUMBER($G368)),$G368=0),0,$P368/$G368)</f>
        <v/>
      </c>
      <c r="S368" s="18">
        <f>IF(OR($B368="",NOT(ISNUMBER($F368))),"",SUMIFS('3. Peat Data'!$P$5:$P$604,'3. Peat Data'!$B$5:$B$604,$B368,'3. Peat Data'!$F$5:$F$604,"&lt;="&amp;$F368))</f>
        <v/>
      </c>
      <c r="T368" s="18">
        <f>IF(AND($A368="",$B368="",$E368=""),"",IF(AND($B368&lt;&gt;"",COUNTIF('2. Core Log'!$A$5:$A$124,$B368)=0),"Core ID not in Core Log. ","")&amp;IF(AND($A368&lt;&gt;"",COUNTIF('1. Plot &amp; Site Log'!$A$5:$A$64,$A368)=0),"Plot ID not in Plot &amp; Site Log. ","")&amp;IF(AND(ISNUMBER($E368),ISNUMBER($F368),$F368&lt;=$E368),"Bottom depth is not below top depth. ","")&amp;IF($I368="","Say which bulk-density basis the lab reported. ","")&amp;IF(AND(ISNUMBER($J368),OR($J368&lt;QC_BD_MIN,$J368&gt;QC_BD_MAX)),"Bulk density outside "&amp;QC_BD_MIN&amp;"–"&amp;QC_BD_MAX&amp;" g/cm³ for peat. Above the top of that range usually means the mineral contact has been passed. ","")&amp;IF(AND(ISNUMBER($N368),$N368&gt;QC_CARBON_PCT_MAX),"Carbon above "&amp;QC_CARBON_PCT_MAX&amp;"% — check units; this may be organic matter rather than carbon. ","")&amp;IF(AND($L368&lt;&gt;"",$M368&lt;&gt;""),"Both LOI and measured carbon given — the measured value is used. ","")&amp;IF(AND($M368="",$L368&lt;&gt;"",OM_FACTOR_IS_LOCAL&lt;&gt;"Yes"),"Carbon derived from LOI using the default factor of "&amp;CARBON_FRACTION_OM&amp;", which has not been calibrated locally. See R1. Reference. ","")&amp;IF(AND(ISNUMBER($O368),$O368=0,ISNUMBER($E368)),"Section lies entirely below the reference depth — it counts to the full-profile stock only. ",""))</f>
        <v/>
      </c>
      <c r="U368" s="14" t="n"/>
    </row>
    <row r="369">
      <c r="A369" s="14" t="n"/>
      <c r="B369" s="14" t="n"/>
      <c r="C369" s="14" t="n"/>
      <c r="D369" s="14" t="n"/>
      <c r="E369" s="14" t="n"/>
      <c r="F369" s="14" t="n"/>
      <c r="G369" s="14">
        <f>IF(OR($E369="",$F369=""),"",$F369-$E369)</f>
        <v/>
      </c>
      <c r="H369" s="14" t="n"/>
      <c r="I369" s="14" t="n"/>
      <c r="J369" s="19" t="n"/>
      <c r="K369" s="19" t="n"/>
      <c r="L369" s="19" t="n"/>
      <c r="M369" s="19" t="n"/>
      <c r="N369" s="18">
        <f>IF($M369&lt;&gt;"",$M369,IF($L369&lt;&gt;"",$L369*CARBON_FRACTION_OM,""))</f>
        <v/>
      </c>
      <c r="O369" s="18">
        <f>IF(OR($E369="",$F369=""),"",MAX(0,MIN($F369,REFERENCE_DEPTH_CM)-MIN($E369,REFERENCE_DEPTH_CM)))</f>
        <v/>
      </c>
      <c r="P369" s="18">
        <f>IF(OR($J369="",$N369="",$G369=""),"",$J369*($N369/100)*$G369*10)</f>
        <v/>
      </c>
      <c r="Q369" s="18">
        <f>IF(OR($J369="",$N369="",$O369=""),"",$J369*($N369/100)*$O369*10)</f>
        <v/>
      </c>
      <c r="R369" s="18">
        <f>IF(OR(NOT(ISNUMBER($P369)),NOT(ISNUMBER($G369)),$G369=0),0,$P369/$G369)</f>
        <v/>
      </c>
      <c r="S369" s="18">
        <f>IF(OR($B369="",NOT(ISNUMBER($F369))),"",SUMIFS('3. Peat Data'!$P$5:$P$604,'3. Peat Data'!$B$5:$B$604,$B369,'3. Peat Data'!$F$5:$F$604,"&lt;="&amp;$F369))</f>
        <v/>
      </c>
      <c r="T369" s="18">
        <f>IF(AND($A369="",$B369="",$E369=""),"",IF(AND($B369&lt;&gt;"",COUNTIF('2. Core Log'!$A$5:$A$124,$B369)=0),"Core ID not in Core Log. ","")&amp;IF(AND($A369&lt;&gt;"",COUNTIF('1. Plot &amp; Site Log'!$A$5:$A$64,$A369)=0),"Plot ID not in Plot &amp; Site Log. ","")&amp;IF(AND(ISNUMBER($E369),ISNUMBER($F369),$F369&lt;=$E369),"Bottom depth is not below top depth. ","")&amp;IF($I369="","Say which bulk-density basis the lab reported. ","")&amp;IF(AND(ISNUMBER($J369),OR($J369&lt;QC_BD_MIN,$J369&gt;QC_BD_MAX)),"Bulk density outside "&amp;QC_BD_MIN&amp;"–"&amp;QC_BD_MAX&amp;" g/cm³ for peat. Above the top of that range usually means the mineral contact has been passed. ","")&amp;IF(AND(ISNUMBER($N369),$N369&gt;QC_CARBON_PCT_MAX),"Carbon above "&amp;QC_CARBON_PCT_MAX&amp;"% — check units; this may be organic matter rather than carbon. ","")&amp;IF(AND($L369&lt;&gt;"",$M369&lt;&gt;""),"Both LOI and measured carbon given — the measured value is used. ","")&amp;IF(AND($M369="",$L369&lt;&gt;"",OM_FACTOR_IS_LOCAL&lt;&gt;"Yes"),"Carbon derived from LOI using the default factor of "&amp;CARBON_FRACTION_OM&amp;", which has not been calibrated locally. See R1. Reference. ","")&amp;IF(AND(ISNUMBER($O369),$O369=0,ISNUMBER($E369)),"Section lies entirely below the reference depth — it counts to the full-profile stock only. ",""))</f>
        <v/>
      </c>
      <c r="U369" s="14" t="n"/>
    </row>
    <row r="370">
      <c r="A370" s="14" t="n"/>
      <c r="B370" s="14" t="n"/>
      <c r="C370" s="14" t="n"/>
      <c r="D370" s="14" t="n"/>
      <c r="E370" s="14" t="n"/>
      <c r="F370" s="14" t="n"/>
      <c r="G370" s="14">
        <f>IF(OR($E370="",$F370=""),"",$F370-$E370)</f>
        <v/>
      </c>
      <c r="H370" s="14" t="n"/>
      <c r="I370" s="14" t="n"/>
      <c r="J370" s="19" t="n"/>
      <c r="K370" s="19" t="n"/>
      <c r="L370" s="19" t="n"/>
      <c r="M370" s="19" t="n"/>
      <c r="N370" s="18">
        <f>IF($M370&lt;&gt;"",$M370,IF($L370&lt;&gt;"",$L370*CARBON_FRACTION_OM,""))</f>
        <v/>
      </c>
      <c r="O370" s="18">
        <f>IF(OR($E370="",$F370=""),"",MAX(0,MIN($F370,REFERENCE_DEPTH_CM)-MIN($E370,REFERENCE_DEPTH_CM)))</f>
        <v/>
      </c>
      <c r="P370" s="18">
        <f>IF(OR($J370="",$N370="",$G370=""),"",$J370*($N370/100)*$G370*10)</f>
        <v/>
      </c>
      <c r="Q370" s="18">
        <f>IF(OR($J370="",$N370="",$O370=""),"",$J370*($N370/100)*$O370*10)</f>
        <v/>
      </c>
      <c r="R370" s="18">
        <f>IF(OR(NOT(ISNUMBER($P370)),NOT(ISNUMBER($G370)),$G370=0),0,$P370/$G370)</f>
        <v/>
      </c>
      <c r="S370" s="18">
        <f>IF(OR($B370="",NOT(ISNUMBER($F370))),"",SUMIFS('3. Peat Data'!$P$5:$P$604,'3. Peat Data'!$B$5:$B$604,$B370,'3. Peat Data'!$F$5:$F$604,"&lt;="&amp;$F370))</f>
        <v/>
      </c>
      <c r="T370" s="18">
        <f>IF(AND($A370="",$B370="",$E370=""),"",IF(AND($B370&lt;&gt;"",COUNTIF('2. Core Log'!$A$5:$A$124,$B370)=0),"Core ID not in Core Log. ","")&amp;IF(AND($A370&lt;&gt;"",COUNTIF('1. Plot &amp; Site Log'!$A$5:$A$64,$A370)=0),"Plot ID not in Plot &amp; Site Log. ","")&amp;IF(AND(ISNUMBER($E370),ISNUMBER($F370),$F370&lt;=$E370),"Bottom depth is not below top depth. ","")&amp;IF($I370="","Say which bulk-density basis the lab reported. ","")&amp;IF(AND(ISNUMBER($J370),OR($J370&lt;QC_BD_MIN,$J370&gt;QC_BD_MAX)),"Bulk density outside "&amp;QC_BD_MIN&amp;"–"&amp;QC_BD_MAX&amp;" g/cm³ for peat. Above the top of that range usually means the mineral contact has been passed. ","")&amp;IF(AND(ISNUMBER($N370),$N370&gt;QC_CARBON_PCT_MAX),"Carbon above "&amp;QC_CARBON_PCT_MAX&amp;"% — check units; this may be organic matter rather than carbon. ","")&amp;IF(AND($L370&lt;&gt;"",$M370&lt;&gt;""),"Both LOI and measured carbon given — the measured value is used. ","")&amp;IF(AND($M370="",$L370&lt;&gt;"",OM_FACTOR_IS_LOCAL&lt;&gt;"Yes"),"Carbon derived from LOI using the default factor of "&amp;CARBON_FRACTION_OM&amp;", which has not been calibrated locally. See R1. Reference. ","")&amp;IF(AND(ISNUMBER($O370),$O370=0,ISNUMBER($E370)),"Section lies entirely below the reference depth — it counts to the full-profile stock only. ",""))</f>
        <v/>
      </c>
      <c r="U370" s="14" t="n"/>
    </row>
    <row r="371">
      <c r="A371" s="14" t="n"/>
      <c r="B371" s="14" t="n"/>
      <c r="C371" s="14" t="n"/>
      <c r="D371" s="14" t="n"/>
      <c r="E371" s="14" t="n"/>
      <c r="F371" s="14" t="n"/>
      <c r="G371" s="14">
        <f>IF(OR($E371="",$F371=""),"",$F371-$E371)</f>
        <v/>
      </c>
      <c r="H371" s="14" t="n"/>
      <c r="I371" s="14" t="n"/>
      <c r="J371" s="19" t="n"/>
      <c r="K371" s="19" t="n"/>
      <c r="L371" s="19" t="n"/>
      <c r="M371" s="19" t="n"/>
      <c r="N371" s="18">
        <f>IF($M371&lt;&gt;"",$M371,IF($L371&lt;&gt;"",$L371*CARBON_FRACTION_OM,""))</f>
        <v/>
      </c>
      <c r="O371" s="18">
        <f>IF(OR($E371="",$F371=""),"",MAX(0,MIN($F371,REFERENCE_DEPTH_CM)-MIN($E371,REFERENCE_DEPTH_CM)))</f>
        <v/>
      </c>
      <c r="P371" s="18">
        <f>IF(OR($J371="",$N371="",$G371=""),"",$J371*($N371/100)*$G371*10)</f>
        <v/>
      </c>
      <c r="Q371" s="18">
        <f>IF(OR($J371="",$N371="",$O371=""),"",$J371*($N371/100)*$O371*10)</f>
        <v/>
      </c>
      <c r="R371" s="18">
        <f>IF(OR(NOT(ISNUMBER($P371)),NOT(ISNUMBER($G371)),$G371=0),0,$P371/$G371)</f>
        <v/>
      </c>
      <c r="S371" s="18">
        <f>IF(OR($B371="",NOT(ISNUMBER($F371))),"",SUMIFS('3. Peat Data'!$P$5:$P$604,'3. Peat Data'!$B$5:$B$604,$B371,'3. Peat Data'!$F$5:$F$604,"&lt;="&amp;$F371))</f>
        <v/>
      </c>
      <c r="T371" s="18">
        <f>IF(AND($A371="",$B371="",$E371=""),"",IF(AND($B371&lt;&gt;"",COUNTIF('2. Core Log'!$A$5:$A$124,$B371)=0),"Core ID not in Core Log. ","")&amp;IF(AND($A371&lt;&gt;"",COUNTIF('1. Plot &amp; Site Log'!$A$5:$A$64,$A371)=0),"Plot ID not in Plot &amp; Site Log. ","")&amp;IF(AND(ISNUMBER($E371),ISNUMBER($F371),$F371&lt;=$E371),"Bottom depth is not below top depth. ","")&amp;IF($I371="","Say which bulk-density basis the lab reported. ","")&amp;IF(AND(ISNUMBER($J371),OR($J371&lt;QC_BD_MIN,$J371&gt;QC_BD_MAX)),"Bulk density outside "&amp;QC_BD_MIN&amp;"–"&amp;QC_BD_MAX&amp;" g/cm³ for peat. Above the top of that range usually means the mineral contact has been passed. ","")&amp;IF(AND(ISNUMBER($N371),$N371&gt;QC_CARBON_PCT_MAX),"Carbon above "&amp;QC_CARBON_PCT_MAX&amp;"% — check units; this may be organic matter rather than carbon. ","")&amp;IF(AND($L371&lt;&gt;"",$M371&lt;&gt;""),"Both LOI and measured carbon given — the measured value is used. ","")&amp;IF(AND($M371="",$L371&lt;&gt;"",OM_FACTOR_IS_LOCAL&lt;&gt;"Yes"),"Carbon derived from LOI using the default factor of "&amp;CARBON_FRACTION_OM&amp;", which has not been calibrated locally. See R1. Reference. ","")&amp;IF(AND(ISNUMBER($O371),$O371=0,ISNUMBER($E371)),"Section lies entirely below the reference depth — it counts to the full-profile stock only. ",""))</f>
        <v/>
      </c>
      <c r="U371" s="14" t="n"/>
    </row>
    <row r="372">
      <c r="A372" s="14" t="n"/>
      <c r="B372" s="14" t="n"/>
      <c r="C372" s="14" t="n"/>
      <c r="D372" s="14" t="n"/>
      <c r="E372" s="14" t="n"/>
      <c r="F372" s="14" t="n"/>
      <c r="G372" s="14">
        <f>IF(OR($E372="",$F372=""),"",$F372-$E372)</f>
        <v/>
      </c>
      <c r="H372" s="14" t="n"/>
      <c r="I372" s="14" t="n"/>
      <c r="J372" s="19" t="n"/>
      <c r="K372" s="19" t="n"/>
      <c r="L372" s="19" t="n"/>
      <c r="M372" s="19" t="n"/>
      <c r="N372" s="18">
        <f>IF($M372&lt;&gt;"",$M372,IF($L372&lt;&gt;"",$L372*CARBON_FRACTION_OM,""))</f>
        <v/>
      </c>
      <c r="O372" s="18">
        <f>IF(OR($E372="",$F372=""),"",MAX(0,MIN($F372,REFERENCE_DEPTH_CM)-MIN($E372,REFERENCE_DEPTH_CM)))</f>
        <v/>
      </c>
      <c r="P372" s="18">
        <f>IF(OR($J372="",$N372="",$G372=""),"",$J372*($N372/100)*$G372*10)</f>
        <v/>
      </c>
      <c r="Q372" s="18">
        <f>IF(OR($J372="",$N372="",$O372=""),"",$J372*($N372/100)*$O372*10)</f>
        <v/>
      </c>
      <c r="R372" s="18">
        <f>IF(OR(NOT(ISNUMBER($P372)),NOT(ISNUMBER($G372)),$G372=0),0,$P372/$G372)</f>
        <v/>
      </c>
      <c r="S372" s="18">
        <f>IF(OR($B372="",NOT(ISNUMBER($F372))),"",SUMIFS('3. Peat Data'!$P$5:$P$604,'3. Peat Data'!$B$5:$B$604,$B372,'3. Peat Data'!$F$5:$F$604,"&lt;="&amp;$F372))</f>
        <v/>
      </c>
      <c r="T372" s="18">
        <f>IF(AND($A372="",$B372="",$E372=""),"",IF(AND($B372&lt;&gt;"",COUNTIF('2. Core Log'!$A$5:$A$124,$B372)=0),"Core ID not in Core Log. ","")&amp;IF(AND($A372&lt;&gt;"",COUNTIF('1. Plot &amp; Site Log'!$A$5:$A$64,$A372)=0),"Plot ID not in Plot &amp; Site Log. ","")&amp;IF(AND(ISNUMBER($E372),ISNUMBER($F372),$F372&lt;=$E372),"Bottom depth is not below top depth. ","")&amp;IF($I372="","Say which bulk-density basis the lab reported. ","")&amp;IF(AND(ISNUMBER($J372),OR($J372&lt;QC_BD_MIN,$J372&gt;QC_BD_MAX)),"Bulk density outside "&amp;QC_BD_MIN&amp;"–"&amp;QC_BD_MAX&amp;" g/cm³ for peat. Above the top of that range usually means the mineral contact has been passed. ","")&amp;IF(AND(ISNUMBER($N372),$N372&gt;QC_CARBON_PCT_MAX),"Carbon above "&amp;QC_CARBON_PCT_MAX&amp;"% — check units; this may be organic matter rather than carbon. ","")&amp;IF(AND($L372&lt;&gt;"",$M372&lt;&gt;""),"Both LOI and measured carbon given — the measured value is used. ","")&amp;IF(AND($M372="",$L372&lt;&gt;"",OM_FACTOR_IS_LOCAL&lt;&gt;"Yes"),"Carbon derived from LOI using the default factor of "&amp;CARBON_FRACTION_OM&amp;", which has not been calibrated locally. See R1. Reference. ","")&amp;IF(AND(ISNUMBER($O372),$O372=0,ISNUMBER($E372)),"Section lies entirely below the reference depth — it counts to the full-profile stock only. ",""))</f>
        <v/>
      </c>
      <c r="U372" s="14" t="n"/>
    </row>
    <row r="373">
      <c r="A373" s="14" t="n"/>
      <c r="B373" s="14" t="n"/>
      <c r="C373" s="14" t="n"/>
      <c r="D373" s="14" t="n"/>
      <c r="E373" s="14" t="n"/>
      <c r="F373" s="14" t="n"/>
      <c r="G373" s="14">
        <f>IF(OR($E373="",$F373=""),"",$F373-$E373)</f>
        <v/>
      </c>
      <c r="H373" s="14" t="n"/>
      <c r="I373" s="14" t="n"/>
      <c r="J373" s="19" t="n"/>
      <c r="K373" s="19" t="n"/>
      <c r="L373" s="19" t="n"/>
      <c r="M373" s="19" t="n"/>
      <c r="N373" s="18">
        <f>IF($M373&lt;&gt;"",$M373,IF($L373&lt;&gt;"",$L373*CARBON_FRACTION_OM,""))</f>
        <v/>
      </c>
      <c r="O373" s="18">
        <f>IF(OR($E373="",$F373=""),"",MAX(0,MIN($F373,REFERENCE_DEPTH_CM)-MIN($E373,REFERENCE_DEPTH_CM)))</f>
        <v/>
      </c>
      <c r="P373" s="18">
        <f>IF(OR($J373="",$N373="",$G373=""),"",$J373*($N373/100)*$G373*10)</f>
        <v/>
      </c>
      <c r="Q373" s="18">
        <f>IF(OR($J373="",$N373="",$O373=""),"",$J373*($N373/100)*$O373*10)</f>
        <v/>
      </c>
      <c r="R373" s="18">
        <f>IF(OR(NOT(ISNUMBER($P373)),NOT(ISNUMBER($G373)),$G373=0),0,$P373/$G373)</f>
        <v/>
      </c>
      <c r="S373" s="18">
        <f>IF(OR($B373="",NOT(ISNUMBER($F373))),"",SUMIFS('3. Peat Data'!$P$5:$P$604,'3. Peat Data'!$B$5:$B$604,$B373,'3. Peat Data'!$F$5:$F$604,"&lt;="&amp;$F373))</f>
        <v/>
      </c>
      <c r="T373" s="18">
        <f>IF(AND($A373="",$B373="",$E373=""),"",IF(AND($B373&lt;&gt;"",COUNTIF('2. Core Log'!$A$5:$A$124,$B373)=0),"Core ID not in Core Log. ","")&amp;IF(AND($A373&lt;&gt;"",COUNTIF('1. Plot &amp; Site Log'!$A$5:$A$64,$A373)=0),"Plot ID not in Plot &amp; Site Log. ","")&amp;IF(AND(ISNUMBER($E373),ISNUMBER($F373),$F373&lt;=$E373),"Bottom depth is not below top depth. ","")&amp;IF($I373="","Say which bulk-density basis the lab reported. ","")&amp;IF(AND(ISNUMBER($J373),OR($J373&lt;QC_BD_MIN,$J373&gt;QC_BD_MAX)),"Bulk density outside "&amp;QC_BD_MIN&amp;"–"&amp;QC_BD_MAX&amp;" g/cm³ for peat. Above the top of that range usually means the mineral contact has been passed. ","")&amp;IF(AND(ISNUMBER($N373),$N373&gt;QC_CARBON_PCT_MAX),"Carbon above "&amp;QC_CARBON_PCT_MAX&amp;"% — check units; this may be organic matter rather than carbon. ","")&amp;IF(AND($L373&lt;&gt;"",$M373&lt;&gt;""),"Both LOI and measured carbon given — the measured value is used. ","")&amp;IF(AND($M373="",$L373&lt;&gt;"",OM_FACTOR_IS_LOCAL&lt;&gt;"Yes"),"Carbon derived from LOI using the default factor of "&amp;CARBON_FRACTION_OM&amp;", which has not been calibrated locally. See R1. Reference. ","")&amp;IF(AND(ISNUMBER($O373),$O373=0,ISNUMBER($E373)),"Section lies entirely below the reference depth — it counts to the full-profile stock only. ",""))</f>
        <v/>
      </c>
      <c r="U373" s="14" t="n"/>
    </row>
    <row r="374">
      <c r="A374" s="14" t="n"/>
      <c r="B374" s="14" t="n"/>
      <c r="C374" s="14" t="n"/>
      <c r="D374" s="14" t="n"/>
      <c r="E374" s="14" t="n"/>
      <c r="F374" s="14" t="n"/>
      <c r="G374" s="14">
        <f>IF(OR($E374="",$F374=""),"",$F374-$E374)</f>
        <v/>
      </c>
      <c r="H374" s="14" t="n"/>
      <c r="I374" s="14" t="n"/>
      <c r="J374" s="19" t="n"/>
      <c r="K374" s="19" t="n"/>
      <c r="L374" s="19" t="n"/>
      <c r="M374" s="19" t="n"/>
      <c r="N374" s="18">
        <f>IF($M374&lt;&gt;"",$M374,IF($L374&lt;&gt;"",$L374*CARBON_FRACTION_OM,""))</f>
        <v/>
      </c>
      <c r="O374" s="18">
        <f>IF(OR($E374="",$F374=""),"",MAX(0,MIN($F374,REFERENCE_DEPTH_CM)-MIN($E374,REFERENCE_DEPTH_CM)))</f>
        <v/>
      </c>
      <c r="P374" s="18">
        <f>IF(OR($J374="",$N374="",$G374=""),"",$J374*($N374/100)*$G374*10)</f>
        <v/>
      </c>
      <c r="Q374" s="18">
        <f>IF(OR($J374="",$N374="",$O374=""),"",$J374*($N374/100)*$O374*10)</f>
        <v/>
      </c>
      <c r="R374" s="18">
        <f>IF(OR(NOT(ISNUMBER($P374)),NOT(ISNUMBER($G374)),$G374=0),0,$P374/$G374)</f>
        <v/>
      </c>
      <c r="S374" s="18">
        <f>IF(OR($B374="",NOT(ISNUMBER($F374))),"",SUMIFS('3. Peat Data'!$P$5:$P$604,'3. Peat Data'!$B$5:$B$604,$B374,'3. Peat Data'!$F$5:$F$604,"&lt;="&amp;$F374))</f>
        <v/>
      </c>
      <c r="T374" s="18">
        <f>IF(AND($A374="",$B374="",$E374=""),"",IF(AND($B374&lt;&gt;"",COUNTIF('2. Core Log'!$A$5:$A$124,$B374)=0),"Core ID not in Core Log. ","")&amp;IF(AND($A374&lt;&gt;"",COUNTIF('1. Plot &amp; Site Log'!$A$5:$A$64,$A374)=0),"Plot ID not in Plot &amp; Site Log. ","")&amp;IF(AND(ISNUMBER($E374),ISNUMBER($F374),$F374&lt;=$E374),"Bottom depth is not below top depth. ","")&amp;IF($I374="","Say which bulk-density basis the lab reported. ","")&amp;IF(AND(ISNUMBER($J374),OR($J374&lt;QC_BD_MIN,$J374&gt;QC_BD_MAX)),"Bulk density outside "&amp;QC_BD_MIN&amp;"–"&amp;QC_BD_MAX&amp;" g/cm³ for peat. Above the top of that range usually means the mineral contact has been passed. ","")&amp;IF(AND(ISNUMBER($N374),$N374&gt;QC_CARBON_PCT_MAX),"Carbon above "&amp;QC_CARBON_PCT_MAX&amp;"% — check units; this may be organic matter rather than carbon. ","")&amp;IF(AND($L374&lt;&gt;"",$M374&lt;&gt;""),"Both LOI and measured carbon given — the measured value is used. ","")&amp;IF(AND($M374="",$L374&lt;&gt;"",OM_FACTOR_IS_LOCAL&lt;&gt;"Yes"),"Carbon derived from LOI using the default factor of "&amp;CARBON_FRACTION_OM&amp;", which has not been calibrated locally. See R1. Reference. ","")&amp;IF(AND(ISNUMBER($O374),$O374=0,ISNUMBER($E374)),"Section lies entirely below the reference depth — it counts to the full-profile stock only. ",""))</f>
        <v/>
      </c>
      <c r="U374" s="14" t="n"/>
    </row>
    <row r="375">
      <c r="A375" s="14" t="n"/>
      <c r="B375" s="14" t="n"/>
      <c r="C375" s="14" t="n"/>
      <c r="D375" s="14" t="n"/>
      <c r="E375" s="14" t="n"/>
      <c r="F375" s="14" t="n"/>
      <c r="G375" s="14">
        <f>IF(OR($E375="",$F375=""),"",$F375-$E375)</f>
        <v/>
      </c>
      <c r="H375" s="14" t="n"/>
      <c r="I375" s="14" t="n"/>
      <c r="J375" s="19" t="n"/>
      <c r="K375" s="19" t="n"/>
      <c r="L375" s="19" t="n"/>
      <c r="M375" s="19" t="n"/>
      <c r="N375" s="18">
        <f>IF($M375&lt;&gt;"",$M375,IF($L375&lt;&gt;"",$L375*CARBON_FRACTION_OM,""))</f>
        <v/>
      </c>
      <c r="O375" s="18">
        <f>IF(OR($E375="",$F375=""),"",MAX(0,MIN($F375,REFERENCE_DEPTH_CM)-MIN($E375,REFERENCE_DEPTH_CM)))</f>
        <v/>
      </c>
      <c r="P375" s="18">
        <f>IF(OR($J375="",$N375="",$G375=""),"",$J375*($N375/100)*$G375*10)</f>
        <v/>
      </c>
      <c r="Q375" s="18">
        <f>IF(OR($J375="",$N375="",$O375=""),"",$J375*($N375/100)*$O375*10)</f>
        <v/>
      </c>
      <c r="R375" s="18">
        <f>IF(OR(NOT(ISNUMBER($P375)),NOT(ISNUMBER($G375)),$G375=0),0,$P375/$G375)</f>
        <v/>
      </c>
      <c r="S375" s="18">
        <f>IF(OR($B375="",NOT(ISNUMBER($F375))),"",SUMIFS('3. Peat Data'!$P$5:$P$604,'3. Peat Data'!$B$5:$B$604,$B375,'3. Peat Data'!$F$5:$F$604,"&lt;="&amp;$F375))</f>
        <v/>
      </c>
      <c r="T375" s="18">
        <f>IF(AND($A375="",$B375="",$E375=""),"",IF(AND($B375&lt;&gt;"",COUNTIF('2. Core Log'!$A$5:$A$124,$B375)=0),"Core ID not in Core Log. ","")&amp;IF(AND($A375&lt;&gt;"",COUNTIF('1. Plot &amp; Site Log'!$A$5:$A$64,$A375)=0),"Plot ID not in Plot &amp; Site Log. ","")&amp;IF(AND(ISNUMBER($E375),ISNUMBER($F375),$F375&lt;=$E375),"Bottom depth is not below top depth. ","")&amp;IF($I375="","Say which bulk-density basis the lab reported. ","")&amp;IF(AND(ISNUMBER($J375),OR($J375&lt;QC_BD_MIN,$J375&gt;QC_BD_MAX)),"Bulk density outside "&amp;QC_BD_MIN&amp;"–"&amp;QC_BD_MAX&amp;" g/cm³ for peat. Above the top of that range usually means the mineral contact has been passed. ","")&amp;IF(AND(ISNUMBER($N375),$N375&gt;QC_CARBON_PCT_MAX),"Carbon above "&amp;QC_CARBON_PCT_MAX&amp;"% — check units; this may be organic matter rather than carbon. ","")&amp;IF(AND($L375&lt;&gt;"",$M375&lt;&gt;""),"Both LOI and measured carbon given — the measured value is used. ","")&amp;IF(AND($M375="",$L375&lt;&gt;"",OM_FACTOR_IS_LOCAL&lt;&gt;"Yes"),"Carbon derived from LOI using the default factor of "&amp;CARBON_FRACTION_OM&amp;", which has not been calibrated locally. See R1. Reference. ","")&amp;IF(AND(ISNUMBER($O375),$O375=0,ISNUMBER($E375)),"Section lies entirely below the reference depth — it counts to the full-profile stock only. ",""))</f>
        <v/>
      </c>
      <c r="U375" s="14" t="n"/>
    </row>
    <row r="376">
      <c r="A376" s="14" t="n"/>
      <c r="B376" s="14" t="n"/>
      <c r="C376" s="14" t="n"/>
      <c r="D376" s="14" t="n"/>
      <c r="E376" s="14" t="n"/>
      <c r="F376" s="14" t="n"/>
      <c r="G376" s="14">
        <f>IF(OR($E376="",$F376=""),"",$F376-$E376)</f>
        <v/>
      </c>
      <c r="H376" s="14" t="n"/>
      <c r="I376" s="14" t="n"/>
      <c r="J376" s="19" t="n"/>
      <c r="K376" s="19" t="n"/>
      <c r="L376" s="19" t="n"/>
      <c r="M376" s="19" t="n"/>
      <c r="N376" s="18">
        <f>IF($M376&lt;&gt;"",$M376,IF($L376&lt;&gt;"",$L376*CARBON_FRACTION_OM,""))</f>
        <v/>
      </c>
      <c r="O376" s="18">
        <f>IF(OR($E376="",$F376=""),"",MAX(0,MIN($F376,REFERENCE_DEPTH_CM)-MIN($E376,REFERENCE_DEPTH_CM)))</f>
        <v/>
      </c>
      <c r="P376" s="18">
        <f>IF(OR($J376="",$N376="",$G376=""),"",$J376*($N376/100)*$G376*10)</f>
        <v/>
      </c>
      <c r="Q376" s="18">
        <f>IF(OR($J376="",$N376="",$O376=""),"",$J376*($N376/100)*$O376*10)</f>
        <v/>
      </c>
      <c r="R376" s="18">
        <f>IF(OR(NOT(ISNUMBER($P376)),NOT(ISNUMBER($G376)),$G376=0),0,$P376/$G376)</f>
        <v/>
      </c>
      <c r="S376" s="18">
        <f>IF(OR($B376="",NOT(ISNUMBER($F376))),"",SUMIFS('3. Peat Data'!$P$5:$P$604,'3. Peat Data'!$B$5:$B$604,$B376,'3. Peat Data'!$F$5:$F$604,"&lt;="&amp;$F376))</f>
        <v/>
      </c>
      <c r="T376" s="18">
        <f>IF(AND($A376="",$B376="",$E376=""),"",IF(AND($B376&lt;&gt;"",COUNTIF('2. Core Log'!$A$5:$A$124,$B376)=0),"Core ID not in Core Log. ","")&amp;IF(AND($A376&lt;&gt;"",COUNTIF('1. Plot &amp; Site Log'!$A$5:$A$64,$A376)=0),"Plot ID not in Plot &amp; Site Log. ","")&amp;IF(AND(ISNUMBER($E376),ISNUMBER($F376),$F376&lt;=$E376),"Bottom depth is not below top depth. ","")&amp;IF($I376="","Say which bulk-density basis the lab reported. ","")&amp;IF(AND(ISNUMBER($J376),OR($J376&lt;QC_BD_MIN,$J376&gt;QC_BD_MAX)),"Bulk density outside "&amp;QC_BD_MIN&amp;"–"&amp;QC_BD_MAX&amp;" g/cm³ for peat. Above the top of that range usually means the mineral contact has been passed. ","")&amp;IF(AND(ISNUMBER($N376),$N376&gt;QC_CARBON_PCT_MAX),"Carbon above "&amp;QC_CARBON_PCT_MAX&amp;"% — check units; this may be organic matter rather than carbon. ","")&amp;IF(AND($L376&lt;&gt;"",$M376&lt;&gt;""),"Both LOI and measured carbon given — the measured value is used. ","")&amp;IF(AND($M376="",$L376&lt;&gt;"",OM_FACTOR_IS_LOCAL&lt;&gt;"Yes"),"Carbon derived from LOI using the default factor of "&amp;CARBON_FRACTION_OM&amp;", which has not been calibrated locally. See R1. Reference. ","")&amp;IF(AND(ISNUMBER($O376),$O376=0,ISNUMBER($E376)),"Section lies entirely below the reference depth — it counts to the full-profile stock only. ",""))</f>
        <v/>
      </c>
      <c r="U376" s="14" t="n"/>
    </row>
    <row r="377">
      <c r="A377" s="14" t="n"/>
      <c r="B377" s="14" t="n"/>
      <c r="C377" s="14" t="n"/>
      <c r="D377" s="14" t="n"/>
      <c r="E377" s="14" t="n"/>
      <c r="F377" s="14" t="n"/>
      <c r="G377" s="14">
        <f>IF(OR($E377="",$F377=""),"",$F377-$E377)</f>
        <v/>
      </c>
      <c r="H377" s="14" t="n"/>
      <c r="I377" s="14" t="n"/>
      <c r="J377" s="19" t="n"/>
      <c r="K377" s="19" t="n"/>
      <c r="L377" s="19" t="n"/>
      <c r="M377" s="19" t="n"/>
      <c r="N377" s="18">
        <f>IF($M377&lt;&gt;"",$M377,IF($L377&lt;&gt;"",$L377*CARBON_FRACTION_OM,""))</f>
        <v/>
      </c>
      <c r="O377" s="18">
        <f>IF(OR($E377="",$F377=""),"",MAX(0,MIN($F377,REFERENCE_DEPTH_CM)-MIN($E377,REFERENCE_DEPTH_CM)))</f>
        <v/>
      </c>
      <c r="P377" s="18">
        <f>IF(OR($J377="",$N377="",$G377=""),"",$J377*($N377/100)*$G377*10)</f>
        <v/>
      </c>
      <c r="Q377" s="18">
        <f>IF(OR($J377="",$N377="",$O377=""),"",$J377*($N377/100)*$O377*10)</f>
        <v/>
      </c>
      <c r="R377" s="18">
        <f>IF(OR(NOT(ISNUMBER($P377)),NOT(ISNUMBER($G377)),$G377=0),0,$P377/$G377)</f>
        <v/>
      </c>
      <c r="S377" s="18">
        <f>IF(OR($B377="",NOT(ISNUMBER($F377))),"",SUMIFS('3. Peat Data'!$P$5:$P$604,'3. Peat Data'!$B$5:$B$604,$B377,'3. Peat Data'!$F$5:$F$604,"&lt;="&amp;$F377))</f>
        <v/>
      </c>
      <c r="T377" s="18">
        <f>IF(AND($A377="",$B377="",$E377=""),"",IF(AND($B377&lt;&gt;"",COUNTIF('2. Core Log'!$A$5:$A$124,$B377)=0),"Core ID not in Core Log. ","")&amp;IF(AND($A377&lt;&gt;"",COUNTIF('1. Plot &amp; Site Log'!$A$5:$A$64,$A377)=0),"Plot ID not in Plot &amp; Site Log. ","")&amp;IF(AND(ISNUMBER($E377),ISNUMBER($F377),$F377&lt;=$E377),"Bottom depth is not below top depth. ","")&amp;IF($I377="","Say which bulk-density basis the lab reported. ","")&amp;IF(AND(ISNUMBER($J377),OR($J377&lt;QC_BD_MIN,$J377&gt;QC_BD_MAX)),"Bulk density outside "&amp;QC_BD_MIN&amp;"–"&amp;QC_BD_MAX&amp;" g/cm³ for peat. Above the top of that range usually means the mineral contact has been passed. ","")&amp;IF(AND(ISNUMBER($N377),$N377&gt;QC_CARBON_PCT_MAX),"Carbon above "&amp;QC_CARBON_PCT_MAX&amp;"% — check units; this may be organic matter rather than carbon. ","")&amp;IF(AND($L377&lt;&gt;"",$M377&lt;&gt;""),"Both LOI and measured carbon given — the measured value is used. ","")&amp;IF(AND($M377="",$L377&lt;&gt;"",OM_FACTOR_IS_LOCAL&lt;&gt;"Yes"),"Carbon derived from LOI using the default factor of "&amp;CARBON_FRACTION_OM&amp;", which has not been calibrated locally. See R1. Reference. ","")&amp;IF(AND(ISNUMBER($O377),$O377=0,ISNUMBER($E377)),"Section lies entirely below the reference depth — it counts to the full-profile stock only. ",""))</f>
        <v/>
      </c>
      <c r="U377" s="14" t="n"/>
    </row>
    <row r="378">
      <c r="A378" s="14" t="n"/>
      <c r="B378" s="14" t="n"/>
      <c r="C378" s="14" t="n"/>
      <c r="D378" s="14" t="n"/>
      <c r="E378" s="14" t="n"/>
      <c r="F378" s="14" t="n"/>
      <c r="G378" s="14">
        <f>IF(OR($E378="",$F378=""),"",$F378-$E378)</f>
        <v/>
      </c>
      <c r="H378" s="14" t="n"/>
      <c r="I378" s="14" t="n"/>
      <c r="J378" s="19" t="n"/>
      <c r="K378" s="19" t="n"/>
      <c r="L378" s="19" t="n"/>
      <c r="M378" s="19" t="n"/>
      <c r="N378" s="18">
        <f>IF($M378&lt;&gt;"",$M378,IF($L378&lt;&gt;"",$L378*CARBON_FRACTION_OM,""))</f>
        <v/>
      </c>
      <c r="O378" s="18">
        <f>IF(OR($E378="",$F378=""),"",MAX(0,MIN($F378,REFERENCE_DEPTH_CM)-MIN($E378,REFERENCE_DEPTH_CM)))</f>
        <v/>
      </c>
      <c r="P378" s="18">
        <f>IF(OR($J378="",$N378="",$G378=""),"",$J378*($N378/100)*$G378*10)</f>
        <v/>
      </c>
      <c r="Q378" s="18">
        <f>IF(OR($J378="",$N378="",$O378=""),"",$J378*($N378/100)*$O378*10)</f>
        <v/>
      </c>
      <c r="R378" s="18">
        <f>IF(OR(NOT(ISNUMBER($P378)),NOT(ISNUMBER($G378)),$G378=0),0,$P378/$G378)</f>
        <v/>
      </c>
      <c r="S378" s="18">
        <f>IF(OR($B378="",NOT(ISNUMBER($F378))),"",SUMIFS('3. Peat Data'!$P$5:$P$604,'3. Peat Data'!$B$5:$B$604,$B378,'3. Peat Data'!$F$5:$F$604,"&lt;="&amp;$F378))</f>
        <v/>
      </c>
      <c r="T378" s="18">
        <f>IF(AND($A378="",$B378="",$E378=""),"",IF(AND($B378&lt;&gt;"",COUNTIF('2. Core Log'!$A$5:$A$124,$B378)=0),"Core ID not in Core Log. ","")&amp;IF(AND($A378&lt;&gt;"",COUNTIF('1. Plot &amp; Site Log'!$A$5:$A$64,$A378)=0),"Plot ID not in Plot &amp; Site Log. ","")&amp;IF(AND(ISNUMBER($E378),ISNUMBER($F378),$F378&lt;=$E378),"Bottom depth is not below top depth. ","")&amp;IF($I378="","Say which bulk-density basis the lab reported. ","")&amp;IF(AND(ISNUMBER($J378),OR($J378&lt;QC_BD_MIN,$J378&gt;QC_BD_MAX)),"Bulk density outside "&amp;QC_BD_MIN&amp;"–"&amp;QC_BD_MAX&amp;" g/cm³ for peat. Above the top of that range usually means the mineral contact has been passed. ","")&amp;IF(AND(ISNUMBER($N378),$N378&gt;QC_CARBON_PCT_MAX),"Carbon above "&amp;QC_CARBON_PCT_MAX&amp;"% — check units; this may be organic matter rather than carbon. ","")&amp;IF(AND($L378&lt;&gt;"",$M378&lt;&gt;""),"Both LOI and measured carbon given — the measured value is used. ","")&amp;IF(AND($M378="",$L378&lt;&gt;"",OM_FACTOR_IS_LOCAL&lt;&gt;"Yes"),"Carbon derived from LOI using the default factor of "&amp;CARBON_FRACTION_OM&amp;", which has not been calibrated locally. See R1. Reference. ","")&amp;IF(AND(ISNUMBER($O378),$O378=0,ISNUMBER($E378)),"Section lies entirely below the reference depth — it counts to the full-profile stock only. ",""))</f>
        <v/>
      </c>
      <c r="U378" s="14" t="n"/>
    </row>
    <row r="379">
      <c r="A379" s="14" t="n"/>
      <c r="B379" s="14" t="n"/>
      <c r="C379" s="14" t="n"/>
      <c r="D379" s="14" t="n"/>
      <c r="E379" s="14" t="n"/>
      <c r="F379" s="14" t="n"/>
      <c r="G379" s="14">
        <f>IF(OR($E379="",$F379=""),"",$F379-$E379)</f>
        <v/>
      </c>
      <c r="H379" s="14" t="n"/>
      <c r="I379" s="14" t="n"/>
      <c r="J379" s="19" t="n"/>
      <c r="K379" s="19" t="n"/>
      <c r="L379" s="19" t="n"/>
      <c r="M379" s="19" t="n"/>
      <c r="N379" s="18">
        <f>IF($M379&lt;&gt;"",$M379,IF($L379&lt;&gt;"",$L379*CARBON_FRACTION_OM,""))</f>
        <v/>
      </c>
      <c r="O379" s="18">
        <f>IF(OR($E379="",$F379=""),"",MAX(0,MIN($F379,REFERENCE_DEPTH_CM)-MIN($E379,REFERENCE_DEPTH_CM)))</f>
        <v/>
      </c>
      <c r="P379" s="18">
        <f>IF(OR($J379="",$N379="",$G379=""),"",$J379*($N379/100)*$G379*10)</f>
        <v/>
      </c>
      <c r="Q379" s="18">
        <f>IF(OR($J379="",$N379="",$O379=""),"",$J379*($N379/100)*$O379*10)</f>
        <v/>
      </c>
      <c r="R379" s="18">
        <f>IF(OR(NOT(ISNUMBER($P379)),NOT(ISNUMBER($G379)),$G379=0),0,$P379/$G379)</f>
        <v/>
      </c>
      <c r="S379" s="18">
        <f>IF(OR($B379="",NOT(ISNUMBER($F379))),"",SUMIFS('3. Peat Data'!$P$5:$P$604,'3. Peat Data'!$B$5:$B$604,$B379,'3. Peat Data'!$F$5:$F$604,"&lt;="&amp;$F379))</f>
        <v/>
      </c>
      <c r="T379" s="18">
        <f>IF(AND($A379="",$B379="",$E379=""),"",IF(AND($B379&lt;&gt;"",COUNTIF('2. Core Log'!$A$5:$A$124,$B379)=0),"Core ID not in Core Log. ","")&amp;IF(AND($A379&lt;&gt;"",COUNTIF('1. Plot &amp; Site Log'!$A$5:$A$64,$A379)=0),"Plot ID not in Plot &amp; Site Log. ","")&amp;IF(AND(ISNUMBER($E379),ISNUMBER($F379),$F379&lt;=$E379),"Bottom depth is not below top depth. ","")&amp;IF($I379="","Say which bulk-density basis the lab reported. ","")&amp;IF(AND(ISNUMBER($J379),OR($J379&lt;QC_BD_MIN,$J379&gt;QC_BD_MAX)),"Bulk density outside "&amp;QC_BD_MIN&amp;"–"&amp;QC_BD_MAX&amp;" g/cm³ for peat. Above the top of that range usually means the mineral contact has been passed. ","")&amp;IF(AND(ISNUMBER($N379),$N379&gt;QC_CARBON_PCT_MAX),"Carbon above "&amp;QC_CARBON_PCT_MAX&amp;"% — check units; this may be organic matter rather than carbon. ","")&amp;IF(AND($L379&lt;&gt;"",$M379&lt;&gt;""),"Both LOI and measured carbon given — the measured value is used. ","")&amp;IF(AND($M379="",$L379&lt;&gt;"",OM_FACTOR_IS_LOCAL&lt;&gt;"Yes"),"Carbon derived from LOI using the default factor of "&amp;CARBON_FRACTION_OM&amp;", which has not been calibrated locally. See R1. Reference. ","")&amp;IF(AND(ISNUMBER($O379),$O379=0,ISNUMBER($E379)),"Section lies entirely below the reference depth — it counts to the full-profile stock only. ",""))</f>
        <v/>
      </c>
      <c r="U379" s="14" t="n"/>
    </row>
    <row r="380">
      <c r="A380" s="14" t="n"/>
      <c r="B380" s="14" t="n"/>
      <c r="C380" s="14" t="n"/>
      <c r="D380" s="14" t="n"/>
      <c r="E380" s="14" t="n"/>
      <c r="F380" s="14" t="n"/>
      <c r="G380" s="14">
        <f>IF(OR($E380="",$F380=""),"",$F380-$E380)</f>
        <v/>
      </c>
      <c r="H380" s="14" t="n"/>
      <c r="I380" s="14" t="n"/>
      <c r="J380" s="19" t="n"/>
      <c r="K380" s="19" t="n"/>
      <c r="L380" s="19" t="n"/>
      <c r="M380" s="19" t="n"/>
      <c r="N380" s="18">
        <f>IF($M380&lt;&gt;"",$M380,IF($L380&lt;&gt;"",$L380*CARBON_FRACTION_OM,""))</f>
        <v/>
      </c>
      <c r="O380" s="18">
        <f>IF(OR($E380="",$F380=""),"",MAX(0,MIN($F380,REFERENCE_DEPTH_CM)-MIN($E380,REFERENCE_DEPTH_CM)))</f>
        <v/>
      </c>
      <c r="P380" s="18">
        <f>IF(OR($J380="",$N380="",$G380=""),"",$J380*($N380/100)*$G380*10)</f>
        <v/>
      </c>
      <c r="Q380" s="18">
        <f>IF(OR($J380="",$N380="",$O380=""),"",$J380*($N380/100)*$O380*10)</f>
        <v/>
      </c>
      <c r="R380" s="18">
        <f>IF(OR(NOT(ISNUMBER($P380)),NOT(ISNUMBER($G380)),$G380=0),0,$P380/$G380)</f>
        <v/>
      </c>
      <c r="S380" s="18">
        <f>IF(OR($B380="",NOT(ISNUMBER($F380))),"",SUMIFS('3. Peat Data'!$P$5:$P$604,'3. Peat Data'!$B$5:$B$604,$B380,'3. Peat Data'!$F$5:$F$604,"&lt;="&amp;$F380))</f>
        <v/>
      </c>
      <c r="T380" s="18">
        <f>IF(AND($A380="",$B380="",$E380=""),"",IF(AND($B380&lt;&gt;"",COUNTIF('2. Core Log'!$A$5:$A$124,$B380)=0),"Core ID not in Core Log. ","")&amp;IF(AND($A380&lt;&gt;"",COUNTIF('1. Plot &amp; Site Log'!$A$5:$A$64,$A380)=0),"Plot ID not in Plot &amp; Site Log. ","")&amp;IF(AND(ISNUMBER($E380),ISNUMBER($F380),$F380&lt;=$E380),"Bottom depth is not below top depth. ","")&amp;IF($I380="","Say which bulk-density basis the lab reported. ","")&amp;IF(AND(ISNUMBER($J380),OR($J380&lt;QC_BD_MIN,$J380&gt;QC_BD_MAX)),"Bulk density outside "&amp;QC_BD_MIN&amp;"–"&amp;QC_BD_MAX&amp;" g/cm³ for peat. Above the top of that range usually means the mineral contact has been passed. ","")&amp;IF(AND(ISNUMBER($N380),$N380&gt;QC_CARBON_PCT_MAX),"Carbon above "&amp;QC_CARBON_PCT_MAX&amp;"% — check units; this may be organic matter rather than carbon. ","")&amp;IF(AND($L380&lt;&gt;"",$M380&lt;&gt;""),"Both LOI and measured carbon given — the measured value is used. ","")&amp;IF(AND($M380="",$L380&lt;&gt;"",OM_FACTOR_IS_LOCAL&lt;&gt;"Yes"),"Carbon derived from LOI using the default factor of "&amp;CARBON_FRACTION_OM&amp;", which has not been calibrated locally. See R1. Reference. ","")&amp;IF(AND(ISNUMBER($O380),$O380=0,ISNUMBER($E380)),"Section lies entirely below the reference depth — it counts to the full-profile stock only. ",""))</f>
        <v/>
      </c>
      <c r="U380" s="14" t="n"/>
    </row>
    <row r="381">
      <c r="A381" s="14" t="n"/>
      <c r="B381" s="14" t="n"/>
      <c r="C381" s="14" t="n"/>
      <c r="D381" s="14" t="n"/>
      <c r="E381" s="14" t="n"/>
      <c r="F381" s="14" t="n"/>
      <c r="G381" s="14">
        <f>IF(OR($E381="",$F381=""),"",$F381-$E381)</f>
        <v/>
      </c>
      <c r="H381" s="14" t="n"/>
      <c r="I381" s="14" t="n"/>
      <c r="J381" s="19" t="n"/>
      <c r="K381" s="19" t="n"/>
      <c r="L381" s="19" t="n"/>
      <c r="M381" s="19" t="n"/>
      <c r="N381" s="18">
        <f>IF($M381&lt;&gt;"",$M381,IF($L381&lt;&gt;"",$L381*CARBON_FRACTION_OM,""))</f>
        <v/>
      </c>
      <c r="O381" s="18">
        <f>IF(OR($E381="",$F381=""),"",MAX(0,MIN($F381,REFERENCE_DEPTH_CM)-MIN($E381,REFERENCE_DEPTH_CM)))</f>
        <v/>
      </c>
      <c r="P381" s="18">
        <f>IF(OR($J381="",$N381="",$G381=""),"",$J381*($N381/100)*$G381*10)</f>
        <v/>
      </c>
      <c r="Q381" s="18">
        <f>IF(OR($J381="",$N381="",$O381=""),"",$J381*($N381/100)*$O381*10)</f>
        <v/>
      </c>
      <c r="R381" s="18">
        <f>IF(OR(NOT(ISNUMBER($P381)),NOT(ISNUMBER($G381)),$G381=0),0,$P381/$G381)</f>
        <v/>
      </c>
      <c r="S381" s="18">
        <f>IF(OR($B381="",NOT(ISNUMBER($F381))),"",SUMIFS('3. Peat Data'!$P$5:$P$604,'3. Peat Data'!$B$5:$B$604,$B381,'3. Peat Data'!$F$5:$F$604,"&lt;="&amp;$F381))</f>
        <v/>
      </c>
      <c r="T381" s="18">
        <f>IF(AND($A381="",$B381="",$E381=""),"",IF(AND($B381&lt;&gt;"",COUNTIF('2. Core Log'!$A$5:$A$124,$B381)=0),"Core ID not in Core Log. ","")&amp;IF(AND($A381&lt;&gt;"",COUNTIF('1. Plot &amp; Site Log'!$A$5:$A$64,$A381)=0),"Plot ID not in Plot &amp; Site Log. ","")&amp;IF(AND(ISNUMBER($E381),ISNUMBER($F381),$F381&lt;=$E381),"Bottom depth is not below top depth. ","")&amp;IF($I381="","Say which bulk-density basis the lab reported. ","")&amp;IF(AND(ISNUMBER($J381),OR($J381&lt;QC_BD_MIN,$J381&gt;QC_BD_MAX)),"Bulk density outside "&amp;QC_BD_MIN&amp;"–"&amp;QC_BD_MAX&amp;" g/cm³ for peat. Above the top of that range usually means the mineral contact has been passed. ","")&amp;IF(AND(ISNUMBER($N381),$N381&gt;QC_CARBON_PCT_MAX),"Carbon above "&amp;QC_CARBON_PCT_MAX&amp;"% — check units; this may be organic matter rather than carbon. ","")&amp;IF(AND($L381&lt;&gt;"",$M381&lt;&gt;""),"Both LOI and measured carbon given — the measured value is used. ","")&amp;IF(AND($M381="",$L381&lt;&gt;"",OM_FACTOR_IS_LOCAL&lt;&gt;"Yes"),"Carbon derived from LOI using the default factor of "&amp;CARBON_FRACTION_OM&amp;", which has not been calibrated locally. See R1. Reference. ","")&amp;IF(AND(ISNUMBER($O381),$O381=0,ISNUMBER($E381)),"Section lies entirely below the reference depth — it counts to the full-profile stock only. ",""))</f>
        <v/>
      </c>
      <c r="U381" s="14" t="n"/>
    </row>
    <row r="382">
      <c r="A382" s="14" t="n"/>
      <c r="B382" s="14" t="n"/>
      <c r="C382" s="14" t="n"/>
      <c r="D382" s="14" t="n"/>
      <c r="E382" s="14" t="n"/>
      <c r="F382" s="14" t="n"/>
      <c r="G382" s="14">
        <f>IF(OR($E382="",$F382=""),"",$F382-$E382)</f>
        <v/>
      </c>
      <c r="H382" s="14" t="n"/>
      <c r="I382" s="14" t="n"/>
      <c r="J382" s="19" t="n"/>
      <c r="K382" s="19" t="n"/>
      <c r="L382" s="19" t="n"/>
      <c r="M382" s="19" t="n"/>
      <c r="N382" s="18">
        <f>IF($M382&lt;&gt;"",$M382,IF($L382&lt;&gt;"",$L382*CARBON_FRACTION_OM,""))</f>
        <v/>
      </c>
      <c r="O382" s="18">
        <f>IF(OR($E382="",$F382=""),"",MAX(0,MIN($F382,REFERENCE_DEPTH_CM)-MIN($E382,REFERENCE_DEPTH_CM)))</f>
        <v/>
      </c>
      <c r="P382" s="18">
        <f>IF(OR($J382="",$N382="",$G382=""),"",$J382*($N382/100)*$G382*10)</f>
        <v/>
      </c>
      <c r="Q382" s="18">
        <f>IF(OR($J382="",$N382="",$O382=""),"",$J382*($N382/100)*$O382*10)</f>
        <v/>
      </c>
      <c r="R382" s="18">
        <f>IF(OR(NOT(ISNUMBER($P382)),NOT(ISNUMBER($G382)),$G382=0),0,$P382/$G382)</f>
        <v/>
      </c>
      <c r="S382" s="18">
        <f>IF(OR($B382="",NOT(ISNUMBER($F382))),"",SUMIFS('3. Peat Data'!$P$5:$P$604,'3. Peat Data'!$B$5:$B$604,$B382,'3. Peat Data'!$F$5:$F$604,"&lt;="&amp;$F382))</f>
        <v/>
      </c>
      <c r="T382" s="18">
        <f>IF(AND($A382="",$B382="",$E382=""),"",IF(AND($B382&lt;&gt;"",COUNTIF('2. Core Log'!$A$5:$A$124,$B382)=0),"Core ID not in Core Log. ","")&amp;IF(AND($A382&lt;&gt;"",COUNTIF('1. Plot &amp; Site Log'!$A$5:$A$64,$A382)=0),"Plot ID not in Plot &amp; Site Log. ","")&amp;IF(AND(ISNUMBER($E382),ISNUMBER($F382),$F382&lt;=$E382),"Bottom depth is not below top depth. ","")&amp;IF($I382="","Say which bulk-density basis the lab reported. ","")&amp;IF(AND(ISNUMBER($J382),OR($J382&lt;QC_BD_MIN,$J382&gt;QC_BD_MAX)),"Bulk density outside "&amp;QC_BD_MIN&amp;"–"&amp;QC_BD_MAX&amp;" g/cm³ for peat. Above the top of that range usually means the mineral contact has been passed. ","")&amp;IF(AND(ISNUMBER($N382),$N382&gt;QC_CARBON_PCT_MAX),"Carbon above "&amp;QC_CARBON_PCT_MAX&amp;"% — check units; this may be organic matter rather than carbon. ","")&amp;IF(AND($L382&lt;&gt;"",$M382&lt;&gt;""),"Both LOI and measured carbon given — the measured value is used. ","")&amp;IF(AND($M382="",$L382&lt;&gt;"",OM_FACTOR_IS_LOCAL&lt;&gt;"Yes"),"Carbon derived from LOI using the default factor of "&amp;CARBON_FRACTION_OM&amp;", which has not been calibrated locally. See R1. Reference. ","")&amp;IF(AND(ISNUMBER($O382),$O382=0,ISNUMBER($E382)),"Section lies entirely below the reference depth — it counts to the full-profile stock only. ",""))</f>
        <v/>
      </c>
      <c r="U382" s="14" t="n"/>
    </row>
    <row r="383">
      <c r="A383" s="14" t="n"/>
      <c r="B383" s="14" t="n"/>
      <c r="C383" s="14" t="n"/>
      <c r="D383" s="14" t="n"/>
      <c r="E383" s="14" t="n"/>
      <c r="F383" s="14" t="n"/>
      <c r="G383" s="14">
        <f>IF(OR($E383="",$F383=""),"",$F383-$E383)</f>
        <v/>
      </c>
      <c r="H383" s="14" t="n"/>
      <c r="I383" s="14" t="n"/>
      <c r="J383" s="19" t="n"/>
      <c r="K383" s="19" t="n"/>
      <c r="L383" s="19" t="n"/>
      <c r="M383" s="19" t="n"/>
      <c r="N383" s="18">
        <f>IF($M383&lt;&gt;"",$M383,IF($L383&lt;&gt;"",$L383*CARBON_FRACTION_OM,""))</f>
        <v/>
      </c>
      <c r="O383" s="18">
        <f>IF(OR($E383="",$F383=""),"",MAX(0,MIN($F383,REFERENCE_DEPTH_CM)-MIN($E383,REFERENCE_DEPTH_CM)))</f>
        <v/>
      </c>
      <c r="P383" s="18">
        <f>IF(OR($J383="",$N383="",$G383=""),"",$J383*($N383/100)*$G383*10)</f>
        <v/>
      </c>
      <c r="Q383" s="18">
        <f>IF(OR($J383="",$N383="",$O383=""),"",$J383*($N383/100)*$O383*10)</f>
        <v/>
      </c>
      <c r="R383" s="18">
        <f>IF(OR(NOT(ISNUMBER($P383)),NOT(ISNUMBER($G383)),$G383=0),0,$P383/$G383)</f>
        <v/>
      </c>
      <c r="S383" s="18">
        <f>IF(OR($B383="",NOT(ISNUMBER($F383))),"",SUMIFS('3. Peat Data'!$P$5:$P$604,'3. Peat Data'!$B$5:$B$604,$B383,'3. Peat Data'!$F$5:$F$604,"&lt;="&amp;$F383))</f>
        <v/>
      </c>
      <c r="T383" s="18">
        <f>IF(AND($A383="",$B383="",$E383=""),"",IF(AND($B383&lt;&gt;"",COUNTIF('2. Core Log'!$A$5:$A$124,$B383)=0),"Core ID not in Core Log. ","")&amp;IF(AND($A383&lt;&gt;"",COUNTIF('1. Plot &amp; Site Log'!$A$5:$A$64,$A383)=0),"Plot ID not in Plot &amp; Site Log. ","")&amp;IF(AND(ISNUMBER($E383),ISNUMBER($F383),$F383&lt;=$E383),"Bottom depth is not below top depth. ","")&amp;IF($I383="","Say which bulk-density basis the lab reported. ","")&amp;IF(AND(ISNUMBER($J383),OR($J383&lt;QC_BD_MIN,$J383&gt;QC_BD_MAX)),"Bulk density outside "&amp;QC_BD_MIN&amp;"–"&amp;QC_BD_MAX&amp;" g/cm³ for peat. Above the top of that range usually means the mineral contact has been passed. ","")&amp;IF(AND(ISNUMBER($N383),$N383&gt;QC_CARBON_PCT_MAX),"Carbon above "&amp;QC_CARBON_PCT_MAX&amp;"% — check units; this may be organic matter rather than carbon. ","")&amp;IF(AND($L383&lt;&gt;"",$M383&lt;&gt;""),"Both LOI and measured carbon given — the measured value is used. ","")&amp;IF(AND($M383="",$L383&lt;&gt;"",OM_FACTOR_IS_LOCAL&lt;&gt;"Yes"),"Carbon derived from LOI using the default factor of "&amp;CARBON_FRACTION_OM&amp;", which has not been calibrated locally. See R1. Reference. ","")&amp;IF(AND(ISNUMBER($O383),$O383=0,ISNUMBER($E383)),"Section lies entirely below the reference depth — it counts to the full-profile stock only. ",""))</f>
        <v/>
      </c>
      <c r="U383" s="14" t="n"/>
    </row>
    <row r="384">
      <c r="A384" s="14" t="n"/>
      <c r="B384" s="14" t="n"/>
      <c r="C384" s="14" t="n"/>
      <c r="D384" s="14" t="n"/>
      <c r="E384" s="14" t="n"/>
      <c r="F384" s="14" t="n"/>
      <c r="G384" s="14">
        <f>IF(OR($E384="",$F384=""),"",$F384-$E384)</f>
        <v/>
      </c>
      <c r="H384" s="14" t="n"/>
      <c r="I384" s="14" t="n"/>
      <c r="J384" s="19" t="n"/>
      <c r="K384" s="19" t="n"/>
      <c r="L384" s="19" t="n"/>
      <c r="M384" s="19" t="n"/>
      <c r="N384" s="18">
        <f>IF($M384&lt;&gt;"",$M384,IF($L384&lt;&gt;"",$L384*CARBON_FRACTION_OM,""))</f>
        <v/>
      </c>
      <c r="O384" s="18">
        <f>IF(OR($E384="",$F384=""),"",MAX(0,MIN($F384,REFERENCE_DEPTH_CM)-MIN($E384,REFERENCE_DEPTH_CM)))</f>
        <v/>
      </c>
      <c r="P384" s="18">
        <f>IF(OR($J384="",$N384="",$G384=""),"",$J384*($N384/100)*$G384*10)</f>
        <v/>
      </c>
      <c r="Q384" s="18">
        <f>IF(OR($J384="",$N384="",$O384=""),"",$J384*($N384/100)*$O384*10)</f>
        <v/>
      </c>
      <c r="R384" s="18">
        <f>IF(OR(NOT(ISNUMBER($P384)),NOT(ISNUMBER($G384)),$G384=0),0,$P384/$G384)</f>
        <v/>
      </c>
      <c r="S384" s="18">
        <f>IF(OR($B384="",NOT(ISNUMBER($F384))),"",SUMIFS('3. Peat Data'!$P$5:$P$604,'3. Peat Data'!$B$5:$B$604,$B384,'3. Peat Data'!$F$5:$F$604,"&lt;="&amp;$F384))</f>
        <v/>
      </c>
      <c r="T384" s="18">
        <f>IF(AND($A384="",$B384="",$E384=""),"",IF(AND($B384&lt;&gt;"",COUNTIF('2. Core Log'!$A$5:$A$124,$B384)=0),"Core ID not in Core Log. ","")&amp;IF(AND($A384&lt;&gt;"",COUNTIF('1. Plot &amp; Site Log'!$A$5:$A$64,$A384)=0),"Plot ID not in Plot &amp; Site Log. ","")&amp;IF(AND(ISNUMBER($E384),ISNUMBER($F384),$F384&lt;=$E384),"Bottom depth is not below top depth. ","")&amp;IF($I384="","Say which bulk-density basis the lab reported. ","")&amp;IF(AND(ISNUMBER($J384),OR($J384&lt;QC_BD_MIN,$J384&gt;QC_BD_MAX)),"Bulk density outside "&amp;QC_BD_MIN&amp;"–"&amp;QC_BD_MAX&amp;" g/cm³ for peat. Above the top of that range usually means the mineral contact has been passed. ","")&amp;IF(AND(ISNUMBER($N384),$N384&gt;QC_CARBON_PCT_MAX),"Carbon above "&amp;QC_CARBON_PCT_MAX&amp;"% — check units; this may be organic matter rather than carbon. ","")&amp;IF(AND($L384&lt;&gt;"",$M384&lt;&gt;""),"Both LOI and measured carbon given — the measured value is used. ","")&amp;IF(AND($M384="",$L384&lt;&gt;"",OM_FACTOR_IS_LOCAL&lt;&gt;"Yes"),"Carbon derived from LOI using the default factor of "&amp;CARBON_FRACTION_OM&amp;", which has not been calibrated locally. See R1. Reference. ","")&amp;IF(AND(ISNUMBER($O384),$O384=0,ISNUMBER($E384)),"Section lies entirely below the reference depth — it counts to the full-profile stock only. ",""))</f>
        <v/>
      </c>
      <c r="U384" s="14" t="n"/>
    </row>
    <row r="385">
      <c r="A385" s="14" t="n"/>
      <c r="B385" s="14" t="n"/>
      <c r="C385" s="14" t="n"/>
      <c r="D385" s="14" t="n"/>
      <c r="E385" s="14" t="n"/>
      <c r="F385" s="14" t="n"/>
      <c r="G385" s="14">
        <f>IF(OR($E385="",$F385=""),"",$F385-$E385)</f>
        <v/>
      </c>
      <c r="H385" s="14" t="n"/>
      <c r="I385" s="14" t="n"/>
      <c r="J385" s="19" t="n"/>
      <c r="K385" s="19" t="n"/>
      <c r="L385" s="19" t="n"/>
      <c r="M385" s="19" t="n"/>
      <c r="N385" s="18">
        <f>IF($M385&lt;&gt;"",$M385,IF($L385&lt;&gt;"",$L385*CARBON_FRACTION_OM,""))</f>
        <v/>
      </c>
      <c r="O385" s="18">
        <f>IF(OR($E385="",$F385=""),"",MAX(0,MIN($F385,REFERENCE_DEPTH_CM)-MIN($E385,REFERENCE_DEPTH_CM)))</f>
        <v/>
      </c>
      <c r="P385" s="18">
        <f>IF(OR($J385="",$N385="",$G385=""),"",$J385*($N385/100)*$G385*10)</f>
        <v/>
      </c>
      <c r="Q385" s="18">
        <f>IF(OR($J385="",$N385="",$O385=""),"",$J385*($N385/100)*$O385*10)</f>
        <v/>
      </c>
      <c r="R385" s="18">
        <f>IF(OR(NOT(ISNUMBER($P385)),NOT(ISNUMBER($G385)),$G385=0),0,$P385/$G385)</f>
        <v/>
      </c>
      <c r="S385" s="18">
        <f>IF(OR($B385="",NOT(ISNUMBER($F385))),"",SUMIFS('3. Peat Data'!$P$5:$P$604,'3. Peat Data'!$B$5:$B$604,$B385,'3. Peat Data'!$F$5:$F$604,"&lt;="&amp;$F385))</f>
        <v/>
      </c>
      <c r="T385" s="18">
        <f>IF(AND($A385="",$B385="",$E385=""),"",IF(AND($B385&lt;&gt;"",COUNTIF('2. Core Log'!$A$5:$A$124,$B385)=0),"Core ID not in Core Log. ","")&amp;IF(AND($A385&lt;&gt;"",COUNTIF('1. Plot &amp; Site Log'!$A$5:$A$64,$A385)=0),"Plot ID not in Plot &amp; Site Log. ","")&amp;IF(AND(ISNUMBER($E385),ISNUMBER($F385),$F385&lt;=$E385),"Bottom depth is not below top depth. ","")&amp;IF($I385="","Say which bulk-density basis the lab reported. ","")&amp;IF(AND(ISNUMBER($J385),OR($J385&lt;QC_BD_MIN,$J385&gt;QC_BD_MAX)),"Bulk density outside "&amp;QC_BD_MIN&amp;"–"&amp;QC_BD_MAX&amp;" g/cm³ for peat. Above the top of that range usually means the mineral contact has been passed. ","")&amp;IF(AND(ISNUMBER($N385),$N385&gt;QC_CARBON_PCT_MAX),"Carbon above "&amp;QC_CARBON_PCT_MAX&amp;"% — check units; this may be organic matter rather than carbon. ","")&amp;IF(AND($L385&lt;&gt;"",$M385&lt;&gt;""),"Both LOI and measured carbon given — the measured value is used. ","")&amp;IF(AND($M385="",$L385&lt;&gt;"",OM_FACTOR_IS_LOCAL&lt;&gt;"Yes"),"Carbon derived from LOI using the default factor of "&amp;CARBON_FRACTION_OM&amp;", which has not been calibrated locally. See R1. Reference. ","")&amp;IF(AND(ISNUMBER($O385),$O385=0,ISNUMBER($E385)),"Section lies entirely below the reference depth — it counts to the full-profile stock only. ",""))</f>
        <v/>
      </c>
      <c r="U385" s="14" t="n"/>
    </row>
    <row r="386">
      <c r="A386" s="14" t="n"/>
      <c r="B386" s="14" t="n"/>
      <c r="C386" s="14" t="n"/>
      <c r="D386" s="14" t="n"/>
      <c r="E386" s="14" t="n"/>
      <c r="F386" s="14" t="n"/>
      <c r="G386" s="14">
        <f>IF(OR($E386="",$F386=""),"",$F386-$E386)</f>
        <v/>
      </c>
      <c r="H386" s="14" t="n"/>
      <c r="I386" s="14" t="n"/>
      <c r="J386" s="19" t="n"/>
      <c r="K386" s="19" t="n"/>
      <c r="L386" s="19" t="n"/>
      <c r="M386" s="19" t="n"/>
      <c r="N386" s="18">
        <f>IF($M386&lt;&gt;"",$M386,IF($L386&lt;&gt;"",$L386*CARBON_FRACTION_OM,""))</f>
        <v/>
      </c>
      <c r="O386" s="18">
        <f>IF(OR($E386="",$F386=""),"",MAX(0,MIN($F386,REFERENCE_DEPTH_CM)-MIN($E386,REFERENCE_DEPTH_CM)))</f>
        <v/>
      </c>
      <c r="P386" s="18">
        <f>IF(OR($J386="",$N386="",$G386=""),"",$J386*($N386/100)*$G386*10)</f>
        <v/>
      </c>
      <c r="Q386" s="18">
        <f>IF(OR($J386="",$N386="",$O386=""),"",$J386*($N386/100)*$O386*10)</f>
        <v/>
      </c>
      <c r="R386" s="18">
        <f>IF(OR(NOT(ISNUMBER($P386)),NOT(ISNUMBER($G386)),$G386=0),0,$P386/$G386)</f>
        <v/>
      </c>
      <c r="S386" s="18">
        <f>IF(OR($B386="",NOT(ISNUMBER($F386))),"",SUMIFS('3. Peat Data'!$P$5:$P$604,'3. Peat Data'!$B$5:$B$604,$B386,'3. Peat Data'!$F$5:$F$604,"&lt;="&amp;$F386))</f>
        <v/>
      </c>
      <c r="T386" s="18">
        <f>IF(AND($A386="",$B386="",$E386=""),"",IF(AND($B386&lt;&gt;"",COUNTIF('2. Core Log'!$A$5:$A$124,$B386)=0),"Core ID not in Core Log. ","")&amp;IF(AND($A386&lt;&gt;"",COUNTIF('1. Plot &amp; Site Log'!$A$5:$A$64,$A386)=0),"Plot ID not in Plot &amp; Site Log. ","")&amp;IF(AND(ISNUMBER($E386),ISNUMBER($F386),$F386&lt;=$E386),"Bottom depth is not below top depth. ","")&amp;IF($I386="","Say which bulk-density basis the lab reported. ","")&amp;IF(AND(ISNUMBER($J386),OR($J386&lt;QC_BD_MIN,$J386&gt;QC_BD_MAX)),"Bulk density outside "&amp;QC_BD_MIN&amp;"–"&amp;QC_BD_MAX&amp;" g/cm³ for peat. Above the top of that range usually means the mineral contact has been passed. ","")&amp;IF(AND(ISNUMBER($N386),$N386&gt;QC_CARBON_PCT_MAX),"Carbon above "&amp;QC_CARBON_PCT_MAX&amp;"% — check units; this may be organic matter rather than carbon. ","")&amp;IF(AND($L386&lt;&gt;"",$M386&lt;&gt;""),"Both LOI and measured carbon given — the measured value is used. ","")&amp;IF(AND($M386="",$L386&lt;&gt;"",OM_FACTOR_IS_LOCAL&lt;&gt;"Yes"),"Carbon derived from LOI using the default factor of "&amp;CARBON_FRACTION_OM&amp;", which has not been calibrated locally. See R1. Reference. ","")&amp;IF(AND(ISNUMBER($O386),$O386=0,ISNUMBER($E386)),"Section lies entirely below the reference depth — it counts to the full-profile stock only. ",""))</f>
        <v/>
      </c>
      <c r="U386" s="14" t="n"/>
    </row>
    <row r="387">
      <c r="A387" s="14" t="n"/>
      <c r="B387" s="14" t="n"/>
      <c r="C387" s="14" t="n"/>
      <c r="D387" s="14" t="n"/>
      <c r="E387" s="14" t="n"/>
      <c r="F387" s="14" t="n"/>
      <c r="G387" s="14">
        <f>IF(OR($E387="",$F387=""),"",$F387-$E387)</f>
        <v/>
      </c>
      <c r="H387" s="14" t="n"/>
      <c r="I387" s="14" t="n"/>
      <c r="J387" s="19" t="n"/>
      <c r="K387" s="19" t="n"/>
      <c r="L387" s="19" t="n"/>
      <c r="M387" s="19" t="n"/>
      <c r="N387" s="18">
        <f>IF($M387&lt;&gt;"",$M387,IF($L387&lt;&gt;"",$L387*CARBON_FRACTION_OM,""))</f>
        <v/>
      </c>
      <c r="O387" s="18">
        <f>IF(OR($E387="",$F387=""),"",MAX(0,MIN($F387,REFERENCE_DEPTH_CM)-MIN($E387,REFERENCE_DEPTH_CM)))</f>
        <v/>
      </c>
      <c r="P387" s="18">
        <f>IF(OR($J387="",$N387="",$G387=""),"",$J387*($N387/100)*$G387*10)</f>
        <v/>
      </c>
      <c r="Q387" s="18">
        <f>IF(OR($J387="",$N387="",$O387=""),"",$J387*($N387/100)*$O387*10)</f>
        <v/>
      </c>
      <c r="R387" s="18">
        <f>IF(OR(NOT(ISNUMBER($P387)),NOT(ISNUMBER($G387)),$G387=0),0,$P387/$G387)</f>
        <v/>
      </c>
      <c r="S387" s="18">
        <f>IF(OR($B387="",NOT(ISNUMBER($F387))),"",SUMIFS('3. Peat Data'!$P$5:$P$604,'3. Peat Data'!$B$5:$B$604,$B387,'3. Peat Data'!$F$5:$F$604,"&lt;="&amp;$F387))</f>
        <v/>
      </c>
      <c r="T387" s="18">
        <f>IF(AND($A387="",$B387="",$E387=""),"",IF(AND($B387&lt;&gt;"",COUNTIF('2. Core Log'!$A$5:$A$124,$B387)=0),"Core ID not in Core Log. ","")&amp;IF(AND($A387&lt;&gt;"",COUNTIF('1. Plot &amp; Site Log'!$A$5:$A$64,$A387)=0),"Plot ID not in Plot &amp; Site Log. ","")&amp;IF(AND(ISNUMBER($E387),ISNUMBER($F387),$F387&lt;=$E387),"Bottom depth is not below top depth. ","")&amp;IF($I387="","Say which bulk-density basis the lab reported. ","")&amp;IF(AND(ISNUMBER($J387),OR($J387&lt;QC_BD_MIN,$J387&gt;QC_BD_MAX)),"Bulk density outside "&amp;QC_BD_MIN&amp;"–"&amp;QC_BD_MAX&amp;" g/cm³ for peat. Above the top of that range usually means the mineral contact has been passed. ","")&amp;IF(AND(ISNUMBER($N387),$N387&gt;QC_CARBON_PCT_MAX),"Carbon above "&amp;QC_CARBON_PCT_MAX&amp;"% — check units; this may be organic matter rather than carbon. ","")&amp;IF(AND($L387&lt;&gt;"",$M387&lt;&gt;""),"Both LOI and measured carbon given — the measured value is used. ","")&amp;IF(AND($M387="",$L387&lt;&gt;"",OM_FACTOR_IS_LOCAL&lt;&gt;"Yes"),"Carbon derived from LOI using the default factor of "&amp;CARBON_FRACTION_OM&amp;", which has not been calibrated locally. See R1. Reference. ","")&amp;IF(AND(ISNUMBER($O387),$O387=0,ISNUMBER($E387)),"Section lies entirely below the reference depth — it counts to the full-profile stock only. ",""))</f>
        <v/>
      </c>
      <c r="U387" s="14" t="n"/>
    </row>
    <row r="388">
      <c r="A388" s="14" t="n"/>
      <c r="B388" s="14" t="n"/>
      <c r="C388" s="14" t="n"/>
      <c r="D388" s="14" t="n"/>
      <c r="E388" s="14" t="n"/>
      <c r="F388" s="14" t="n"/>
      <c r="G388" s="14">
        <f>IF(OR($E388="",$F388=""),"",$F388-$E388)</f>
        <v/>
      </c>
      <c r="H388" s="14" t="n"/>
      <c r="I388" s="14" t="n"/>
      <c r="J388" s="19" t="n"/>
      <c r="K388" s="19" t="n"/>
      <c r="L388" s="19" t="n"/>
      <c r="M388" s="19" t="n"/>
      <c r="N388" s="18">
        <f>IF($M388&lt;&gt;"",$M388,IF($L388&lt;&gt;"",$L388*CARBON_FRACTION_OM,""))</f>
        <v/>
      </c>
      <c r="O388" s="18">
        <f>IF(OR($E388="",$F388=""),"",MAX(0,MIN($F388,REFERENCE_DEPTH_CM)-MIN($E388,REFERENCE_DEPTH_CM)))</f>
        <v/>
      </c>
      <c r="P388" s="18">
        <f>IF(OR($J388="",$N388="",$G388=""),"",$J388*($N388/100)*$G388*10)</f>
        <v/>
      </c>
      <c r="Q388" s="18">
        <f>IF(OR($J388="",$N388="",$O388=""),"",$J388*($N388/100)*$O388*10)</f>
        <v/>
      </c>
      <c r="R388" s="18">
        <f>IF(OR(NOT(ISNUMBER($P388)),NOT(ISNUMBER($G388)),$G388=0),0,$P388/$G388)</f>
        <v/>
      </c>
      <c r="S388" s="18">
        <f>IF(OR($B388="",NOT(ISNUMBER($F388))),"",SUMIFS('3. Peat Data'!$P$5:$P$604,'3. Peat Data'!$B$5:$B$604,$B388,'3. Peat Data'!$F$5:$F$604,"&lt;="&amp;$F388))</f>
        <v/>
      </c>
      <c r="T388" s="18">
        <f>IF(AND($A388="",$B388="",$E388=""),"",IF(AND($B388&lt;&gt;"",COUNTIF('2. Core Log'!$A$5:$A$124,$B388)=0),"Core ID not in Core Log. ","")&amp;IF(AND($A388&lt;&gt;"",COUNTIF('1. Plot &amp; Site Log'!$A$5:$A$64,$A388)=0),"Plot ID not in Plot &amp; Site Log. ","")&amp;IF(AND(ISNUMBER($E388),ISNUMBER($F388),$F388&lt;=$E388),"Bottom depth is not below top depth. ","")&amp;IF($I388="","Say which bulk-density basis the lab reported. ","")&amp;IF(AND(ISNUMBER($J388),OR($J388&lt;QC_BD_MIN,$J388&gt;QC_BD_MAX)),"Bulk density outside "&amp;QC_BD_MIN&amp;"–"&amp;QC_BD_MAX&amp;" g/cm³ for peat. Above the top of that range usually means the mineral contact has been passed. ","")&amp;IF(AND(ISNUMBER($N388),$N388&gt;QC_CARBON_PCT_MAX),"Carbon above "&amp;QC_CARBON_PCT_MAX&amp;"% — check units; this may be organic matter rather than carbon. ","")&amp;IF(AND($L388&lt;&gt;"",$M388&lt;&gt;""),"Both LOI and measured carbon given — the measured value is used. ","")&amp;IF(AND($M388="",$L388&lt;&gt;"",OM_FACTOR_IS_LOCAL&lt;&gt;"Yes"),"Carbon derived from LOI using the default factor of "&amp;CARBON_FRACTION_OM&amp;", which has not been calibrated locally. See R1. Reference. ","")&amp;IF(AND(ISNUMBER($O388),$O388=0,ISNUMBER($E388)),"Section lies entirely below the reference depth — it counts to the full-profile stock only. ",""))</f>
        <v/>
      </c>
      <c r="U388" s="14" t="n"/>
    </row>
    <row r="389">
      <c r="A389" s="14" t="n"/>
      <c r="B389" s="14" t="n"/>
      <c r="C389" s="14" t="n"/>
      <c r="D389" s="14" t="n"/>
      <c r="E389" s="14" t="n"/>
      <c r="F389" s="14" t="n"/>
      <c r="G389" s="14">
        <f>IF(OR($E389="",$F389=""),"",$F389-$E389)</f>
        <v/>
      </c>
      <c r="H389" s="14" t="n"/>
      <c r="I389" s="14" t="n"/>
      <c r="J389" s="19" t="n"/>
      <c r="K389" s="19" t="n"/>
      <c r="L389" s="19" t="n"/>
      <c r="M389" s="19" t="n"/>
      <c r="N389" s="18">
        <f>IF($M389&lt;&gt;"",$M389,IF($L389&lt;&gt;"",$L389*CARBON_FRACTION_OM,""))</f>
        <v/>
      </c>
      <c r="O389" s="18">
        <f>IF(OR($E389="",$F389=""),"",MAX(0,MIN($F389,REFERENCE_DEPTH_CM)-MIN($E389,REFERENCE_DEPTH_CM)))</f>
        <v/>
      </c>
      <c r="P389" s="18">
        <f>IF(OR($J389="",$N389="",$G389=""),"",$J389*($N389/100)*$G389*10)</f>
        <v/>
      </c>
      <c r="Q389" s="18">
        <f>IF(OR($J389="",$N389="",$O389=""),"",$J389*($N389/100)*$O389*10)</f>
        <v/>
      </c>
      <c r="R389" s="18">
        <f>IF(OR(NOT(ISNUMBER($P389)),NOT(ISNUMBER($G389)),$G389=0),0,$P389/$G389)</f>
        <v/>
      </c>
      <c r="S389" s="18">
        <f>IF(OR($B389="",NOT(ISNUMBER($F389))),"",SUMIFS('3. Peat Data'!$P$5:$P$604,'3. Peat Data'!$B$5:$B$604,$B389,'3. Peat Data'!$F$5:$F$604,"&lt;="&amp;$F389))</f>
        <v/>
      </c>
      <c r="T389" s="18">
        <f>IF(AND($A389="",$B389="",$E389=""),"",IF(AND($B389&lt;&gt;"",COUNTIF('2. Core Log'!$A$5:$A$124,$B389)=0),"Core ID not in Core Log. ","")&amp;IF(AND($A389&lt;&gt;"",COUNTIF('1. Plot &amp; Site Log'!$A$5:$A$64,$A389)=0),"Plot ID not in Plot &amp; Site Log. ","")&amp;IF(AND(ISNUMBER($E389),ISNUMBER($F389),$F389&lt;=$E389),"Bottom depth is not below top depth. ","")&amp;IF($I389="","Say which bulk-density basis the lab reported. ","")&amp;IF(AND(ISNUMBER($J389),OR($J389&lt;QC_BD_MIN,$J389&gt;QC_BD_MAX)),"Bulk density outside "&amp;QC_BD_MIN&amp;"–"&amp;QC_BD_MAX&amp;" g/cm³ for peat. Above the top of that range usually means the mineral contact has been passed. ","")&amp;IF(AND(ISNUMBER($N389),$N389&gt;QC_CARBON_PCT_MAX),"Carbon above "&amp;QC_CARBON_PCT_MAX&amp;"% — check units; this may be organic matter rather than carbon. ","")&amp;IF(AND($L389&lt;&gt;"",$M389&lt;&gt;""),"Both LOI and measured carbon given — the measured value is used. ","")&amp;IF(AND($M389="",$L389&lt;&gt;"",OM_FACTOR_IS_LOCAL&lt;&gt;"Yes"),"Carbon derived from LOI using the default factor of "&amp;CARBON_FRACTION_OM&amp;", which has not been calibrated locally. See R1. Reference. ","")&amp;IF(AND(ISNUMBER($O389),$O389=0,ISNUMBER($E389)),"Section lies entirely below the reference depth — it counts to the full-profile stock only. ",""))</f>
        <v/>
      </c>
      <c r="U389" s="14" t="n"/>
    </row>
    <row r="390">
      <c r="A390" s="14" t="n"/>
      <c r="B390" s="14" t="n"/>
      <c r="C390" s="14" t="n"/>
      <c r="D390" s="14" t="n"/>
      <c r="E390" s="14" t="n"/>
      <c r="F390" s="14" t="n"/>
      <c r="G390" s="14">
        <f>IF(OR($E390="",$F390=""),"",$F390-$E390)</f>
        <v/>
      </c>
      <c r="H390" s="14" t="n"/>
      <c r="I390" s="14" t="n"/>
      <c r="J390" s="19" t="n"/>
      <c r="K390" s="19" t="n"/>
      <c r="L390" s="19" t="n"/>
      <c r="M390" s="19" t="n"/>
      <c r="N390" s="18">
        <f>IF($M390&lt;&gt;"",$M390,IF($L390&lt;&gt;"",$L390*CARBON_FRACTION_OM,""))</f>
        <v/>
      </c>
      <c r="O390" s="18">
        <f>IF(OR($E390="",$F390=""),"",MAX(0,MIN($F390,REFERENCE_DEPTH_CM)-MIN($E390,REFERENCE_DEPTH_CM)))</f>
        <v/>
      </c>
      <c r="P390" s="18">
        <f>IF(OR($J390="",$N390="",$G390=""),"",$J390*($N390/100)*$G390*10)</f>
        <v/>
      </c>
      <c r="Q390" s="18">
        <f>IF(OR($J390="",$N390="",$O390=""),"",$J390*($N390/100)*$O390*10)</f>
        <v/>
      </c>
      <c r="R390" s="18">
        <f>IF(OR(NOT(ISNUMBER($P390)),NOT(ISNUMBER($G390)),$G390=0),0,$P390/$G390)</f>
        <v/>
      </c>
      <c r="S390" s="18">
        <f>IF(OR($B390="",NOT(ISNUMBER($F390))),"",SUMIFS('3. Peat Data'!$P$5:$P$604,'3. Peat Data'!$B$5:$B$604,$B390,'3. Peat Data'!$F$5:$F$604,"&lt;="&amp;$F390))</f>
        <v/>
      </c>
      <c r="T390" s="18">
        <f>IF(AND($A390="",$B390="",$E390=""),"",IF(AND($B390&lt;&gt;"",COUNTIF('2. Core Log'!$A$5:$A$124,$B390)=0),"Core ID not in Core Log. ","")&amp;IF(AND($A390&lt;&gt;"",COUNTIF('1. Plot &amp; Site Log'!$A$5:$A$64,$A390)=0),"Plot ID not in Plot &amp; Site Log. ","")&amp;IF(AND(ISNUMBER($E390),ISNUMBER($F390),$F390&lt;=$E390),"Bottom depth is not below top depth. ","")&amp;IF($I390="","Say which bulk-density basis the lab reported. ","")&amp;IF(AND(ISNUMBER($J390),OR($J390&lt;QC_BD_MIN,$J390&gt;QC_BD_MAX)),"Bulk density outside "&amp;QC_BD_MIN&amp;"–"&amp;QC_BD_MAX&amp;" g/cm³ for peat. Above the top of that range usually means the mineral contact has been passed. ","")&amp;IF(AND(ISNUMBER($N390),$N390&gt;QC_CARBON_PCT_MAX),"Carbon above "&amp;QC_CARBON_PCT_MAX&amp;"% — check units; this may be organic matter rather than carbon. ","")&amp;IF(AND($L390&lt;&gt;"",$M390&lt;&gt;""),"Both LOI and measured carbon given — the measured value is used. ","")&amp;IF(AND($M390="",$L390&lt;&gt;"",OM_FACTOR_IS_LOCAL&lt;&gt;"Yes"),"Carbon derived from LOI using the default factor of "&amp;CARBON_FRACTION_OM&amp;", which has not been calibrated locally. See R1. Reference. ","")&amp;IF(AND(ISNUMBER($O390),$O390=0,ISNUMBER($E390)),"Section lies entirely below the reference depth — it counts to the full-profile stock only. ",""))</f>
        <v/>
      </c>
      <c r="U390" s="14" t="n"/>
    </row>
    <row r="391">
      <c r="A391" s="14" t="n"/>
      <c r="B391" s="14" t="n"/>
      <c r="C391" s="14" t="n"/>
      <c r="D391" s="14" t="n"/>
      <c r="E391" s="14" t="n"/>
      <c r="F391" s="14" t="n"/>
      <c r="G391" s="14">
        <f>IF(OR($E391="",$F391=""),"",$F391-$E391)</f>
        <v/>
      </c>
      <c r="H391" s="14" t="n"/>
      <c r="I391" s="14" t="n"/>
      <c r="J391" s="19" t="n"/>
      <c r="K391" s="19" t="n"/>
      <c r="L391" s="19" t="n"/>
      <c r="M391" s="19" t="n"/>
      <c r="N391" s="18">
        <f>IF($M391&lt;&gt;"",$M391,IF($L391&lt;&gt;"",$L391*CARBON_FRACTION_OM,""))</f>
        <v/>
      </c>
      <c r="O391" s="18">
        <f>IF(OR($E391="",$F391=""),"",MAX(0,MIN($F391,REFERENCE_DEPTH_CM)-MIN($E391,REFERENCE_DEPTH_CM)))</f>
        <v/>
      </c>
      <c r="P391" s="18">
        <f>IF(OR($J391="",$N391="",$G391=""),"",$J391*($N391/100)*$G391*10)</f>
        <v/>
      </c>
      <c r="Q391" s="18">
        <f>IF(OR($J391="",$N391="",$O391=""),"",$J391*($N391/100)*$O391*10)</f>
        <v/>
      </c>
      <c r="R391" s="18">
        <f>IF(OR(NOT(ISNUMBER($P391)),NOT(ISNUMBER($G391)),$G391=0),0,$P391/$G391)</f>
        <v/>
      </c>
      <c r="S391" s="18">
        <f>IF(OR($B391="",NOT(ISNUMBER($F391))),"",SUMIFS('3. Peat Data'!$P$5:$P$604,'3. Peat Data'!$B$5:$B$604,$B391,'3. Peat Data'!$F$5:$F$604,"&lt;="&amp;$F391))</f>
        <v/>
      </c>
      <c r="T391" s="18">
        <f>IF(AND($A391="",$B391="",$E391=""),"",IF(AND($B391&lt;&gt;"",COUNTIF('2. Core Log'!$A$5:$A$124,$B391)=0),"Core ID not in Core Log. ","")&amp;IF(AND($A391&lt;&gt;"",COUNTIF('1. Plot &amp; Site Log'!$A$5:$A$64,$A391)=0),"Plot ID not in Plot &amp; Site Log. ","")&amp;IF(AND(ISNUMBER($E391),ISNUMBER($F391),$F391&lt;=$E391),"Bottom depth is not below top depth. ","")&amp;IF($I391="","Say which bulk-density basis the lab reported. ","")&amp;IF(AND(ISNUMBER($J391),OR($J391&lt;QC_BD_MIN,$J391&gt;QC_BD_MAX)),"Bulk density outside "&amp;QC_BD_MIN&amp;"–"&amp;QC_BD_MAX&amp;" g/cm³ for peat. Above the top of that range usually means the mineral contact has been passed. ","")&amp;IF(AND(ISNUMBER($N391),$N391&gt;QC_CARBON_PCT_MAX),"Carbon above "&amp;QC_CARBON_PCT_MAX&amp;"% — check units; this may be organic matter rather than carbon. ","")&amp;IF(AND($L391&lt;&gt;"",$M391&lt;&gt;""),"Both LOI and measured carbon given — the measured value is used. ","")&amp;IF(AND($M391="",$L391&lt;&gt;"",OM_FACTOR_IS_LOCAL&lt;&gt;"Yes"),"Carbon derived from LOI using the default factor of "&amp;CARBON_FRACTION_OM&amp;", which has not been calibrated locally. See R1. Reference. ","")&amp;IF(AND(ISNUMBER($O391),$O391=0,ISNUMBER($E391)),"Section lies entirely below the reference depth — it counts to the full-profile stock only. ",""))</f>
        <v/>
      </c>
      <c r="U391" s="14" t="n"/>
    </row>
    <row r="392">
      <c r="A392" s="14" t="n"/>
      <c r="B392" s="14" t="n"/>
      <c r="C392" s="14" t="n"/>
      <c r="D392" s="14" t="n"/>
      <c r="E392" s="14" t="n"/>
      <c r="F392" s="14" t="n"/>
      <c r="G392" s="14">
        <f>IF(OR($E392="",$F392=""),"",$F392-$E392)</f>
        <v/>
      </c>
      <c r="H392" s="14" t="n"/>
      <c r="I392" s="14" t="n"/>
      <c r="J392" s="19" t="n"/>
      <c r="K392" s="19" t="n"/>
      <c r="L392" s="19" t="n"/>
      <c r="M392" s="19" t="n"/>
      <c r="N392" s="18">
        <f>IF($M392&lt;&gt;"",$M392,IF($L392&lt;&gt;"",$L392*CARBON_FRACTION_OM,""))</f>
        <v/>
      </c>
      <c r="O392" s="18">
        <f>IF(OR($E392="",$F392=""),"",MAX(0,MIN($F392,REFERENCE_DEPTH_CM)-MIN($E392,REFERENCE_DEPTH_CM)))</f>
        <v/>
      </c>
      <c r="P392" s="18">
        <f>IF(OR($J392="",$N392="",$G392=""),"",$J392*($N392/100)*$G392*10)</f>
        <v/>
      </c>
      <c r="Q392" s="18">
        <f>IF(OR($J392="",$N392="",$O392=""),"",$J392*($N392/100)*$O392*10)</f>
        <v/>
      </c>
      <c r="R392" s="18">
        <f>IF(OR(NOT(ISNUMBER($P392)),NOT(ISNUMBER($G392)),$G392=0),0,$P392/$G392)</f>
        <v/>
      </c>
      <c r="S392" s="18">
        <f>IF(OR($B392="",NOT(ISNUMBER($F392))),"",SUMIFS('3. Peat Data'!$P$5:$P$604,'3. Peat Data'!$B$5:$B$604,$B392,'3. Peat Data'!$F$5:$F$604,"&lt;="&amp;$F392))</f>
        <v/>
      </c>
      <c r="T392" s="18">
        <f>IF(AND($A392="",$B392="",$E392=""),"",IF(AND($B392&lt;&gt;"",COUNTIF('2. Core Log'!$A$5:$A$124,$B392)=0),"Core ID not in Core Log. ","")&amp;IF(AND($A392&lt;&gt;"",COUNTIF('1. Plot &amp; Site Log'!$A$5:$A$64,$A392)=0),"Plot ID not in Plot &amp; Site Log. ","")&amp;IF(AND(ISNUMBER($E392),ISNUMBER($F392),$F392&lt;=$E392),"Bottom depth is not below top depth. ","")&amp;IF($I392="","Say which bulk-density basis the lab reported. ","")&amp;IF(AND(ISNUMBER($J392),OR($J392&lt;QC_BD_MIN,$J392&gt;QC_BD_MAX)),"Bulk density outside "&amp;QC_BD_MIN&amp;"–"&amp;QC_BD_MAX&amp;" g/cm³ for peat. Above the top of that range usually means the mineral contact has been passed. ","")&amp;IF(AND(ISNUMBER($N392),$N392&gt;QC_CARBON_PCT_MAX),"Carbon above "&amp;QC_CARBON_PCT_MAX&amp;"% — check units; this may be organic matter rather than carbon. ","")&amp;IF(AND($L392&lt;&gt;"",$M392&lt;&gt;""),"Both LOI and measured carbon given — the measured value is used. ","")&amp;IF(AND($M392="",$L392&lt;&gt;"",OM_FACTOR_IS_LOCAL&lt;&gt;"Yes"),"Carbon derived from LOI using the default factor of "&amp;CARBON_FRACTION_OM&amp;", which has not been calibrated locally. See R1. Reference. ","")&amp;IF(AND(ISNUMBER($O392),$O392=0,ISNUMBER($E392)),"Section lies entirely below the reference depth — it counts to the full-profile stock only. ",""))</f>
        <v/>
      </c>
      <c r="U392" s="14" t="n"/>
    </row>
    <row r="393">
      <c r="A393" s="14" t="n"/>
      <c r="B393" s="14" t="n"/>
      <c r="C393" s="14" t="n"/>
      <c r="D393" s="14" t="n"/>
      <c r="E393" s="14" t="n"/>
      <c r="F393" s="14" t="n"/>
      <c r="G393" s="14">
        <f>IF(OR($E393="",$F393=""),"",$F393-$E393)</f>
        <v/>
      </c>
      <c r="H393" s="14" t="n"/>
      <c r="I393" s="14" t="n"/>
      <c r="J393" s="19" t="n"/>
      <c r="K393" s="19" t="n"/>
      <c r="L393" s="19" t="n"/>
      <c r="M393" s="19" t="n"/>
      <c r="N393" s="18">
        <f>IF($M393&lt;&gt;"",$M393,IF($L393&lt;&gt;"",$L393*CARBON_FRACTION_OM,""))</f>
        <v/>
      </c>
      <c r="O393" s="18">
        <f>IF(OR($E393="",$F393=""),"",MAX(0,MIN($F393,REFERENCE_DEPTH_CM)-MIN($E393,REFERENCE_DEPTH_CM)))</f>
        <v/>
      </c>
      <c r="P393" s="18">
        <f>IF(OR($J393="",$N393="",$G393=""),"",$J393*($N393/100)*$G393*10)</f>
        <v/>
      </c>
      <c r="Q393" s="18">
        <f>IF(OR($J393="",$N393="",$O393=""),"",$J393*($N393/100)*$O393*10)</f>
        <v/>
      </c>
      <c r="R393" s="18">
        <f>IF(OR(NOT(ISNUMBER($P393)),NOT(ISNUMBER($G393)),$G393=0),0,$P393/$G393)</f>
        <v/>
      </c>
      <c r="S393" s="18">
        <f>IF(OR($B393="",NOT(ISNUMBER($F393))),"",SUMIFS('3. Peat Data'!$P$5:$P$604,'3. Peat Data'!$B$5:$B$604,$B393,'3. Peat Data'!$F$5:$F$604,"&lt;="&amp;$F393))</f>
        <v/>
      </c>
      <c r="T393" s="18">
        <f>IF(AND($A393="",$B393="",$E393=""),"",IF(AND($B393&lt;&gt;"",COUNTIF('2. Core Log'!$A$5:$A$124,$B393)=0),"Core ID not in Core Log. ","")&amp;IF(AND($A393&lt;&gt;"",COUNTIF('1. Plot &amp; Site Log'!$A$5:$A$64,$A393)=0),"Plot ID not in Plot &amp; Site Log. ","")&amp;IF(AND(ISNUMBER($E393),ISNUMBER($F393),$F393&lt;=$E393),"Bottom depth is not below top depth. ","")&amp;IF($I393="","Say which bulk-density basis the lab reported. ","")&amp;IF(AND(ISNUMBER($J393),OR($J393&lt;QC_BD_MIN,$J393&gt;QC_BD_MAX)),"Bulk density outside "&amp;QC_BD_MIN&amp;"–"&amp;QC_BD_MAX&amp;" g/cm³ for peat. Above the top of that range usually means the mineral contact has been passed. ","")&amp;IF(AND(ISNUMBER($N393),$N393&gt;QC_CARBON_PCT_MAX),"Carbon above "&amp;QC_CARBON_PCT_MAX&amp;"% — check units; this may be organic matter rather than carbon. ","")&amp;IF(AND($L393&lt;&gt;"",$M393&lt;&gt;""),"Both LOI and measured carbon given — the measured value is used. ","")&amp;IF(AND($M393="",$L393&lt;&gt;"",OM_FACTOR_IS_LOCAL&lt;&gt;"Yes"),"Carbon derived from LOI using the default factor of "&amp;CARBON_FRACTION_OM&amp;", which has not been calibrated locally. See R1. Reference. ","")&amp;IF(AND(ISNUMBER($O393),$O393=0,ISNUMBER($E393)),"Section lies entirely below the reference depth — it counts to the full-profile stock only. ",""))</f>
        <v/>
      </c>
      <c r="U393" s="14" t="n"/>
    </row>
    <row r="394">
      <c r="A394" s="14" t="n"/>
      <c r="B394" s="14" t="n"/>
      <c r="C394" s="14" t="n"/>
      <c r="D394" s="14" t="n"/>
      <c r="E394" s="14" t="n"/>
      <c r="F394" s="14" t="n"/>
      <c r="G394" s="14">
        <f>IF(OR($E394="",$F394=""),"",$F394-$E394)</f>
        <v/>
      </c>
      <c r="H394" s="14" t="n"/>
      <c r="I394" s="14" t="n"/>
      <c r="J394" s="19" t="n"/>
      <c r="K394" s="19" t="n"/>
      <c r="L394" s="19" t="n"/>
      <c r="M394" s="19" t="n"/>
      <c r="N394" s="18">
        <f>IF($M394&lt;&gt;"",$M394,IF($L394&lt;&gt;"",$L394*CARBON_FRACTION_OM,""))</f>
        <v/>
      </c>
      <c r="O394" s="18">
        <f>IF(OR($E394="",$F394=""),"",MAX(0,MIN($F394,REFERENCE_DEPTH_CM)-MIN($E394,REFERENCE_DEPTH_CM)))</f>
        <v/>
      </c>
      <c r="P394" s="18">
        <f>IF(OR($J394="",$N394="",$G394=""),"",$J394*($N394/100)*$G394*10)</f>
        <v/>
      </c>
      <c r="Q394" s="18">
        <f>IF(OR($J394="",$N394="",$O394=""),"",$J394*($N394/100)*$O394*10)</f>
        <v/>
      </c>
      <c r="R394" s="18">
        <f>IF(OR(NOT(ISNUMBER($P394)),NOT(ISNUMBER($G394)),$G394=0),0,$P394/$G394)</f>
        <v/>
      </c>
      <c r="S394" s="18">
        <f>IF(OR($B394="",NOT(ISNUMBER($F394))),"",SUMIFS('3. Peat Data'!$P$5:$P$604,'3. Peat Data'!$B$5:$B$604,$B394,'3. Peat Data'!$F$5:$F$604,"&lt;="&amp;$F394))</f>
        <v/>
      </c>
      <c r="T394" s="18">
        <f>IF(AND($A394="",$B394="",$E394=""),"",IF(AND($B394&lt;&gt;"",COUNTIF('2. Core Log'!$A$5:$A$124,$B394)=0),"Core ID not in Core Log. ","")&amp;IF(AND($A394&lt;&gt;"",COUNTIF('1. Plot &amp; Site Log'!$A$5:$A$64,$A394)=0),"Plot ID not in Plot &amp; Site Log. ","")&amp;IF(AND(ISNUMBER($E394),ISNUMBER($F394),$F394&lt;=$E394),"Bottom depth is not below top depth. ","")&amp;IF($I394="","Say which bulk-density basis the lab reported. ","")&amp;IF(AND(ISNUMBER($J394),OR($J394&lt;QC_BD_MIN,$J394&gt;QC_BD_MAX)),"Bulk density outside "&amp;QC_BD_MIN&amp;"–"&amp;QC_BD_MAX&amp;" g/cm³ for peat. Above the top of that range usually means the mineral contact has been passed. ","")&amp;IF(AND(ISNUMBER($N394),$N394&gt;QC_CARBON_PCT_MAX),"Carbon above "&amp;QC_CARBON_PCT_MAX&amp;"% — check units; this may be organic matter rather than carbon. ","")&amp;IF(AND($L394&lt;&gt;"",$M394&lt;&gt;""),"Both LOI and measured carbon given — the measured value is used. ","")&amp;IF(AND($M394="",$L394&lt;&gt;"",OM_FACTOR_IS_LOCAL&lt;&gt;"Yes"),"Carbon derived from LOI using the default factor of "&amp;CARBON_FRACTION_OM&amp;", which has not been calibrated locally. See R1. Reference. ","")&amp;IF(AND(ISNUMBER($O394),$O394=0,ISNUMBER($E394)),"Section lies entirely below the reference depth — it counts to the full-profile stock only. ",""))</f>
        <v/>
      </c>
      <c r="U394" s="14" t="n"/>
    </row>
    <row r="395">
      <c r="A395" s="14" t="n"/>
      <c r="B395" s="14" t="n"/>
      <c r="C395" s="14" t="n"/>
      <c r="D395" s="14" t="n"/>
      <c r="E395" s="14" t="n"/>
      <c r="F395" s="14" t="n"/>
      <c r="G395" s="14">
        <f>IF(OR($E395="",$F395=""),"",$F395-$E395)</f>
        <v/>
      </c>
      <c r="H395" s="14" t="n"/>
      <c r="I395" s="14" t="n"/>
      <c r="J395" s="19" t="n"/>
      <c r="K395" s="19" t="n"/>
      <c r="L395" s="19" t="n"/>
      <c r="M395" s="19" t="n"/>
      <c r="N395" s="18">
        <f>IF($M395&lt;&gt;"",$M395,IF($L395&lt;&gt;"",$L395*CARBON_FRACTION_OM,""))</f>
        <v/>
      </c>
      <c r="O395" s="18">
        <f>IF(OR($E395="",$F395=""),"",MAX(0,MIN($F395,REFERENCE_DEPTH_CM)-MIN($E395,REFERENCE_DEPTH_CM)))</f>
        <v/>
      </c>
      <c r="P395" s="18">
        <f>IF(OR($J395="",$N395="",$G395=""),"",$J395*($N395/100)*$G395*10)</f>
        <v/>
      </c>
      <c r="Q395" s="18">
        <f>IF(OR($J395="",$N395="",$O395=""),"",$J395*($N395/100)*$O395*10)</f>
        <v/>
      </c>
      <c r="R395" s="18">
        <f>IF(OR(NOT(ISNUMBER($P395)),NOT(ISNUMBER($G395)),$G395=0),0,$P395/$G395)</f>
        <v/>
      </c>
      <c r="S395" s="18">
        <f>IF(OR($B395="",NOT(ISNUMBER($F395))),"",SUMIFS('3. Peat Data'!$P$5:$P$604,'3. Peat Data'!$B$5:$B$604,$B395,'3. Peat Data'!$F$5:$F$604,"&lt;="&amp;$F395))</f>
        <v/>
      </c>
      <c r="T395" s="18">
        <f>IF(AND($A395="",$B395="",$E395=""),"",IF(AND($B395&lt;&gt;"",COUNTIF('2. Core Log'!$A$5:$A$124,$B395)=0),"Core ID not in Core Log. ","")&amp;IF(AND($A395&lt;&gt;"",COUNTIF('1. Plot &amp; Site Log'!$A$5:$A$64,$A395)=0),"Plot ID not in Plot &amp; Site Log. ","")&amp;IF(AND(ISNUMBER($E395),ISNUMBER($F395),$F395&lt;=$E395),"Bottom depth is not below top depth. ","")&amp;IF($I395="","Say which bulk-density basis the lab reported. ","")&amp;IF(AND(ISNUMBER($J395),OR($J395&lt;QC_BD_MIN,$J395&gt;QC_BD_MAX)),"Bulk density outside "&amp;QC_BD_MIN&amp;"–"&amp;QC_BD_MAX&amp;" g/cm³ for peat. Above the top of that range usually means the mineral contact has been passed. ","")&amp;IF(AND(ISNUMBER($N395),$N395&gt;QC_CARBON_PCT_MAX),"Carbon above "&amp;QC_CARBON_PCT_MAX&amp;"% — check units; this may be organic matter rather than carbon. ","")&amp;IF(AND($L395&lt;&gt;"",$M395&lt;&gt;""),"Both LOI and measured carbon given — the measured value is used. ","")&amp;IF(AND($M395="",$L395&lt;&gt;"",OM_FACTOR_IS_LOCAL&lt;&gt;"Yes"),"Carbon derived from LOI using the default factor of "&amp;CARBON_FRACTION_OM&amp;", which has not been calibrated locally. See R1. Reference. ","")&amp;IF(AND(ISNUMBER($O395),$O395=0,ISNUMBER($E395)),"Section lies entirely below the reference depth — it counts to the full-profile stock only. ",""))</f>
        <v/>
      </c>
      <c r="U395" s="14" t="n"/>
    </row>
    <row r="396">
      <c r="A396" s="14" t="n"/>
      <c r="B396" s="14" t="n"/>
      <c r="C396" s="14" t="n"/>
      <c r="D396" s="14" t="n"/>
      <c r="E396" s="14" t="n"/>
      <c r="F396" s="14" t="n"/>
      <c r="G396" s="14">
        <f>IF(OR($E396="",$F396=""),"",$F396-$E396)</f>
        <v/>
      </c>
      <c r="H396" s="14" t="n"/>
      <c r="I396" s="14" t="n"/>
      <c r="J396" s="19" t="n"/>
      <c r="K396" s="19" t="n"/>
      <c r="L396" s="19" t="n"/>
      <c r="M396" s="19" t="n"/>
      <c r="N396" s="18">
        <f>IF($M396&lt;&gt;"",$M396,IF($L396&lt;&gt;"",$L396*CARBON_FRACTION_OM,""))</f>
        <v/>
      </c>
      <c r="O396" s="18">
        <f>IF(OR($E396="",$F396=""),"",MAX(0,MIN($F396,REFERENCE_DEPTH_CM)-MIN($E396,REFERENCE_DEPTH_CM)))</f>
        <v/>
      </c>
      <c r="P396" s="18">
        <f>IF(OR($J396="",$N396="",$G396=""),"",$J396*($N396/100)*$G396*10)</f>
        <v/>
      </c>
      <c r="Q396" s="18">
        <f>IF(OR($J396="",$N396="",$O396=""),"",$J396*($N396/100)*$O396*10)</f>
        <v/>
      </c>
      <c r="R396" s="18">
        <f>IF(OR(NOT(ISNUMBER($P396)),NOT(ISNUMBER($G396)),$G396=0),0,$P396/$G396)</f>
        <v/>
      </c>
      <c r="S396" s="18">
        <f>IF(OR($B396="",NOT(ISNUMBER($F396))),"",SUMIFS('3. Peat Data'!$P$5:$P$604,'3. Peat Data'!$B$5:$B$604,$B396,'3. Peat Data'!$F$5:$F$604,"&lt;="&amp;$F396))</f>
        <v/>
      </c>
      <c r="T396" s="18">
        <f>IF(AND($A396="",$B396="",$E396=""),"",IF(AND($B396&lt;&gt;"",COUNTIF('2. Core Log'!$A$5:$A$124,$B396)=0),"Core ID not in Core Log. ","")&amp;IF(AND($A396&lt;&gt;"",COUNTIF('1. Plot &amp; Site Log'!$A$5:$A$64,$A396)=0),"Plot ID not in Plot &amp; Site Log. ","")&amp;IF(AND(ISNUMBER($E396),ISNUMBER($F396),$F396&lt;=$E396),"Bottom depth is not below top depth. ","")&amp;IF($I396="","Say which bulk-density basis the lab reported. ","")&amp;IF(AND(ISNUMBER($J396),OR($J396&lt;QC_BD_MIN,$J396&gt;QC_BD_MAX)),"Bulk density outside "&amp;QC_BD_MIN&amp;"–"&amp;QC_BD_MAX&amp;" g/cm³ for peat. Above the top of that range usually means the mineral contact has been passed. ","")&amp;IF(AND(ISNUMBER($N396),$N396&gt;QC_CARBON_PCT_MAX),"Carbon above "&amp;QC_CARBON_PCT_MAX&amp;"% — check units; this may be organic matter rather than carbon. ","")&amp;IF(AND($L396&lt;&gt;"",$M396&lt;&gt;""),"Both LOI and measured carbon given — the measured value is used. ","")&amp;IF(AND($M396="",$L396&lt;&gt;"",OM_FACTOR_IS_LOCAL&lt;&gt;"Yes"),"Carbon derived from LOI using the default factor of "&amp;CARBON_FRACTION_OM&amp;", which has not been calibrated locally. See R1. Reference. ","")&amp;IF(AND(ISNUMBER($O396),$O396=0,ISNUMBER($E396)),"Section lies entirely below the reference depth — it counts to the full-profile stock only. ",""))</f>
        <v/>
      </c>
      <c r="U396" s="14" t="n"/>
    </row>
    <row r="397">
      <c r="A397" s="14" t="n"/>
      <c r="B397" s="14" t="n"/>
      <c r="C397" s="14" t="n"/>
      <c r="D397" s="14" t="n"/>
      <c r="E397" s="14" t="n"/>
      <c r="F397" s="14" t="n"/>
      <c r="G397" s="14">
        <f>IF(OR($E397="",$F397=""),"",$F397-$E397)</f>
        <v/>
      </c>
      <c r="H397" s="14" t="n"/>
      <c r="I397" s="14" t="n"/>
      <c r="J397" s="19" t="n"/>
      <c r="K397" s="19" t="n"/>
      <c r="L397" s="19" t="n"/>
      <c r="M397" s="19" t="n"/>
      <c r="N397" s="18">
        <f>IF($M397&lt;&gt;"",$M397,IF($L397&lt;&gt;"",$L397*CARBON_FRACTION_OM,""))</f>
        <v/>
      </c>
      <c r="O397" s="18">
        <f>IF(OR($E397="",$F397=""),"",MAX(0,MIN($F397,REFERENCE_DEPTH_CM)-MIN($E397,REFERENCE_DEPTH_CM)))</f>
        <v/>
      </c>
      <c r="P397" s="18">
        <f>IF(OR($J397="",$N397="",$G397=""),"",$J397*($N397/100)*$G397*10)</f>
        <v/>
      </c>
      <c r="Q397" s="18">
        <f>IF(OR($J397="",$N397="",$O397=""),"",$J397*($N397/100)*$O397*10)</f>
        <v/>
      </c>
      <c r="R397" s="18">
        <f>IF(OR(NOT(ISNUMBER($P397)),NOT(ISNUMBER($G397)),$G397=0),0,$P397/$G397)</f>
        <v/>
      </c>
      <c r="S397" s="18">
        <f>IF(OR($B397="",NOT(ISNUMBER($F397))),"",SUMIFS('3. Peat Data'!$P$5:$P$604,'3. Peat Data'!$B$5:$B$604,$B397,'3. Peat Data'!$F$5:$F$604,"&lt;="&amp;$F397))</f>
        <v/>
      </c>
      <c r="T397" s="18">
        <f>IF(AND($A397="",$B397="",$E397=""),"",IF(AND($B397&lt;&gt;"",COUNTIF('2. Core Log'!$A$5:$A$124,$B397)=0),"Core ID not in Core Log. ","")&amp;IF(AND($A397&lt;&gt;"",COUNTIF('1. Plot &amp; Site Log'!$A$5:$A$64,$A397)=0),"Plot ID not in Plot &amp; Site Log. ","")&amp;IF(AND(ISNUMBER($E397),ISNUMBER($F397),$F397&lt;=$E397),"Bottom depth is not below top depth. ","")&amp;IF($I397="","Say which bulk-density basis the lab reported. ","")&amp;IF(AND(ISNUMBER($J397),OR($J397&lt;QC_BD_MIN,$J397&gt;QC_BD_MAX)),"Bulk density outside "&amp;QC_BD_MIN&amp;"–"&amp;QC_BD_MAX&amp;" g/cm³ for peat. Above the top of that range usually means the mineral contact has been passed. ","")&amp;IF(AND(ISNUMBER($N397),$N397&gt;QC_CARBON_PCT_MAX),"Carbon above "&amp;QC_CARBON_PCT_MAX&amp;"% — check units; this may be organic matter rather than carbon. ","")&amp;IF(AND($L397&lt;&gt;"",$M397&lt;&gt;""),"Both LOI and measured carbon given — the measured value is used. ","")&amp;IF(AND($M397="",$L397&lt;&gt;"",OM_FACTOR_IS_LOCAL&lt;&gt;"Yes"),"Carbon derived from LOI using the default factor of "&amp;CARBON_FRACTION_OM&amp;", which has not been calibrated locally. See R1. Reference. ","")&amp;IF(AND(ISNUMBER($O397),$O397=0,ISNUMBER($E397)),"Section lies entirely below the reference depth — it counts to the full-profile stock only. ",""))</f>
        <v/>
      </c>
      <c r="U397" s="14" t="n"/>
    </row>
    <row r="398">
      <c r="A398" s="14" t="n"/>
      <c r="B398" s="14" t="n"/>
      <c r="C398" s="14" t="n"/>
      <c r="D398" s="14" t="n"/>
      <c r="E398" s="14" t="n"/>
      <c r="F398" s="14" t="n"/>
      <c r="G398" s="14">
        <f>IF(OR($E398="",$F398=""),"",$F398-$E398)</f>
        <v/>
      </c>
      <c r="H398" s="14" t="n"/>
      <c r="I398" s="14" t="n"/>
      <c r="J398" s="19" t="n"/>
      <c r="K398" s="19" t="n"/>
      <c r="L398" s="19" t="n"/>
      <c r="M398" s="19" t="n"/>
      <c r="N398" s="18">
        <f>IF($M398&lt;&gt;"",$M398,IF($L398&lt;&gt;"",$L398*CARBON_FRACTION_OM,""))</f>
        <v/>
      </c>
      <c r="O398" s="18">
        <f>IF(OR($E398="",$F398=""),"",MAX(0,MIN($F398,REFERENCE_DEPTH_CM)-MIN($E398,REFERENCE_DEPTH_CM)))</f>
        <v/>
      </c>
      <c r="P398" s="18">
        <f>IF(OR($J398="",$N398="",$G398=""),"",$J398*($N398/100)*$G398*10)</f>
        <v/>
      </c>
      <c r="Q398" s="18">
        <f>IF(OR($J398="",$N398="",$O398=""),"",$J398*($N398/100)*$O398*10)</f>
        <v/>
      </c>
      <c r="R398" s="18">
        <f>IF(OR(NOT(ISNUMBER($P398)),NOT(ISNUMBER($G398)),$G398=0),0,$P398/$G398)</f>
        <v/>
      </c>
      <c r="S398" s="18">
        <f>IF(OR($B398="",NOT(ISNUMBER($F398))),"",SUMIFS('3. Peat Data'!$P$5:$P$604,'3. Peat Data'!$B$5:$B$604,$B398,'3. Peat Data'!$F$5:$F$604,"&lt;="&amp;$F398))</f>
        <v/>
      </c>
      <c r="T398" s="18">
        <f>IF(AND($A398="",$B398="",$E398=""),"",IF(AND($B398&lt;&gt;"",COUNTIF('2. Core Log'!$A$5:$A$124,$B398)=0),"Core ID not in Core Log. ","")&amp;IF(AND($A398&lt;&gt;"",COUNTIF('1. Plot &amp; Site Log'!$A$5:$A$64,$A398)=0),"Plot ID not in Plot &amp; Site Log. ","")&amp;IF(AND(ISNUMBER($E398),ISNUMBER($F398),$F398&lt;=$E398),"Bottom depth is not below top depth. ","")&amp;IF($I398="","Say which bulk-density basis the lab reported. ","")&amp;IF(AND(ISNUMBER($J398),OR($J398&lt;QC_BD_MIN,$J398&gt;QC_BD_MAX)),"Bulk density outside "&amp;QC_BD_MIN&amp;"–"&amp;QC_BD_MAX&amp;" g/cm³ for peat. Above the top of that range usually means the mineral contact has been passed. ","")&amp;IF(AND(ISNUMBER($N398),$N398&gt;QC_CARBON_PCT_MAX),"Carbon above "&amp;QC_CARBON_PCT_MAX&amp;"% — check units; this may be organic matter rather than carbon. ","")&amp;IF(AND($L398&lt;&gt;"",$M398&lt;&gt;""),"Both LOI and measured carbon given — the measured value is used. ","")&amp;IF(AND($M398="",$L398&lt;&gt;"",OM_FACTOR_IS_LOCAL&lt;&gt;"Yes"),"Carbon derived from LOI using the default factor of "&amp;CARBON_FRACTION_OM&amp;", which has not been calibrated locally. See R1. Reference. ","")&amp;IF(AND(ISNUMBER($O398),$O398=0,ISNUMBER($E398)),"Section lies entirely below the reference depth — it counts to the full-profile stock only. ",""))</f>
        <v/>
      </c>
      <c r="U398" s="14" t="n"/>
    </row>
    <row r="399">
      <c r="A399" s="14" t="n"/>
      <c r="B399" s="14" t="n"/>
      <c r="C399" s="14" t="n"/>
      <c r="D399" s="14" t="n"/>
      <c r="E399" s="14" t="n"/>
      <c r="F399" s="14" t="n"/>
      <c r="G399" s="14">
        <f>IF(OR($E399="",$F399=""),"",$F399-$E399)</f>
        <v/>
      </c>
      <c r="H399" s="14" t="n"/>
      <c r="I399" s="14" t="n"/>
      <c r="J399" s="19" t="n"/>
      <c r="K399" s="19" t="n"/>
      <c r="L399" s="19" t="n"/>
      <c r="M399" s="19" t="n"/>
      <c r="N399" s="18">
        <f>IF($M399&lt;&gt;"",$M399,IF($L399&lt;&gt;"",$L399*CARBON_FRACTION_OM,""))</f>
        <v/>
      </c>
      <c r="O399" s="18">
        <f>IF(OR($E399="",$F399=""),"",MAX(0,MIN($F399,REFERENCE_DEPTH_CM)-MIN($E399,REFERENCE_DEPTH_CM)))</f>
        <v/>
      </c>
      <c r="P399" s="18">
        <f>IF(OR($J399="",$N399="",$G399=""),"",$J399*($N399/100)*$G399*10)</f>
        <v/>
      </c>
      <c r="Q399" s="18">
        <f>IF(OR($J399="",$N399="",$O399=""),"",$J399*($N399/100)*$O399*10)</f>
        <v/>
      </c>
      <c r="R399" s="18">
        <f>IF(OR(NOT(ISNUMBER($P399)),NOT(ISNUMBER($G399)),$G399=0),0,$P399/$G399)</f>
        <v/>
      </c>
      <c r="S399" s="18">
        <f>IF(OR($B399="",NOT(ISNUMBER($F399))),"",SUMIFS('3. Peat Data'!$P$5:$P$604,'3. Peat Data'!$B$5:$B$604,$B399,'3. Peat Data'!$F$5:$F$604,"&lt;="&amp;$F399))</f>
        <v/>
      </c>
      <c r="T399" s="18">
        <f>IF(AND($A399="",$B399="",$E399=""),"",IF(AND($B399&lt;&gt;"",COUNTIF('2. Core Log'!$A$5:$A$124,$B399)=0),"Core ID not in Core Log. ","")&amp;IF(AND($A399&lt;&gt;"",COUNTIF('1. Plot &amp; Site Log'!$A$5:$A$64,$A399)=0),"Plot ID not in Plot &amp; Site Log. ","")&amp;IF(AND(ISNUMBER($E399),ISNUMBER($F399),$F399&lt;=$E399),"Bottom depth is not below top depth. ","")&amp;IF($I399="","Say which bulk-density basis the lab reported. ","")&amp;IF(AND(ISNUMBER($J399),OR($J399&lt;QC_BD_MIN,$J399&gt;QC_BD_MAX)),"Bulk density outside "&amp;QC_BD_MIN&amp;"–"&amp;QC_BD_MAX&amp;" g/cm³ for peat. Above the top of that range usually means the mineral contact has been passed. ","")&amp;IF(AND(ISNUMBER($N399),$N399&gt;QC_CARBON_PCT_MAX),"Carbon above "&amp;QC_CARBON_PCT_MAX&amp;"% — check units; this may be organic matter rather than carbon. ","")&amp;IF(AND($L399&lt;&gt;"",$M399&lt;&gt;""),"Both LOI and measured carbon given — the measured value is used. ","")&amp;IF(AND($M399="",$L399&lt;&gt;"",OM_FACTOR_IS_LOCAL&lt;&gt;"Yes"),"Carbon derived from LOI using the default factor of "&amp;CARBON_FRACTION_OM&amp;", which has not been calibrated locally. See R1. Reference. ","")&amp;IF(AND(ISNUMBER($O399),$O399=0,ISNUMBER($E399)),"Section lies entirely below the reference depth — it counts to the full-profile stock only. ",""))</f>
        <v/>
      </c>
      <c r="U399" s="14" t="n"/>
    </row>
    <row r="400">
      <c r="A400" s="14" t="n"/>
      <c r="B400" s="14" t="n"/>
      <c r="C400" s="14" t="n"/>
      <c r="D400" s="14" t="n"/>
      <c r="E400" s="14" t="n"/>
      <c r="F400" s="14" t="n"/>
      <c r="G400" s="14">
        <f>IF(OR($E400="",$F400=""),"",$F400-$E400)</f>
        <v/>
      </c>
      <c r="H400" s="14" t="n"/>
      <c r="I400" s="14" t="n"/>
      <c r="J400" s="19" t="n"/>
      <c r="K400" s="19" t="n"/>
      <c r="L400" s="19" t="n"/>
      <c r="M400" s="19" t="n"/>
      <c r="N400" s="18">
        <f>IF($M400&lt;&gt;"",$M400,IF($L400&lt;&gt;"",$L400*CARBON_FRACTION_OM,""))</f>
        <v/>
      </c>
      <c r="O400" s="18">
        <f>IF(OR($E400="",$F400=""),"",MAX(0,MIN($F400,REFERENCE_DEPTH_CM)-MIN($E400,REFERENCE_DEPTH_CM)))</f>
        <v/>
      </c>
      <c r="P400" s="18">
        <f>IF(OR($J400="",$N400="",$G400=""),"",$J400*($N400/100)*$G400*10)</f>
        <v/>
      </c>
      <c r="Q400" s="18">
        <f>IF(OR($J400="",$N400="",$O400=""),"",$J400*($N400/100)*$O400*10)</f>
        <v/>
      </c>
      <c r="R400" s="18">
        <f>IF(OR(NOT(ISNUMBER($P400)),NOT(ISNUMBER($G400)),$G400=0),0,$P400/$G400)</f>
        <v/>
      </c>
      <c r="S400" s="18">
        <f>IF(OR($B400="",NOT(ISNUMBER($F400))),"",SUMIFS('3. Peat Data'!$P$5:$P$604,'3. Peat Data'!$B$5:$B$604,$B400,'3. Peat Data'!$F$5:$F$604,"&lt;="&amp;$F400))</f>
        <v/>
      </c>
      <c r="T400" s="18">
        <f>IF(AND($A400="",$B400="",$E400=""),"",IF(AND($B400&lt;&gt;"",COUNTIF('2. Core Log'!$A$5:$A$124,$B400)=0),"Core ID not in Core Log. ","")&amp;IF(AND($A400&lt;&gt;"",COUNTIF('1. Plot &amp; Site Log'!$A$5:$A$64,$A400)=0),"Plot ID not in Plot &amp; Site Log. ","")&amp;IF(AND(ISNUMBER($E400),ISNUMBER($F400),$F400&lt;=$E400),"Bottom depth is not below top depth. ","")&amp;IF($I400="","Say which bulk-density basis the lab reported. ","")&amp;IF(AND(ISNUMBER($J400),OR($J400&lt;QC_BD_MIN,$J400&gt;QC_BD_MAX)),"Bulk density outside "&amp;QC_BD_MIN&amp;"–"&amp;QC_BD_MAX&amp;" g/cm³ for peat. Above the top of that range usually means the mineral contact has been passed. ","")&amp;IF(AND(ISNUMBER($N400),$N400&gt;QC_CARBON_PCT_MAX),"Carbon above "&amp;QC_CARBON_PCT_MAX&amp;"% — check units; this may be organic matter rather than carbon. ","")&amp;IF(AND($L400&lt;&gt;"",$M400&lt;&gt;""),"Both LOI and measured carbon given — the measured value is used. ","")&amp;IF(AND($M400="",$L400&lt;&gt;"",OM_FACTOR_IS_LOCAL&lt;&gt;"Yes"),"Carbon derived from LOI using the default factor of "&amp;CARBON_FRACTION_OM&amp;", which has not been calibrated locally. See R1. Reference. ","")&amp;IF(AND(ISNUMBER($O400),$O400=0,ISNUMBER($E400)),"Section lies entirely below the reference depth — it counts to the full-profile stock only. ",""))</f>
        <v/>
      </c>
      <c r="U400" s="14" t="n"/>
    </row>
    <row r="401">
      <c r="A401" s="14" t="n"/>
      <c r="B401" s="14" t="n"/>
      <c r="C401" s="14" t="n"/>
      <c r="D401" s="14" t="n"/>
      <c r="E401" s="14" t="n"/>
      <c r="F401" s="14" t="n"/>
      <c r="G401" s="14">
        <f>IF(OR($E401="",$F401=""),"",$F401-$E401)</f>
        <v/>
      </c>
      <c r="H401" s="14" t="n"/>
      <c r="I401" s="14" t="n"/>
      <c r="J401" s="19" t="n"/>
      <c r="K401" s="19" t="n"/>
      <c r="L401" s="19" t="n"/>
      <c r="M401" s="19" t="n"/>
      <c r="N401" s="18">
        <f>IF($M401&lt;&gt;"",$M401,IF($L401&lt;&gt;"",$L401*CARBON_FRACTION_OM,""))</f>
        <v/>
      </c>
      <c r="O401" s="18">
        <f>IF(OR($E401="",$F401=""),"",MAX(0,MIN($F401,REFERENCE_DEPTH_CM)-MIN($E401,REFERENCE_DEPTH_CM)))</f>
        <v/>
      </c>
      <c r="P401" s="18">
        <f>IF(OR($J401="",$N401="",$G401=""),"",$J401*($N401/100)*$G401*10)</f>
        <v/>
      </c>
      <c r="Q401" s="18">
        <f>IF(OR($J401="",$N401="",$O401=""),"",$J401*($N401/100)*$O401*10)</f>
        <v/>
      </c>
      <c r="R401" s="18">
        <f>IF(OR(NOT(ISNUMBER($P401)),NOT(ISNUMBER($G401)),$G401=0),0,$P401/$G401)</f>
        <v/>
      </c>
      <c r="S401" s="18">
        <f>IF(OR($B401="",NOT(ISNUMBER($F401))),"",SUMIFS('3. Peat Data'!$P$5:$P$604,'3. Peat Data'!$B$5:$B$604,$B401,'3. Peat Data'!$F$5:$F$604,"&lt;="&amp;$F401))</f>
        <v/>
      </c>
      <c r="T401" s="18">
        <f>IF(AND($A401="",$B401="",$E401=""),"",IF(AND($B401&lt;&gt;"",COUNTIF('2. Core Log'!$A$5:$A$124,$B401)=0),"Core ID not in Core Log. ","")&amp;IF(AND($A401&lt;&gt;"",COUNTIF('1. Plot &amp; Site Log'!$A$5:$A$64,$A401)=0),"Plot ID not in Plot &amp; Site Log. ","")&amp;IF(AND(ISNUMBER($E401),ISNUMBER($F401),$F401&lt;=$E401),"Bottom depth is not below top depth. ","")&amp;IF($I401="","Say which bulk-density basis the lab reported. ","")&amp;IF(AND(ISNUMBER($J401),OR($J401&lt;QC_BD_MIN,$J401&gt;QC_BD_MAX)),"Bulk density outside "&amp;QC_BD_MIN&amp;"–"&amp;QC_BD_MAX&amp;" g/cm³ for peat. Above the top of that range usually means the mineral contact has been passed. ","")&amp;IF(AND(ISNUMBER($N401),$N401&gt;QC_CARBON_PCT_MAX),"Carbon above "&amp;QC_CARBON_PCT_MAX&amp;"% — check units; this may be organic matter rather than carbon. ","")&amp;IF(AND($L401&lt;&gt;"",$M401&lt;&gt;""),"Both LOI and measured carbon given — the measured value is used. ","")&amp;IF(AND($M401="",$L401&lt;&gt;"",OM_FACTOR_IS_LOCAL&lt;&gt;"Yes"),"Carbon derived from LOI using the default factor of "&amp;CARBON_FRACTION_OM&amp;", which has not been calibrated locally. See R1. Reference. ","")&amp;IF(AND(ISNUMBER($O401),$O401=0,ISNUMBER($E401)),"Section lies entirely below the reference depth — it counts to the full-profile stock only. ",""))</f>
        <v/>
      </c>
      <c r="U401" s="14" t="n"/>
    </row>
    <row r="402">
      <c r="A402" s="14" t="n"/>
      <c r="B402" s="14" t="n"/>
      <c r="C402" s="14" t="n"/>
      <c r="D402" s="14" t="n"/>
      <c r="E402" s="14" t="n"/>
      <c r="F402" s="14" t="n"/>
      <c r="G402" s="14">
        <f>IF(OR($E402="",$F402=""),"",$F402-$E402)</f>
        <v/>
      </c>
      <c r="H402" s="14" t="n"/>
      <c r="I402" s="14" t="n"/>
      <c r="J402" s="19" t="n"/>
      <c r="K402" s="19" t="n"/>
      <c r="L402" s="19" t="n"/>
      <c r="M402" s="19" t="n"/>
      <c r="N402" s="18">
        <f>IF($M402&lt;&gt;"",$M402,IF($L402&lt;&gt;"",$L402*CARBON_FRACTION_OM,""))</f>
        <v/>
      </c>
      <c r="O402" s="18">
        <f>IF(OR($E402="",$F402=""),"",MAX(0,MIN($F402,REFERENCE_DEPTH_CM)-MIN($E402,REFERENCE_DEPTH_CM)))</f>
        <v/>
      </c>
      <c r="P402" s="18">
        <f>IF(OR($J402="",$N402="",$G402=""),"",$J402*($N402/100)*$G402*10)</f>
        <v/>
      </c>
      <c r="Q402" s="18">
        <f>IF(OR($J402="",$N402="",$O402=""),"",$J402*($N402/100)*$O402*10)</f>
        <v/>
      </c>
      <c r="R402" s="18">
        <f>IF(OR(NOT(ISNUMBER($P402)),NOT(ISNUMBER($G402)),$G402=0),0,$P402/$G402)</f>
        <v/>
      </c>
      <c r="S402" s="18">
        <f>IF(OR($B402="",NOT(ISNUMBER($F402))),"",SUMIFS('3. Peat Data'!$P$5:$P$604,'3. Peat Data'!$B$5:$B$604,$B402,'3. Peat Data'!$F$5:$F$604,"&lt;="&amp;$F402))</f>
        <v/>
      </c>
      <c r="T402" s="18">
        <f>IF(AND($A402="",$B402="",$E402=""),"",IF(AND($B402&lt;&gt;"",COUNTIF('2. Core Log'!$A$5:$A$124,$B402)=0),"Core ID not in Core Log. ","")&amp;IF(AND($A402&lt;&gt;"",COUNTIF('1. Plot &amp; Site Log'!$A$5:$A$64,$A402)=0),"Plot ID not in Plot &amp; Site Log. ","")&amp;IF(AND(ISNUMBER($E402),ISNUMBER($F402),$F402&lt;=$E402),"Bottom depth is not below top depth. ","")&amp;IF($I402="","Say which bulk-density basis the lab reported. ","")&amp;IF(AND(ISNUMBER($J402),OR($J402&lt;QC_BD_MIN,$J402&gt;QC_BD_MAX)),"Bulk density outside "&amp;QC_BD_MIN&amp;"–"&amp;QC_BD_MAX&amp;" g/cm³ for peat. Above the top of that range usually means the mineral contact has been passed. ","")&amp;IF(AND(ISNUMBER($N402),$N402&gt;QC_CARBON_PCT_MAX),"Carbon above "&amp;QC_CARBON_PCT_MAX&amp;"% — check units; this may be organic matter rather than carbon. ","")&amp;IF(AND($L402&lt;&gt;"",$M402&lt;&gt;""),"Both LOI and measured carbon given — the measured value is used. ","")&amp;IF(AND($M402="",$L402&lt;&gt;"",OM_FACTOR_IS_LOCAL&lt;&gt;"Yes"),"Carbon derived from LOI using the default factor of "&amp;CARBON_FRACTION_OM&amp;", which has not been calibrated locally. See R1. Reference. ","")&amp;IF(AND(ISNUMBER($O402),$O402=0,ISNUMBER($E402)),"Section lies entirely below the reference depth — it counts to the full-profile stock only. ",""))</f>
        <v/>
      </c>
      <c r="U402" s="14" t="n"/>
    </row>
    <row r="403">
      <c r="A403" s="14" t="n"/>
      <c r="B403" s="14" t="n"/>
      <c r="C403" s="14" t="n"/>
      <c r="D403" s="14" t="n"/>
      <c r="E403" s="14" t="n"/>
      <c r="F403" s="14" t="n"/>
      <c r="G403" s="14">
        <f>IF(OR($E403="",$F403=""),"",$F403-$E403)</f>
        <v/>
      </c>
      <c r="H403" s="14" t="n"/>
      <c r="I403" s="14" t="n"/>
      <c r="J403" s="19" t="n"/>
      <c r="K403" s="19" t="n"/>
      <c r="L403" s="19" t="n"/>
      <c r="M403" s="19" t="n"/>
      <c r="N403" s="18">
        <f>IF($M403&lt;&gt;"",$M403,IF($L403&lt;&gt;"",$L403*CARBON_FRACTION_OM,""))</f>
        <v/>
      </c>
      <c r="O403" s="18">
        <f>IF(OR($E403="",$F403=""),"",MAX(0,MIN($F403,REFERENCE_DEPTH_CM)-MIN($E403,REFERENCE_DEPTH_CM)))</f>
        <v/>
      </c>
      <c r="P403" s="18">
        <f>IF(OR($J403="",$N403="",$G403=""),"",$J403*($N403/100)*$G403*10)</f>
        <v/>
      </c>
      <c r="Q403" s="18">
        <f>IF(OR($J403="",$N403="",$O403=""),"",$J403*($N403/100)*$O403*10)</f>
        <v/>
      </c>
      <c r="R403" s="18">
        <f>IF(OR(NOT(ISNUMBER($P403)),NOT(ISNUMBER($G403)),$G403=0),0,$P403/$G403)</f>
        <v/>
      </c>
      <c r="S403" s="18">
        <f>IF(OR($B403="",NOT(ISNUMBER($F403))),"",SUMIFS('3. Peat Data'!$P$5:$P$604,'3. Peat Data'!$B$5:$B$604,$B403,'3. Peat Data'!$F$5:$F$604,"&lt;="&amp;$F403))</f>
        <v/>
      </c>
      <c r="T403" s="18">
        <f>IF(AND($A403="",$B403="",$E403=""),"",IF(AND($B403&lt;&gt;"",COUNTIF('2. Core Log'!$A$5:$A$124,$B403)=0),"Core ID not in Core Log. ","")&amp;IF(AND($A403&lt;&gt;"",COUNTIF('1. Plot &amp; Site Log'!$A$5:$A$64,$A403)=0),"Plot ID not in Plot &amp; Site Log. ","")&amp;IF(AND(ISNUMBER($E403),ISNUMBER($F403),$F403&lt;=$E403),"Bottom depth is not below top depth. ","")&amp;IF($I403="","Say which bulk-density basis the lab reported. ","")&amp;IF(AND(ISNUMBER($J403),OR($J403&lt;QC_BD_MIN,$J403&gt;QC_BD_MAX)),"Bulk density outside "&amp;QC_BD_MIN&amp;"–"&amp;QC_BD_MAX&amp;" g/cm³ for peat. Above the top of that range usually means the mineral contact has been passed. ","")&amp;IF(AND(ISNUMBER($N403),$N403&gt;QC_CARBON_PCT_MAX),"Carbon above "&amp;QC_CARBON_PCT_MAX&amp;"% — check units; this may be organic matter rather than carbon. ","")&amp;IF(AND($L403&lt;&gt;"",$M403&lt;&gt;""),"Both LOI and measured carbon given — the measured value is used. ","")&amp;IF(AND($M403="",$L403&lt;&gt;"",OM_FACTOR_IS_LOCAL&lt;&gt;"Yes"),"Carbon derived from LOI using the default factor of "&amp;CARBON_FRACTION_OM&amp;", which has not been calibrated locally. See R1. Reference. ","")&amp;IF(AND(ISNUMBER($O403),$O403=0,ISNUMBER($E403)),"Section lies entirely below the reference depth — it counts to the full-profile stock only. ",""))</f>
        <v/>
      </c>
      <c r="U403" s="14" t="n"/>
    </row>
    <row r="404">
      <c r="A404" s="14" t="n"/>
      <c r="B404" s="14" t="n"/>
      <c r="C404" s="14" t="n"/>
      <c r="D404" s="14" t="n"/>
      <c r="E404" s="14" t="n"/>
      <c r="F404" s="14" t="n"/>
      <c r="G404" s="14">
        <f>IF(OR($E404="",$F404=""),"",$F404-$E404)</f>
        <v/>
      </c>
      <c r="H404" s="14" t="n"/>
      <c r="I404" s="14" t="n"/>
      <c r="J404" s="19" t="n"/>
      <c r="K404" s="19" t="n"/>
      <c r="L404" s="19" t="n"/>
      <c r="M404" s="19" t="n"/>
      <c r="N404" s="18">
        <f>IF($M404&lt;&gt;"",$M404,IF($L404&lt;&gt;"",$L404*CARBON_FRACTION_OM,""))</f>
        <v/>
      </c>
      <c r="O404" s="18">
        <f>IF(OR($E404="",$F404=""),"",MAX(0,MIN($F404,REFERENCE_DEPTH_CM)-MIN($E404,REFERENCE_DEPTH_CM)))</f>
        <v/>
      </c>
      <c r="P404" s="18">
        <f>IF(OR($J404="",$N404="",$G404=""),"",$J404*($N404/100)*$G404*10)</f>
        <v/>
      </c>
      <c r="Q404" s="18">
        <f>IF(OR($J404="",$N404="",$O404=""),"",$J404*($N404/100)*$O404*10)</f>
        <v/>
      </c>
      <c r="R404" s="18">
        <f>IF(OR(NOT(ISNUMBER($P404)),NOT(ISNUMBER($G404)),$G404=0),0,$P404/$G404)</f>
        <v/>
      </c>
      <c r="S404" s="18">
        <f>IF(OR($B404="",NOT(ISNUMBER($F404))),"",SUMIFS('3. Peat Data'!$P$5:$P$604,'3. Peat Data'!$B$5:$B$604,$B404,'3. Peat Data'!$F$5:$F$604,"&lt;="&amp;$F404))</f>
        <v/>
      </c>
      <c r="T404" s="18">
        <f>IF(AND($A404="",$B404="",$E404=""),"",IF(AND($B404&lt;&gt;"",COUNTIF('2. Core Log'!$A$5:$A$124,$B404)=0),"Core ID not in Core Log. ","")&amp;IF(AND($A404&lt;&gt;"",COUNTIF('1. Plot &amp; Site Log'!$A$5:$A$64,$A404)=0),"Plot ID not in Plot &amp; Site Log. ","")&amp;IF(AND(ISNUMBER($E404),ISNUMBER($F404),$F404&lt;=$E404),"Bottom depth is not below top depth. ","")&amp;IF($I404="","Say which bulk-density basis the lab reported. ","")&amp;IF(AND(ISNUMBER($J404),OR($J404&lt;QC_BD_MIN,$J404&gt;QC_BD_MAX)),"Bulk density outside "&amp;QC_BD_MIN&amp;"–"&amp;QC_BD_MAX&amp;" g/cm³ for peat. Above the top of that range usually means the mineral contact has been passed. ","")&amp;IF(AND(ISNUMBER($N404),$N404&gt;QC_CARBON_PCT_MAX),"Carbon above "&amp;QC_CARBON_PCT_MAX&amp;"% — check units; this may be organic matter rather than carbon. ","")&amp;IF(AND($L404&lt;&gt;"",$M404&lt;&gt;""),"Both LOI and measured carbon given — the measured value is used. ","")&amp;IF(AND($M404="",$L404&lt;&gt;"",OM_FACTOR_IS_LOCAL&lt;&gt;"Yes"),"Carbon derived from LOI using the default factor of "&amp;CARBON_FRACTION_OM&amp;", which has not been calibrated locally. See R1. Reference. ","")&amp;IF(AND(ISNUMBER($O404),$O404=0,ISNUMBER($E404)),"Section lies entirely below the reference depth — it counts to the full-profile stock only. ",""))</f>
        <v/>
      </c>
      <c r="U404" s="14" t="n"/>
    </row>
    <row r="405">
      <c r="A405" s="14" t="n"/>
      <c r="B405" s="14" t="n"/>
      <c r="C405" s="14" t="n"/>
      <c r="D405" s="14" t="n"/>
      <c r="E405" s="14" t="n"/>
      <c r="F405" s="14" t="n"/>
      <c r="G405" s="14">
        <f>IF(OR($E405="",$F405=""),"",$F405-$E405)</f>
        <v/>
      </c>
      <c r="H405" s="14" t="n"/>
      <c r="I405" s="14" t="n"/>
      <c r="J405" s="19" t="n"/>
      <c r="K405" s="19" t="n"/>
      <c r="L405" s="19" t="n"/>
      <c r="M405" s="19" t="n"/>
      <c r="N405" s="18">
        <f>IF($M405&lt;&gt;"",$M405,IF($L405&lt;&gt;"",$L405*CARBON_FRACTION_OM,""))</f>
        <v/>
      </c>
      <c r="O405" s="18">
        <f>IF(OR($E405="",$F405=""),"",MAX(0,MIN($F405,REFERENCE_DEPTH_CM)-MIN($E405,REFERENCE_DEPTH_CM)))</f>
        <v/>
      </c>
      <c r="P405" s="18">
        <f>IF(OR($J405="",$N405="",$G405=""),"",$J405*($N405/100)*$G405*10)</f>
        <v/>
      </c>
      <c r="Q405" s="18">
        <f>IF(OR($J405="",$N405="",$O405=""),"",$J405*($N405/100)*$O405*10)</f>
        <v/>
      </c>
      <c r="R405" s="18">
        <f>IF(OR(NOT(ISNUMBER($P405)),NOT(ISNUMBER($G405)),$G405=0),0,$P405/$G405)</f>
        <v/>
      </c>
      <c r="S405" s="18">
        <f>IF(OR($B405="",NOT(ISNUMBER($F405))),"",SUMIFS('3. Peat Data'!$P$5:$P$604,'3. Peat Data'!$B$5:$B$604,$B405,'3. Peat Data'!$F$5:$F$604,"&lt;="&amp;$F405))</f>
        <v/>
      </c>
      <c r="T405" s="18">
        <f>IF(AND($A405="",$B405="",$E405=""),"",IF(AND($B405&lt;&gt;"",COUNTIF('2. Core Log'!$A$5:$A$124,$B405)=0),"Core ID not in Core Log. ","")&amp;IF(AND($A405&lt;&gt;"",COUNTIF('1. Plot &amp; Site Log'!$A$5:$A$64,$A405)=0),"Plot ID not in Plot &amp; Site Log. ","")&amp;IF(AND(ISNUMBER($E405),ISNUMBER($F405),$F405&lt;=$E405),"Bottom depth is not below top depth. ","")&amp;IF($I405="","Say which bulk-density basis the lab reported. ","")&amp;IF(AND(ISNUMBER($J405),OR($J405&lt;QC_BD_MIN,$J405&gt;QC_BD_MAX)),"Bulk density outside "&amp;QC_BD_MIN&amp;"–"&amp;QC_BD_MAX&amp;" g/cm³ for peat. Above the top of that range usually means the mineral contact has been passed. ","")&amp;IF(AND(ISNUMBER($N405),$N405&gt;QC_CARBON_PCT_MAX),"Carbon above "&amp;QC_CARBON_PCT_MAX&amp;"% — check units; this may be organic matter rather than carbon. ","")&amp;IF(AND($L405&lt;&gt;"",$M405&lt;&gt;""),"Both LOI and measured carbon given — the measured value is used. ","")&amp;IF(AND($M405="",$L405&lt;&gt;"",OM_FACTOR_IS_LOCAL&lt;&gt;"Yes"),"Carbon derived from LOI using the default factor of "&amp;CARBON_FRACTION_OM&amp;", which has not been calibrated locally. See R1. Reference. ","")&amp;IF(AND(ISNUMBER($O405),$O405=0,ISNUMBER($E405)),"Section lies entirely below the reference depth — it counts to the full-profile stock only. ",""))</f>
        <v/>
      </c>
      <c r="U405" s="14" t="n"/>
    </row>
    <row r="406">
      <c r="A406" s="14" t="n"/>
      <c r="B406" s="14" t="n"/>
      <c r="C406" s="14" t="n"/>
      <c r="D406" s="14" t="n"/>
      <c r="E406" s="14" t="n"/>
      <c r="F406" s="14" t="n"/>
      <c r="G406" s="14">
        <f>IF(OR($E406="",$F406=""),"",$F406-$E406)</f>
        <v/>
      </c>
      <c r="H406" s="14" t="n"/>
      <c r="I406" s="14" t="n"/>
      <c r="J406" s="19" t="n"/>
      <c r="K406" s="19" t="n"/>
      <c r="L406" s="19" t="n"/>
      <c r="M406" s="19" t="n"/>
      <c r="N406" s="18">
        <f>IF($M406&lt;&gt;"",$M406,IF($L406&lt;&gt;"",$L406*CARBON_FRACTION_OM,""))</f>
        <v/>
      </c>
      <c r="O406" s="18">
        <f>IF(OR($E406="",$F406=""),"",MAX(0,MIN($F406,REFERENCE_DEPTH_CM)-MIN($E406,REFERENCE_DEPTH_CM)))</f>
        <v/>
      </c>
      <c r="P406" s="18">
        <f>IF(OR($J406="",$N406="",$G406=""),"",$J406*($N406/100)*$G406*10)</f>
        <v/>
      </c>
      <c r="Q406" s="18">
        <f>IF(OR($J406="",$N406="",$O406=""),"",$J406*($N406/100)*$O406*10)</f>
        <v/>
      </c>
      <c r="R406" s="18">
        <f>IF(OR(NOT(ISNUMBER($P406)),NOT(ISNUMBER($G406)),$G406=0),0,$P406/$G406)</f>
        <v/>
      </c>
      <c r="S406" s="18">
        <f>IF(OR($B406="",NOT(ISNUMBER($F406))),"",SUMIFS('3. Peat Data'!$P$5:$P$604,'3. Peat Data'!$B$5:$B$604,$B406,'3. Peat Data'!$F$5:$F$604,"&lt;="&amp;$F406))</f>
        <v/>
      </c>
      <c r="T406" s="18">
        <f>IF(AND($A406="",$B406="",$E406=""),"",IF(AND($B406&lt;&gt;"",COUNTIF('2. Core Log'!$A$5:$A$124,$B406)=0),"Core ID not in Core Log. ","")&amp;IF(AND($A406&lt;&gt;"",COUNTIF('1. Plot &amp; Site Log'!$A$5:$A$64,$A406)=0),"Plot ID not in Plot &amp; Site Log. ","")&amp;IF(AND(ISNUMBER($E406),ISNUMBER($F406),$F406&lt;=$E406),"Bottom depth is not below top depth. ","")&amp;IF($I406="","Say which bulk-density basis the lab reported. ","")&amp;IF(AND(ISNUMBER($J406),OR($J406&lt;QC_BD_MIN,$J406&gt;QC_BD_MAX)),"Bulk density outside "&amp;QC_BD_MIN&amp;"–"&amp;QC_BD_MAX&amp;" g/cm³ for peat. Above the top of that range usually means the mineral contact has been passed. ","")&amp;IF(AND(ISNUMBER($N406),$N406&gt;QC_CARBON_PCT_MAX),"Carbon above "&amp;QC_CARBON_PCT_MAX&amp;"% — check units; this may be organic matter rather than carbon. ","")&amp;IF(AND($L406&lt;&gt;"",$M406&lt;&gt;""),"Both LOI and measured carbon given — the measured value is used. ","")&amp;IF(AND($M406="",$L406&lt;&gt;"",OM_FACTOR_IS_LOCAL&lt;&gt;"Yes"),"Carbon derived from LOI using the default factor of "&amp;CARBON_FRACTION_OM&amp;", which has not been calibrated locally. See R1. Reference. ","")&amp;IF(AND(ISNUMBER($O406),$O406=0,ISNUMBER($E406)),"Section lies entirely below the reference depth — it counts to the full-profile stock only. ",""))</f>
        <v/>
      </c>
      <c r="U406" s="14" t="n"/>
    </row>
    <row r="407">
      <c r="A407" s="14" t="n"/>
      <c r="B407" s="14" t="n"/>
      <c r="C407" s="14" t="n"/>
      <c r="D407" s="14" t="n"/>
      <c r="E407" s="14" t="n"/>
      <c r="F407" s="14" t="n"/>
      <c r="G407" s="14">
        <f>IF(OR($E407="",$F407=""),"",$F407-$E407)</f>
        <v/>
      </c>
      <c r="H407" s="14" t="n"/>
      <c r="I407" s="14" t="n"/>
      <c r="J407" s="19" t="n"/>
      <c r="K407" s="19" t="n"/>
      <c r="L407" s="19" t="n"/>
      <c r="M407" s="19" t="n"/>
      <c r="N407" s="18">
        <f>IF($M407&lt;&gt;"",$M407,IF($L407&lt;&gt;"",$L407*CARBON_FRACTION_OM,""))</f>
        <v/>
      </c>
      <c r="O407" s="18">
        <f>IF(OR($E407="",$F407=""),"",MAX(0,MIN($F407,REFERENCE_DEPTH_CM)-MIN($E407,REFERENCE_DEPTH_CM)))</f>
        <v/>
      </c>
      <c r="P407" s="18">
        <f>IF(OR($J407="",$N407="",$G407=""),"",$J407*($N407/100)*$G407*10)</f>
        <v/>
      </c>
      <c r="Q407" s="18">
        <f>IF(OR($J407="",$N407="",$O407=""),"",$J407*($N407/100)*$O407*10)</f>
        <v/>
      </c>
      <c r="R407" s="18">
        <f>IF(OR(NOT(ISNUMBER($P407)),NOT(ISNUMBER($G407)),$G407=0),0,$P407/$G407)</f>
        <v/>
      </c>
      <c r="S407" s="18">
        <f>IF(OR($B407="",NOT(ISNUMBER($F407))),"",SUMIFS('3. Peat Data'!$P$5:$P$604,'3. Peat Data'!$B$5:$B$604,$B407,'3. Peat Data'!$F$5:$F$604,"&lt;="&amp;$F407))</f>
        <v/>
      </c>
      <c r="T407" s="18">
        <f>IF(AND($A407="",$B407="",$E407=""),"",IF(AND($B407&lt;&gt;"",COUNTIF('2. Core Log'!$A$5:$A$124,$B407)=0),"Core ID not in Core Log. ","")&amp;IF(AND($A407&lt;&gt;"",COUNTIF('1. Plot &amp; Site Log'!$A$5:$A$64,$A407)=0),"Plot ID not in Plot &amp; Site Log. ","")&amp;IF(AND(ISNUMBER($E407),ISNUMBER($F407),$F407&lt;=$E407),"Bottom depth is not below top depth. ","")&amp;IF($I407="","Say which bulk-density basis the lab reported. ","")&amp;IF(AND(ISNUMBER($J407),OR($J407&lt;QC_BD_MIN,$J407&gt;QC_BD_MAX)),"Bulk density outside "&amp;QC_BD_MIN&amp;"–"&amp;QC_BD_MAX&amp;" g/cm³ for peat. Above the top of that range usually means the mineral contact has been passed. ","")&amp;IF(AND(ISNUMBER($N407),$N407&gt;QC_CARBON_PCT_MAX),"Carbon above "&amp;QC_CARBON_PCT_MAX&amp;"% — check units; this may be organic matter rather than carbon. ","")&amp;IF(AND($L407&lt;&gt;"",$M407&lt;&gt;""),"Both LOI and measured carbon given — the measured value is used. ","")&amp;IF(AND($M407="",$L407&lt;&gt;"",OM_FACTOR_IS_LOCAL&lt;&gt;"Yes"),"Carbon derived from LOI using the default factor of "&amp;CARBON_FRACTION_OM&amp;", which has not been calibrated locally. See R1. Reference. ","")&amp;IF(AND(ISNUMBER($O407),$O407=0,ISNUMBER($E407)),"Section lies entirely below the reference depth — it counts to the full-profile stock only. ",""))</f>
        <v/>
      </c>
      <c r="U407" s="14" t="n"/>
    </row>
    <row r="408">
      <c r="A408" s="14" t="n"/>
      <c r="B408" s="14" t="n"/>
      <c r="C408" s="14" t="n"/>
      <c r="D408" s="14" t="n"/>
      <c r="E408" s="14" t="n"/>
      <c r="F408" s="14" t="n"/>
      <c r="G408" s="14">
        <f>IF(OR($E408="",$F408=""),"",$F408-$E408)</f>
        <v/>
      </c>
      <c r="H408" s="14" t="n"/>
      <c r="I408" s="14" t="n"/>
      <c r="J408" s="19" t="n"/>
      <c r="K408" s="19" t="n"/>
      <c r="L408" s="19" t="n"/>
      <c r="M408" s="19" t="n"/>
      <c r="N408" s="18">
        <f>IF($M408&lt;&gt;"",$M408,IF($L408&lt;&gt;"",$L408*CARBON_FRACTION_OM,""))</f>
        <v/>
      </c>
      <c r="O408" s="18">
        <f>IF(OR($E408="",$F408=""),"",MAX(0,MIN($F408,REFERENCE_DEPTH_CM)-MIN($E408,REFERENCE_DEPTH_CM)))</f>
        <v/>
      </c>
      <c r="P408" s="18">
        <f>IF(OR($J408="",$N408="",$G408=""),"",$J408*($N408/100)*$G408*10)</f>
        <v/>
      </c>
      <c r="Q408" s="18">
        <f>IF(OR($J408="",$N408="",$O408=""),"",$J408*($N408/100)*$O408*10)</f>
        <v/>
      </c>
      <c r="R408" s="18">
        <f>IF(OR(NOT(ISNUMBER($P408)),NOT(ISNUMBER($G408)),$G408=0),0,$P408/$G408)</f>
        <v/>
      </c>
      <c r="S408" s="18">
        <f>IF(OR($B408="",NOT(ISNUMBER($F408))),"",SUMIFS('3. Peat Data'!$P$5:$P$604,'3. Peat Data'!$B$5:$B$604,$B408,'3. Peat Data'!$F$5:$F$604,"&lt;="&amp;$F408))</f>
        <v/>
      </c>
      <c r="T408" s="18">
        <f>IF(AND($A408="",$B408="",$E408=""),"",IF(AND($B408&lt;&gt;"",COUNTIF('2. Core Log'!$A$5:$A$124,$B408)=0),"Core ID not in Core Log. ","")&amp;IF(AND($A408&lt;&gt;"",COUNTIF('1. Plot &amp; Site Log'!$A$5:$A$64,$A408)=0),"Plot ID not in Plot &amp; Site Log. ","")&amp;IF(AND(ISNUMBER($E408),ISNUMBER($F408),$F408&lt;=$E408),"Bottom depth is not below top depth. ","")&amp;IF($I408="","Say which bulk-density basis the lab reported. ","")&amp;IF(AND(ISNUMBER($J408),OR($J408&lt;QC_BD_MIN,$J408&gt;QC_BD_MAX)),"Bulk density outside "&amp;QC_BD_MIN&amp;"–"&amp;QC_BD_MAX&amp;" g/cm³ for peat. Above the top of that range usually means the mineral contact has been passed. ","")&amp;IF(AND(ISNUMBER($N408),$N408&gt;QC_CARBON_PCT_MAX),"Carbon above "&amp;QC_CARBON_PCT_MAX&amp;"% — check units; this may be organic matter rather than carbon. ","")&amp;IF(AND($L408&lt;&gt;"",$M408&lt;&gt;""),"Both LOI and measured carbon given — the measured value is used. ","")&amp;IF(AND($M408="",$L408&lt;&gt;"",OM_FACTOR_IS_LOCAL&lt;&gt;"Yes"),"Carbon derived from LOI using the default factor of "&amp;CARBON_FRACTION_OM&amp;", which has not been calibrated locally. See R1. Reference. ","")&amp;IF(AND(ISNUMBER($O408),$O408=0,ISNUMBER($E408)),"Section lies entirely below the reference depth — it counts to the full-profile stock only. ",""))</f>
        <v/>
      </c>
      <c r="U408" s="14" t="n"/>
    </row>
    <row r="409">
      <c r="A409" s="14" t="n"/>
      <c r="B409" s="14" t="n"/>
      <c r="C409" s="14" t="n"/>
      <c r="D409" s="14" t="n"/>
      <c r="E409" s="14" t="n"/>
      <c r="F409" s="14" t="n"/>
      <c r="G409" s="14">
        <f>IF(OR($E409="",$F409=""),"",$F409-$E409)</f>
        <v/>
      </c>
      <c r="H409" s="14" t="n"/>
      <c r="I409" s="14" t="n"/>
      <c r="J409" s="19" t="n"/>
      <c r="K409" s="19" t="n"/>
      <c r="L409" s="19" t="n"/>
      <c r="M409" s="19" t="n"/>
      <c r="N409" s="18">
        <f>IF($M409&lt;&gt;"",$M409,IF($L409&lt;&gt;"",$L409*CARBON_FRACTION_OM,""))</f>
        <v/>
      </c>
      <c r="O409" s="18">
        <f>IF(OR($E409="",$F409=""),"",MAX(0,MIN($F409,REFERENCE_DEPTH_CM)-MIN($E409,REFERENCE_DEPTH_CM)))</f>
        <v/>
      </c>
      <c r="P409" s="18">
        <f>IF(OR($J409="",$N409="",$G409=""),"",$J409*($N409/100)*$G409*10)</f>
        <v/>
      </c>
      <c r="Q409" s="18">
        <f>IF(OR($J409="",$N409="",$O409=""),"",$J409*($N409/100)*$O409*10)</f>
        <v/>
      </c>
      <c r="R409" s="18">
        <f>IF(OR(NOT(ISNUMBER($P409)),NOT(ISNUMBER($G409)),$G409=0),0,$P409/$G409)</f>
        <v/>
      </c>
      <c r="S409" s="18">
        <f>IF(OR($B409="",NOT(ISNUMBER($F409))),"",SUMIFS('3. Peat Data'!$P$5:$P$604,'3. Peat Data'!$B$5:$B$604,$B409,'3. Peat Data'!$F$5:$F$604,"&lt;="&amp;$F409))</f>
        <v/>
      </c>
      <c r="T409" s="18">
        <f>IF(AND($A409="",$B409="",$E409=""),"",IF(AND($B409&lt;&gt;"",COUNTIF('2. Core Log'!$A$5:$A$124,$B409)=0),"Core ID not in Core Log. ","")&amp;IF(AND($A409&lt;&gt;"",COUNTIF('1. Plot &amp; Site Log'!$A$5:$A$64,$A409)=0),"Plot ID not in Plot &amp; Site Log. ","")&amp;IF(AND(ISNUMBER($E409),ISNUMBER($F409),$F409&lt;=$E409),"Bottom depth is not below top depth. ","")&amp;IF($I409="","Say which bulk-density basis the lab reported. ","")&amp;IF(AND(ISNUMBER($J409),OR($J409&lt;QC_BD_MIN,$J409&gt;QC_BD_MAX)),"Bulk density outside "&amp;QC_BD_MIN&amp;"–"&amp;QC_BD_MAX&amp;" g/cm³ for peat. Above the top of that range usually means the mineral contact has been passed. ","")&amp;IF(AND(ISNUMBER($N409),$N409&gt;QC_CARBON_PCT_MAX),"Carbon above "&amp;QC_CARBON_PCT_MAX&amp;"% — check units; this may be organic matter rather than carbon. ","")&amp;IF(AND($L409&lt;&gt;"",$M409&lt;&gt;""),"Both LOI and measured carbon given — the measured value is used. ","")&amp;IF(AND($M409="",$L409&lt;&gt;"",OM_FACTOR_IS_LOCAL&lt;&gt;"Yes"),"Carbon derived from LOI using the default factor of "&amp;CARBON_FRACTION_OM&amp;", which has not been calibrated locally. See R1. Reference. ","")&amp;IF(AND(ISNUMBER($O409),$O409=0,ISNUMBER($E409)),"Section lies entirely below the reference depth — it counts to the full-profile stock only. ",""))</f>
        <v/>
      </c>
      <c r="U409" s="14" t="n"/>
    </row>
    <row r="410">
      <c r="A410" s="14" t="n"/>
      <c r="B410" s="14" t="n"/>
      <c r="C410" s="14" t="n"/>
      <c r="D410" s="14" t="n"/>
      <c r="E410" s="14" t="n"/>
      <c r="F410" s="14" t="n"/>
      <c r="G410" s="14">
        <f>IF(OR($E410="",$F410=""),"",$F410-$E410)</f>
        <v/>
      </c>
      <c r="H410" s="14" t="n"/>
      <c r="I410" s="14" t="n"/>
      <c r="J410" s="19" t="n"/>
      <c r="K410" s="19" t="n"/>
      <c r="L410" s="19" t="n"/>
      <c r="M410" s="19" t="n"/>
      <c r="N410" s="18">
        <f>IF($M410&lt;&gt;"",$M410,IF($L410&lt;&gt;"",$L410*CARBON_FRACTION_OM,""))</f>
        <v/>
      </c>
      <c r="O410" s="18">
        <f>IF(OR($E410="",$F410=""),"",MAX(0,MIN($F410,REFERENCE_DEPTH_CM)-MIN($E410,REFERENCE_DEPTH_CM)))</f>
        <v/>
      </c>
      <c r="P410" s="18">
        <f>IF(OR($J410="",$N410="",$G410=""),"",$J410*($N410/100)*$G410*10)</f>
        <v/>
      </c>
      <c r="Q410" s="18">
        <f>IF(OR($J410="",$N410="",$O410=""),"",$J410*($N410/100)*$O410*10)</f>
        <v/>
      </c>
      <c r="R410" s="18">
        <f>IF(OR(NOT(ISNUMBER($P410)),NOT(ISNUMBER($G410)),$G410=0),0,$P410/$G410)</f>
        <v/>
      </c>
      <c r="S410" s="18">
        <f>IF(OR($B410="",NOT(ISNUMBER($F410))),"",SUMIFS('3. Peat Data'!$P$5:$P$604,'3. Peat Data'!$B$5:$B$604,$B410,'3. Peat Data'!$F$5:$F$604,"&lt;="&amp;$F410))</f>
        <v/>
      </c>
      <c r="T410" s="18">
        <f>IF(AND($A410="",$B410="",$E410=""),"",IF(AND($B410&lt;&gt;"",COUNTIF('2. Core Log'!$A$5:$A$124,$B410)=0),"Core ID not in Core Log. ","")&amp;IF(AND($A410&lt;&gt;"",COUNTIF('1. Plot &amp; Site Log'!$A$5:$A$64,$A410)=0),"Plot ID not in Plot &amp; Site Log. ","")&amp;IF(AND(ISNUMBER($E410),ISNUMBER($F410),$F410&lt;=$E410),"Bottom depth is not below top depth. ","")&amp;IF($I410="","Say which bulk-density basis the lab reported. ","")&amp;IF(AND(ISNUMBER($J410),OR($J410&lt;QC_BD_MIN,$J410&gt;QC_BD_MAX)),"Bulk density outside "&amp;QC_BD_MIN&amp;"–"&amp;QC_BD_MAX&amp;" g/cm³ for peat. Above the top of that range usually means the mineral contact has been passed. ","")&amp;IF(AND(ISNUMBER($N410),$N410&gt;QC_CARBON_PCT_MAX),"Carbon above "&amp;QC_CARBON_PCT_MAX&amp;"% — check units; this may be organic matter rather than carbon. ","")&amp;IF(AND($L410&lt;&gt;"",$M410&lt;&gt;""),"Both LOI and measured carbon given — the measured value is used. ","")&amp;IF(AND($M410="",$L410&lt;&gt;"",OM_FACTOR_IS_LOCAL&lt;&gt;"Yes"),"Carbon derived from LOI using the default factor of "&amp;CARBON_FRACTION_OM&amp;", which has not been calibrated locally. See R1. Reference. ","")&amp;IF(AND(ISNUMBER($O410),$O410=0,ISNUMBER($E410)),"Section lies entirely below the reference depth — it counts to the full-profile stock only. ",""))</f>
        <v/>
      </c>
      <c r="U410" s="14" t="n"/>
    </row>
    <row r="411">
      <c r="A411" s="14" t="n"/>
      <c r="B411" s="14" t="n"/>
      <c r="C411" s="14" t="n"/>
      <c r="D411" s="14" t="n"/>
      <c r="E411" s="14" t="n"/>
      <c r="F411" s="14" t="n"/>
      <c r="G411" s="14">
        <f>IF(OR($E411="",$F411=""),"",$F411-$E411)</f>
        <v/>
      </c>
      <c r="H411" s="14" t="n"/>
      <c r="I411" s="14" t="n"/>
      <c r="J411" s="19" t="n"/>
      <c r="K411" s="19" t="n"/>
      <c r="L411" s="19" t="n"/>
      <c r="M411" s="19" t="n"/>
      <c r="N411" s="18">
        <f>IF($M411&lt;&gt;"",$M411,IF($L411&lt;&gt;"",$L411*CARBON_FRACTION_OM,""))</f>
        <v/>
      </c>
      <c r="O411" s="18">
        <f>IF(OR($E411="",$F411=""),"",MAX(0,MIN($F411,REFERENCE_DEPTH_CM)-MIN($E411,REFERENCE_DEPTH_CM)))</f>
        <v/>
      </c>
      <c r="P411" s="18">
        <f>IF(OR($J411="",$N411="",$G411=""),"",$J411*($N411/100)*$G411*10)</f>
        <v/>
      </c>
      <c r="Q411" s="18">
        <f>IF(OR($J411="",$N411="",$O411=""),"",$J411*($N411/100)*$O411*10)</f>
        <v/>
      </c>
      <c r="R411" s="18">
        <f>IF(OR(NOT(ISNUMBER($P411)),NOT(ISNUMBER($G411)),$G411=0),0,$P411/$G411)</f>
        <v/>
      </c>
      <c r="S411" s="18">
        <f>IF(OR($B411="",NOT(ISNUMBER($F411))),"",SUMIFS('3. Peat Data'!$P$5:$P$604,'3. Peat Data'!$B$5:$B$604,$B411,'3. Peat Data'!$F$5:$F$604,"&lt;="&amp;$F411))</f>
        <v/>
      </c>
      <c r="T411" s="18">
        <f>IF(AND($A411="",$B411="",$E411=""),"",IF(AND($B411&lt;&gt;"",COUNTIF('2. Core Log'!$A$5:$A$124,$B411)=0),"Core ID not in Core Log. ","")&amp;IF(AND($A411&lt;&gt;"",COUNTIF('1. Plot &amp; Site Log'!$A$5:$A$64,$A411)=0),"Plot ID not in Plot &amp; Site Log. ","")&amp;IF(AND(ISNUMBER($E411),ISNUMBER($F411),$F411&lt;=$E411),"Bottom depth is not below top depth. ","")&amp;IF($I411="","Say which bulk-density basis the lab reported. ","")&amp;IF(AND(ISNUMBER($J411),OR($J411&lt;QC_BD_MIN,$J411&gt;QC_BD_MAX)),"Bulk density outside "&amp;QC_BD_MIN&amp;"–"&amp;QC_BD_MAX&amp;" g/cm³ for peat. Above the top of that range usually means the mineral contact has been passed. ","")&amp;IF(AND(ISNUMBER($N411),$N411&gt;QC_CARBON_PCT_MAX),"Carbon above "&amp;QC_CARBON_PCT_MAX&amp;"% — check units; this may be organic matter rather than carbon. ","")&amp;IF(AND($L411&lt;&gt;"",$M411&lt;&gt;""),"Both LOI and measured carbon given — the measured value is used. ","")&amp;IF(AND($M411="",$L411&lt;&gt;"",OM_FACTOR_IS_LOCAL&lt;&gt;"Yes"),"Carbon derived from LOI using the default factor of "&amp;CARBON_FRACTION_OM&amp;", which has not been calibrated locally. See R1. Reference. ","")&amp;IF(AND(ISNUMBER($O411),$O411=0,ISNUMBER($E411)),"Section lies entirely below the reference depth — it counts to the full-profile stock only. ",""))</f>
        <v/>
      </c>
      <c r="U411" s="14" t="n"/>
    </row>
    <row r="412">
      <c r="A412" s="14" t="n"/>
      <c r="B412" s="14" t="n"/>
      <c r="C412" s="14" t="n"/>
      <c r="D412" s="14" t="n"/>
      <c r="E412" s="14" t="n"/>
      <c r="F412" s="14" t="n"/>
      <c r="G412" s="14">
        <f>IF(OR($E412="",$F412=""),"",$F412-$E412)</f>
        <v/>
      </c>
      <c r="H412" s="14" t="n"/>
      <c r="I412" s="14" t="n"/>
      <c r="J412" s="19" t="n"/>
      <c r="K412" s="19" t="n"/>
      <c r="L412" s="19" t="n"/>
      <c r="M412" s="19" t="n"/>
      <c r="N412" s="18">
        <f>IF($M412&lt;&gt;"",$M412,IF($L412&lt;&gt;"",$L412*CARBON_FRACTION_OM,""))</f>
        <v/>
      </c>
      <c r="O412" s="18">
        <f>IF(OR($E412="",$F412=""),"",MAX(0,MIN($F412,REFERENCE_DEPTH_CM)-MIN($E412,REFERENCE_DEPTH_CM)))</f>
        <v/>
      </c>
      <c r="P412" s="18">
        <f>IF(OR($J412="",$N412="",$G412=""),"",$J412*($N412/100)*$G412*10)</f>
        <v/>
      </c>
      <c r="Q412" s="18">
        <f>IF(OR($J412="",$N412="",$O412=""),"",$J412*($N412/100)*$O412*10)</f>
        <v/>
      </c>
      <c r="R412" s="18">
        <f>IF(OR(NOT(ISNUMBER($P412)),NOT(ISNUMBER($G412)),$G412=0),0,$P412/$G412)</f>
        <v/>
      </c>
      <c r="S412" s="18">
        <f>IF(OR($B412="",NOT(ISNUMBER($F412))),"",SUMIFS('3. Peat Data'!$P$5:$P$604,'3. Peat Data'!$B$5:$B$604,$B412,'3. Peat Data'!$F$5:$F$604,"&lt;="&amp;$F412))</f>
        <v/>
      </c>
      <c r="T412" s="18">
        <f>IF(AND($A412="",$B412="",$E412=""),"",IF(AND($B412&lt;&gt;"",COUNTIF('2. Core Log'!$A$5:$A$124,$B412)=0),"Core ID not in Core Log. ","")&amp;IF(AND($A412&lt;&gt;"",COUNTIF('1. Plot &amp; Site Log'!$A$5:$A$64,$A412)=0),"Plot ID not in Plot &amp; Site Log. ","")&amp;IF(AND(ISNUMBER($E412),ISNUMBER($F412),$F412&lt;=$E412),"Bottom depth is not below top depth. ","")&amp;IF($I412="","Say which bulk-density basis the lab reported. ","")&amp;IF(AND(ISNUMBER($J412),OR($J412&lt;QC_BD_MIN,$J412&gt;QC_BD_MAX)),"Bulk density outside "&amp;QC_BD_MIN&amp;"–"&amp;QC_BD_MAX&amp;" g/cm³ for peat. Above the top of that range usually means the mineral contact has been passed. ","")&amp;IF(AND(ISNUMBER($N412),$N412&gt;QC_CARBON_PCT_MAX),"Carbon above "&amp;QC_CARBON_PCT_MAX&amp;"% — check units; this may be organic matter rather than carbon. ","")&amp;IF(AND($L412&lt;&gt;"",$M412&lt;&gt;""),"Both LOI and measured carbon given — the measured value is used. ","")&amp;IF(AND($M412="",$L412&lt;&gt;"",OM_FACTOR_IS_LOCAL&lt;&gt;"Yes"),"Carbon derived from LOI using the default factor of "&amp;CARBON_FRACTION_OM&amp;", which has not been calibrated locally. See R1. Reference. ","")&amp;IF(AND(ISNUMBER($O412),$O412=0,ISNUMBER($E412)),"Section lies entirely below the reference depth — it counts to the full-profile stock only. ",""))</f>
        <v/>
      </c>
      <c r="U412" s="14" t="n"/>
    </row>
    <row r="413">
      <c r="A413" s="14" t="n"/>
      <c r="B413" s="14" t="n"/>
      <c r="C413" s="14" t="n"/>
      <c r="D413" s="14" t="n"/>
      <c r="E413" s="14" t="n"/>
      <c r="F413" s="14" t="n"/>
      <c r="G413" s="14">
        <f>IF(OR($E413="",$F413=""),"",$F413-$E413)</f>
        <v/>
      </c>
      <c r="H413" s="14" t="n"/>
      <c r="I413" s="14" t="n"/>
      <c r="J413" s="19" t="n"/>
      <c r="K413" s="19" t="n"/>
      <c r="L413" s="19" t="n"/>
      <c r="M413" s="19" t="n"/>
      <c r="N413" s="18">
        <f>IF($M413&lt;&gt;"",$M413,IF($L413&lt;&gt;"",$L413*CARBON_FRACTION_OM,""))</f>
        <v/>
      </c>
      <c r="O413" s="18">
        <f>IF(OR($E413="",$F413=""),"",MAX(0,MIN($F413,REFERENCE_DEPTH_CM)-MIN($E413,REFERENCE_DEPTH_CM)))</f>
        <v/>
      </c>
      <c r="P413" s="18">
        <f>IF(OR($J413="",$N413="",$G413=""),"",$J413*($N413/100)*$G413*10)</f>
        <v/>
      </c>
      <c r="Q413" s="18">
        <f>IF(OR($J413="",$N413="",$O413=""),"",$J413*($N413/100)*$O413*10)</f>
        <v/>
      </c>
      <c r="R413" s="18">
        <f>IF(OR(NOT(ISNUMBER($P413)),NOT(ISNUMBER($G413)),$G413=0),0,$P413/$G413)</f>
        <v/>
      </c>
      <c r="S413" s="18">
        <f>IF(OR($B413="",NOT(ISNUMBER($F413))),"",SUMIFS('3. Peat Data'!$P$5:$P$604,'3. Peat Data'!$B$5:$B$604,$B413,'3. Peat Data'!$F$5:$F$604,"&lt;="&amp;$F413))</f>
        <v/>
      </c>
      <c r="T413" s="18">
        <f>IF(AND($A413="",$B413="",$E413=""),"",IF(AND($B413&lt;&gt;"",COUNTIF('2. Core Log'!$A$5:$A$124,$B413)=0),"Core ID not in Core Log. ","")&amp;IF(AND($A413&lt;&gt;"",COUNTIF('1. Plot &amp; Site Log'!$A$5:$A$64,$A413)=0),"Plot ID not in Plot &amp; Site Log. ","")&amp;IF(AND(ISNUMBER($E413),ISNUMBER($F413),$F413&lt;=$E413),"Bottom depth is not below top depth. ","")&amp;IF($I413="","Say which bulk-density basis the lab reported. ","")&amp;IF(AND(ISNUMBER($J413),OR($J413&lt;QC_BD_MIN,$J413&gt;QC_BD_MAX)),"Bulk density outside "&amp;QC_BD_MIN&amp;"–"&amp;QC_BD_MAX&amp;" g/cm³ for peat. Above the top of that range usually means the mineral contact has been passed. ","")&amp;IF(AND(ISNUMBER($N413),$N413&gt;QC_CARBON_PCT_MAX),"Carbon above "&amp;QC_CARBON_PCT_MAX&amp;"% — check units; this may be organic matter rather than carbon. ","")&amp;IF(AND($L413&lt;&gt;"",$M413&lt;&gt;""),"Both LOI and measured carbon given — the measured value is used. ","")&amp;IF(AND($M413="",$L413&lt;&gt;"",OM_FACTOR_IS_LOCAL&lt;&gt;"Yes"),"Carbon derived from LOI using the default factor of "&amp;CARBON_FRACTION_OM&amp;", which has not been calibrated locally. See R1. Reference. ","")&amp;IF(AND(ISNUMBER($O413),$O413=0,ISNUMBER($E413)),"Section lies entirely below the reference depth — it counts to the full-profile stock only. ",""))</f>
        <v/>
      </c>
      <c r="U413" s="14" t="n"/>
    </row>
    <row r="414">
      <c r="A414" s="14" t="n"/>
      <c r="B414" s="14" t="n"/>
      <c r="C414" s="14" t="n"/>
      <c r="D414" s="14" t="n"/>
      <c r="E414" s="14" t="n"/>
      <c r="F414" s="14" t="n"/>
      <c r="G414" s="14">
        <f>IF(OR($E414="",$F414=""),"",$F414-$E414)</f>
        <v/>
      </c>
      <c r="H414" s="14" t="n"/>
      <c r="I414" s="14" t="n"/>
      <c r="J414" s="19" t="n"/>
      <c r="K414" s="19" t="n"/>
      <c r="L414" s="19" t="n"/>
      <c r="M414" s="19" t="n"/>
      <c r="N414" s="18">
        <f>IF($M414&lt;&gt;"",$M414,IF($L414&lt;&gt;"",$L414*CARBON_FRACTION_OM,""))</f>
        <v/>
      </c>
      <c r="O414" s="18">
        <f>IF(OR($E414="",$F414=""),"",MAX(0,MIN($F414,REFERENCE_DEPTH_CM)-MIN($E414,REFERENCE_DEPTH_CM)))</f>
        <v/>
      </c>
      <c r="P414" s="18">
        <f>IF(OR($J414="",$N414="",$G414=""),"",$J414*($N414/100)*$G414*10)</f>
        <v/>
      </c>
      <c r="Q414" s="18">
        <f>IF(OR($J414="",$N414="",$O414=""),"",$J414*($N414/100)*$O414*10)</f>
        <v/>
      </c>
      <c r="R414" s="18">
        <f>IF(OR(NOT(ISNUMBER($P414)),NOT(ISNUMBER($G414)),$G414=0),0,$P414/$G414)</f>
        <v/>
      </c>
      <c r="S414" s="18">
        <f>IF(OR($B414="",NOT(ISNUMBER($F414))),"",SUMIFS('3. Peat Data'!$P$5:$P$604,'3. Peat Data'!$B$5:$B$604,$B414,'3. Peat Data'!$F$5:$F$604,"&lt;="&amp;$F414))</f>
        <v/>
      </c>
      <c r="T414" s="18">
        <f>IF(AND($A414="",$B414="",$E414=""),"",IF(AND($B414&lt;&gt;"",COUNTIF('2. Core Log'!$A$5:$A$124,$B414)=0),"Core ID not in Core Log. ","")&amp;IF(AND($A414&lt;&gt;"",COUNTIF('1. Plot &amp; Site Log'!$A$5:$A$64,$A414)=0),"Plot ID not in Plot &amp; Site Log. ","")&amp;IF(AND(ISNUMBER($E414),ISNUMBER($F414),$F414&lt;=$E414),"Bottom depth is not below top depth. ","")&amp;IF($I414="","Say which bulk-density basis the lab reported. ","")&amp;IF(AND(ISNUMBER($J414),OR($J414&lt;QC_BD_MIN,$J414&gt;QC_BD_MAX)),"Bulk density outside "&amp;QC_BD_MIN&amp;"–"&amp;QC_BD_MAX&amp;" g/cm³ for peat. Above the top of that range usually means the mineral contact has been passed. ","")&amp;IF(AND(ISNUMBER($N414),$N414&gt;QC_CARBON_PCT_MAX),"Carbon above "&amp;QC_CARBON_PCT_MAX&amp;"% — check units; this may be organic matter rather than carbon. ","")&amp;IF(AND($L414&lt;&gt;"",$M414&lt;&gt;""),"Both LOI and measured carbon given — the measured value is used. ","")&amp;IF(AND($M414="",$L414&lt;&gt;"",OM_FACTOR_IS_LOCAL&lt;&gt;"Yes"),"Carbon derived from LOI using the default factor of "&amp;CARBON_FRACTION_OM&amp;", which has not been calibrated locally. See R1. Reference. ","")&amp;IF(AND(ISNUMBER($O414),$O414=0,ISNUMBER($E414)),"Section lies entirely below the reference depth — it counts to the full-profile stock only. ",""))</f>
        <v/>
      </c>
      <c r="U414" s="14" t="n"/>
    </row>
    <row r="415">
      <c r="A415" s="14" t="n"/>
      <c r="B415" s="14" t="n"/>
      <c r="C415" s="14" t="n"/>
      <c r="D415" s="14" t="n"/>
      <c r="E415" s="14" t="n"/>
      <c r="F415" s="14" t="n"/>
      <c r="G415" s="14">
        <f>IF(OR($E415="",$F415=""),"",$F415-$E415)</f>
        <v/>
      </c>
      <c r="H415" s="14" t="n"/>
      <c r="I415" s="14" t="n"/>
      <c r="J415" s="19" t="n"/>
      <c r="K415" s="19" t="n"/>
      <c r="L415" s="19" t="n"/>
      <c r="M415" s="19" t="n"/>
      <c r="N415" s="18">
        <f>IF($M415&lt;&gt;"",$M415,IF($L415&lt;&gt;"",$L415*CARBON_FRACTION_OM,""))</f>
        <v/>
      </c>
      <c r="O415" s="18">
        <f>IF(OR($E415="",$F415=""),"",MAX(0,MIN($F415,REFERENCE_DEPTH_CM)-MIN($E415,REFERENCE_DEPTH_CM)))</f>
        <v/>
      </c>
      <c r="P415" s="18">
        <f>IF(OR($J415="",$N415="",$G415=""),"",$J415*($N415/100)*$G415*10)</f>
        <v/>
      </c>
      <c r="Q415" s="18">
        <f>IF(OR($J415="",$N415="",$O415=""),"",$J415*($N415/100)*$O415*10)</f>
        <v/>
      </c>
      <c r="R415" s="18">
        <f>IF(OR(NOT(ISNUMBER($P415)),NOT(ISNUMBER($G415)),$G415=0),0,$P415/$G415)</f>
        <v/>
      </c>
      <c r="S415" s="18">
        <f>IF(OR($B415="",NOT(ISNUMBER($F415))),"",SUMIFS('3. Peat Data'!$P$5:$P$604,'3. Peat Data'!$B$5:$B$604,$B415,'3. Peat Data'!$F$5:$F$604,"&lt;="&amp;$F415))</f>
        <v/>
      </c>
      <c r="T415" s="18">
        <f>IF(AND($A415="",$B415="",$E415=""),"",IF(AND($B415&lt;&gt;"",COUNTIF('2. Core Log'!$A$5:$A$124,$B415)=0),"Core ID not in Core Log. ","")&amp;IF(AND($A415&lt;&gt;"",COUNTIF('1. Plot &amp; Site Log'!$A$5:$A$64,$A415)=0),"Plot ID not in Plot &amp; Site Log. ","")&amp;IF(AND(ISNUMBER($E415),ISNUMBER($F415),$F415&lt;=$E415),"Bottom depth is not below top depth. ","")&amp;IF($I415="","Say which bulk-density basis the lab reported. ","")&amp;IF(AND(ISNUMBER($J415),OR($J415&lt;QC_BD_MIN,$J415&gt;QC_BD_MAX)),"Bulk density outside "&amp;QC_BD_MIN&amp;"–"&amp;QC_BD_MAX&amp;" g/cm³ for peat. Above the top of that range usually means the mineral contact has been passed. ","")&amp;IF(AND(ISNUMBER($N415),$N415&gt;QC_CARBON_PCT_MAX),"Carbon above "&amp;QC_CARBON_PCT_MAX&amp;"% — check units; this may be organic matter rather than carbon. ","")&amp;IF(AND($L415&lt;&gt;"",$M415&lt;&gt;""),"Both LOI and measured carbon given — the measured value is used. ","")&amp;IF(AND($M415="",$L415&lt;&gt;"",OM_FACTOR_IS_LOCAL&lt;&gt;"Yes"),"Carbon derived from LOI using the default factor of "&amp;CARBON_FRACTION_OM&amp;", which has not been calibrated locally. See R1. Reference. ","")&amp;IF(AND(ISNUMBER($O415),$O415=0,ISNUMBER($E415)),"Section lies entirely below the reference depth — it counts to the full-profile stock only. ",""))</f>
        <v/>
      </c>
      <c r="U415" s="14" t="n"/>
    </row>
    <row r="416">
      <c r="A416" s="14" t="n"/>
      <c r="B416" s="14" t="n"/>
      <c r="C416" s="14" t="n"/>
      <c r="D416" s="14" t="n"/>
      <c r="E416" s="14" t="n"/>
      <c r="F416" s="14" t="n"/>
      <c r="G416" s="14">
        <f>IF(OR($E416="",$F416=""),"",$F416-$E416)</f>
        <v/>
      </c>
      <c r="H416" s="14" t="n"/>
      <c r="I416" s="14" t="n"/>
      <c r="J416" s="19" t="n"/>
      <c r="K416" s="19" t="n"/>
      <c r="L416" s="19" t="n"/>
      <c r="M416" s="19" t="n"/>
      <c r="N416" s="18">
        <f>IF($M416&lt;&gt;"",$M416,IF($L416&lt;&gt;"",$L416*CARBON_FRACTION_OM,""))</f>
        <v/>
      </c>
      <c r="O416" s="18">
        <f>IF(OR($E416="",$F416=""),"",MAX(0,MIN($F416,REFERENCE_DEPTH_CM)-MIN($E416,REFERENCE_DEPTH_CM)))</f>
        <v/>
      </c>
      <c r="P416" s="18">
        <f>IF(OR($J416="",$N416="",$G416=""),"",$J416*($N416/100)*$G416*10)</f>
        <v/>
      </c>
      <c r="Q416" s="18">
        <f>IF(OR($J416="",$N416="",$O416=""),"",$J416*($N416/100)*$O416*10)</f>
        <v/>
      </c>
      <c r="R416" s="18">
        <f>IF(OR(NOT(ISNUMBER($P416)),NOT(ISNUMBER($G416)),$G416=0),0,$P416/$G416)</f>
        <v/>
      </c>
      <c r="S416" s="18">
        <f>IF(OR($B416="",NOT(ISNUMBER($F416))),"",SUMIFS('3. Peat Data'!$P$5:$P$604,'3. Peat Data'!$B$5:$B$604,$B416,'3. Peat Data'!$F$5:$F$604,"&lt;="&amp;$F416))</f>
        <v/>
      </c>
      <c r="T416" s="18">
        <f>IF(AND($A416="",$B416="",$E416=""),"",IF(AND($B416&lt;&gt;"",COUNTIF('2. Core Log'!$A$5:$A$124,$B416)=0),"Core ID not in Core Log. ","")&amp;IF(AND($A416&lt;&gt;"",COUNTIF('1. Plot &amp; Site Log'!$A$5:$A$64,$A416)=0),"Plot ID not in Plot &amp; Site Log. ","")&amp;IF(AND(ISNUMBER($E416),ISNUMBER($F416),$F416&lt;=$E416),"Bottom depth is not below top depth. ","")&amp;IF($I416="","Say which bulk-density basis the lab reported. ","")&amp;IF(AND(ISNUMBER($J416),OR($J416&lt;QC_BD_MIN,$J416&gt;QC_BD_MAX)),"Bulk density outside "&amp;QC_BD_MIN&amp;"–"&amp;QC_BD_MAX&amp;" g/cm³ for peat. Above the top of that range usually means the mineral contact has been passed. ","")&amp;IF(AND(ISNUMBER($N416),$N416&gt;QC_CARBON_PCT_MAX),"Carbon above "&amp;QC_CARBON_PCT_MAX&amp;"% — check units; this may be organic matter rather than carbon. ","")&amp;IF(AND($L416&lt;&gt;"",$M416&lt;&gt;""),"Both LOI and measured carbon given — the measured value is used. ","")&amp;IF(AND($M416="",$L416&lt;&gt;"",OM_FACTOR_IS_LOCAL&lt;&gt;"Yes"),"Carbon derived from LOI using the default factor of "&amp;CARBON_FRACTION_OM&amp;", which has not been calibrated locally. See R1. Reference. ","")&amp;IF(AND(ISNUMBER($O416),$O416=0,ISNUMBER($E416)),"Section lies entirely below the reference depth — it counts to the full-profile stock only. ",""))</f>
        <v/>
      </c>
      <c r="U416" s="14" t="n"/>
    </row>
    <row r="417">
      <c r="A417" s="14" t="n"/>
      <c r="B417" s="14" t="n"/>
      <c r="C417" s="14" t="n"/>
      <c r="D417" s="14" t="n"/>
      <c r="E417" s="14" t="n"/>
      <c r="F417" s="14" t="n"/>
      <c r="G417" s="14">
        <f>IF(OR($E417="",$F417=""),"",$F417-$E417)</f>
        <v/>
      </c>
      <c r="H417" s="14" t="n"/>
      <c r="I417" s="14" t="n"/>
      <c r="J417" s="19" t="n"/>
      <c r="K417" s="19" t="n"/>
      <c r="L417" s="19" t="n"/>
      <c r="M417" s="19" t="n"/>
      <c r="N417" s="18">
        <f>IF($M417&lt;&gt;"",$M417,IF($L417&lt;&gt;"",$L417*CARBON_FRACTION_OM,""))</f>
        <v/>
      </c>
      <c r="O417" s="18">
        <f>IF(OR($E417="",$F417=""),"",MAX(0,MIN($F417,REFERENCE_DEPTH_CM)-MIN($E417,REFERENCE_DEPTH_CM)))</f>
        <v/>
      </c>
      <c r="P417" s="18">
        <f>IF(OR($J417="",$N417="",$G417=""),"",$J417*($N417/100)*$G417*10)</f>
        <v/>
      </c>
      <c r="Q417" s="18">
        <f>IF(OR($J417="",$N417="",$O417=""),"",$J417*($N417/100)*$O417*10)</f>
        <v/>
      </c>
      <c r="R417" s="18">
        <f>IF(OR(NOT(ISNUMBER($P417)),NOT(ISNUMBER($G417)),$G417=0),0,$P417/$G417)</f>
        <v/>
      </c>
      <c r="S417" s="18">
        <f>IF(OR($B417="",NOT(ISNUMBER($F417))),"",SUMIFS('3. Peat Data'!$P$5:$P$604,'3. Peat Data'!$B$5:$B$604,$B417,'3. Peat Data'!$F$5:$F$604,"&lt;="&amp;$F417))</f>
        <v/>
      </c>
      <c r="T417" s="18">
        <f>IF(AND($A417="",$B417="",$E417=""),"",IF(AND($B417&lt;&gt;"",COUNTIF('2. Core Log'!$A$5:$A$124,$B417)=0),"Core ID not in Core Log. ","")&amp;IF(AND($A417&lt;&gt;"",COUNTIF('1. Plot &amp; Site Log'!$A$5:$A$64,$A417)=0),"Plot ID not in Plot &amp; Site Log. ","")&amp;IF(AND(ISNUMBER($E417),ISNUMBER($F417),$F417&lt;=$E417),"Bottom depth is not below top depth. ","")&amp;IF($I417="","Say which bulk-density basis the lab reported. ","")&amp;IF(AND(ISNUMBER($J417),OR($J417&lt;QC_BD_MIN,$J417&gt;QC_BD_MAX)),"Bulk density outside "&amp;QC_BD_MIN&amp;"–"&amp;QC_BD_MAX&amp;" g/cm³ for peat. Above the top of that range usually means the mineral contact has been passed. ","")&amp;IF(AND(ISNUMBER($N417),$N417&gt;QC_CARBON_PCT_MAX),"Carbon above "&amp;QC_CARBON_PCT_MAX&amp;"% — check units; this may be organic matter rather than carbon. ","")&amp;IF(AND($L417&lt;&gt;"",$M417&lt;&gt;""),"Both LOI and measured carbon given — the measured value is used. ","")&amp;IF(AND($M417="",$L417&lt;&gt;"",OM_FACTOR_IS_LOCAL&lt;&gt;"Yes"),"Carbon derived from LOI using the default factor of "&amp;CARBON_FRACTION_OM&amp;", which has not been calibrated locally. See R1. Reference. ","")&amp;IF(AND(ISNUMBER($O417),$O417=0,ISNUMBER($E417)),"Section lies entirely below the reference depth — it counts to the full-profile stock only. ",""))</f>
        <v/>
      </c>
      <c r="U417" s="14" t="n"/>
    </row>
    <row r="418">
      <c r="A418" s="14" t="n"/>
      <c r="B418" s="14" t="n"/>
      <c r="C418" s="14" t="n"/>
      <c r="D418" s="14" t="n"/>
      <c r="E418" s="14" t="n"/>
      <c r="F418" s="14" t="n"/>
      <c r="G418" s="14">
        <f>IF(OR($E418="",$F418=""),"",$F418-$E418)</f>
        <v/>
      </c>
      <c r="H418" s="14" t="n"/>
      <c r="I418" s="14" t="n"/>
      <c r="J418" s="19" t="n"/>
      <c r="K418" s="19" t="n"/>
      <c r="L418" s="19" t="n"/>
      <c r="M418" s="19" t="n"/>
      <c r="N418" s="18">
        <f>IF($M418&lt;&gt;"",$M418,IF($L418&lt;&gt;"",$L418*CARBON_FRACTION_OM,""))</f>
        <v/>
      </c>
      <c r="O418" s="18">
        <f>IF(OR($E418="",$F418=""),"",MAX(0,MIN($F418,REFERENCE_DEPTH_CM)-MIN($E418,REFERENCE_DEPTH_CM)))</f>
        <v/>
      </c>
      <c r="P418" s="18">
        <f>IF(OR($J418="",$N418="",$G418=""),"",$J418*($N418/100)*$G418*10)</f>
        <v/>
      </c>
      <c r="Q418" s="18">
        <f>IF(OR($J418="",$N418="",$O418=""),"",$J418*($N418/100)*$O418*10)</f>
        <v/>
      </c>
      <c r="R418" s="18">
        <f>IF(OR(NOT(ISNUMBER($P418)),NOT(ISNUMBER($G418)),$G418=0),0,$P418/$G418)</f>
        <v/>
      </c>
      <c r="S418" s="18">
        <f>IF(OR($B418="",NOT(ISNUMBER($F418))),"",SUMIFS('3. Peat Data'!$P$5:$P$604,'3. Peat Data'!$B$5:$B$604,$B418,'3. Peat Data'!$F$5:$F$604,"&lt;="&amp;$F418))</f>
        <v/>
      </c>
      <c r="T418" s="18">
        <f>IF(AND($A418="",$B418="",$E418=""),"",IF(AND($B418&lt;&gt;"",COUNTIF('2. Core Log'!$A$5:$A$124,$B418)=0),"Core ID not in Core Log. ","")&amp;IF(AND($A418&lt;&gt;"",COUNTIF('1. Plot &amp; Site Log'!$A$5:$A$64,$A418)=0),"Plot ID not in Plot &amp; Site Log. ","")&amp;IF(AND(ISNUMBER($E418),ISNUMBER($F418),$F418&lt;=$E418),"Bottom depth is not below top depth. ","")&amp;IF($I418="","Say which bulk-density basis the lab reported. ","")&amp;IF(AND(ISNUMBER($J418),OR($J418&lt;QC_BD_MIN,$J418&gt;QC_BD_MAX)),"Bulk density outside "&amp;QC_BD_MIN&amp;"–"&amp;QC_BD_MAX&amp;" g/cm³ for peat. Above the top of that range usually means the mineral contact has been passed. ","")&amp;IF(AND(ISNUMBER($N418),$N418&gt;QC_CARBON_PCT_MAX),"Carbon above "&amp;QC_CARBON_PCT_MAX&amp;"% — check units; this may be organic matter rather than carbon. ","")&amp;IF(AND($L418&lt;&gt;"",$M418&lt;&gt;""),"Both LOI and measured carbon given — the measured value is used. ","")&amp;IF(AND($M418="",$L418&lt;&gt;"",OM_FACTOR_IS_LOCAL&lt;&gt;"Yes"),"Carbon derived from LOI using the default factor of "&amp;CARBON_FRACTION_OM&amp;", which has not been calibrated locally. See R1. Reference. ","")&amp;IF(AND(ISNUMBER($O418),$O418=0,ISNUMBER($E418)),"Section lies entirely below the reference depth — it counts to the full-profile stock only. ",""))</f>
        <v/>
      </c>
      <c r="U418" s="14" t="n"/>
    </row>
    <row r="419">
      <c r="A419" s="14" t="n"/>
      <c r="B419" s="14" t="n"/>
      <c r="C419" s="14" t="n"/>
      <c r="D419" s="14" t="n"/>
      <c r="E419" s="14" t="n"/>
      <c r="F419" s="14" t="n"/>
      <c r="G419" s="14">
        <f>IF(OR($E419="",$F419=""),"",$F419-$E419)</f>
        <v/>
      </c>
      <c r="H419" s="14" t="n"/>
      <c r="I419" s="14" t="n"/>
      <c r="J419" s="19" t="n"/>
      <c r="K419" s="19" t="n"/>
      <c r="L419" s="19" t="n"/>
      <c r="M419" s="19" t="n"/>
      <c r="N419" s="18">
        <f>IF($M419&lt;&gt;"",$M419,IF($L419&lt;&gt;"",$L419*CARBON_FRACTION_OM,""))</f>
        <v/>
      </c>
      <c r="O419" s="18">
        <f>IF(OR($E419="",$F419=""),"",MAX(0,MIN($F419,REFERENCE_DEPTH_CM)-MIN($E419,REFERENCE_DEPTH_CM)))</f>
        <v/>
      </c>
      <c r="P419" s="18">
        <f>IF(OR($J419="",$N419="",$G419=""),"",$J419*($N419/100)*$G419*10)</f>
        <v/>
      </c>
      <c r="Q419" s="18">
        <f>IF(OR($J419="",$N419="",$O419=""),"",$J419*($N419/100)*$O419*10)</f>
        <v/>
      </c>
      <c r="R419" s="18">
        <f>IF(OR(NOT(ISNUMBER($P419)),NOT(ISNUMBER($G419)),$G419=0),0,$P419/$G419)</f>
        <v/>
      </c>
      <c r="S419" s="18">
        <f>IF(OR($B419="",NOT(ISNUMBER($F419))),"",SUMIFS('3. Peat Data'!$P$5:$P$604,'3. Peat Data'!$B$5:$B$604,$B419,'3. Peat Data'!$F$5:$F$604,"&lt;="&amp;$F419))</f>
        <v/>
      </c>
      <c r="T419" s="18">
        <f>IF(AND($A419="",$B419="",$E419=""),"",IF(AND($B419&lt;&gt;"",COUNTIF('2. Core Log'!$A$5:$A$124,$B419)=0),"Core ID not in Core Log. ","")&amp;IF(AND($A419&lt;&gt;"",COUNTIF('1. Plot &amp; Site Log'!$A$5:$A$64,$A419)=0),"Plot ID not in Plot &amp; Site Log. ","")&amp;IF(AND(ISNUMBER($E419),ISNUMBER($F419),$F419&lt;=$E419),"Bottom depth is not below top depth. ","")&amp;IF($I419="","Say which bulk-density basis the lab reported. ","")&amp;IF(AND(ISNUMBER($J419),OR($J419&lt;QC_BD_MIN,$J419&gt;QC_BD_MAX)),"Bulk density outside "&amp;QC_BD_MIN&amp;"–"&amp;QC_BD_MAX&amp;" g/cm³ for peat. Above the top of that range usually means the mineral contact has been passed. ","")&amp;IF(AND(ISNUMBER($N419),$N419&gt;QC_CARBON_PCT_MAX),"Carbon above "&amp;QC_CARBON_PCT_MAX&amp;"% — check units; this may be organic matter rather than carbon. ","")&amp;IF(AND($L419&lt;&gt;"",$M419&lt;&gt;""),"Both LOI and measured carbon given — the measured value is used. ","")&amp;IF(AND($M419="",$L419&lt;&gt;"",OM_FACTOR_IS_LOCAL&lt;&gt;"Yes"),"Carbon derived from LOI using the default factor of "&amp;CARBON_FRACTION_OM&amp;", which has not been calibrated locally. See R1. Reference. ","")&amp;IF(AND(ISNUMBER($O419),$O419=0,ISNUMBER($E419)),"Section lies entirely below the reference depth — it counts to the full-profile stock only. ",""))</f>
        <v/>
      </c>
      <c r="U419" s="14" t="n"/>
    </row>
    <row r="420">
      <c r="A420" s="14" t="n"/>
      <c r="B420" s="14" t="n"/>
      <c r="C420" s="14" t="n"/>
      <c r="D420" s="14" t="n"/>
      <c r="E420" s="14" t="n"/>
      <c r="F420" s="14" t="n"/>
      <c r="G420" s="14">
        <f>IF(OR($E420="",$F420=""),"",$F420-$E420)</f>
        <v/>
      </c>
      <c r="H420" s="14" t="n"/>
      <c r="I420" s="14" t="n"/>
      <c r="J420" s="19" t="n"/>
      <c r="K420" s="19" t="n"/>
      <c r="L420" s="19" t="n"/>
      <c r="M420" s="19" t="n"/>
      <c r="N420" s="18">
        <f>IF($M420&lt;&gt;"",$M420,IF($L420&lt;&gt;"",$L420*CARBON_FRACTION_OM,""))</f>
        <v/>
      </c>
      <c r="O420" s="18">
        <f>IF(OR($E420="",$F420=""),"",MAX(0,MIN($F420,REFERENCE_DEPTH_CM)-MIN($E420,REFERENCE_DEPTH_CM)))</f>
        <v/>
      </c>
      <c r="P420" s="18">
        <f>IF(OR($J420="",$N420="",$G420=""),"",$J420*($N420/100)*$G420*10)</f>
        <v/>
      </c>
      <c r="Q420" s="18">
        <f>IF(OR($J420="",$N420="",$O420=""),"",$J420*($N420/100)*$O420*10)</f>
        <v/>
      </c>
      <c r="R420" s="18">
        <f>IF(OR(NOT(ISNUMBER($P420)),NOT(ISNUMBER($G420)),$G420=0),0,$P420/$G420)</f>
        <v/>
      </c>
      <c r="S420" s="18">
        <f>IF(OR($B420="",NOT(ISNUMBER($F420))),"",SUMIFS('3. Peat Data'!$P$5:$P$604,'3. Peat Data'!$B$5:$B$604,$B420,'3. Peat Data'!$F$5:$F$604,"&lt;="&amp;$F420))</f>
        <v/>
      </c>
      <c r="T420" s="18">
        <f>IF(AND($A420="",$B420="",$E420=""),"",IF(AND($B420&lt;&gt;"",COUNTIF('2. Core Log'!$A$5:$A$124,$B420)=0),"Core ID not in Core Log. ","")&amp;IF(AND($A420&lt;&gt;"",COUNTIF('1. Plot &amp; Site Log'!$A$5:$A$64,$A420)=0),"Plot ID not in Plot &amp; Site Log. ","")&amp;IF(AND(ISNUMBER($E420),ISNUMBER($F420),$F420&lt;=$E420),"Bottom depth is not below top depth. ","")&amp;IF($I420="","Say which bulk-density basis the lab reported. ","")&amp;IF(AND(ISNUMBER($J420),OR($J420&lt;QC_BD_MIN,$J420&gt;QC_BD_MAX)),"Bulk density outside "&amp;QC_BD_MIN&amp;"–"&amp;QC_BD_MAX&amp;" g/cm³ for peat. Above the top of that range usually means the mineral contact has been passed. ","")&amp;IF(AND(ISNUMBER($N420),$N420&gt;QC_CARBON_PCT_MAX),"Carbon above "&amp;QC_CARBON_PCT_MAX&amp;"% — check units; this may be organic matter rather than carbon. ","")&amp;IF(AND($L420&lt;&gt;"",$M420&lt;&gt;""),"Both LOI and measured carbon given — the measured value is used. ","")&amp;IF(AND($M420="",$L420&lt;&gt;"",OM_FACTOR_IS_LOCAL&lt;&gt;"Yes"),"Carbon derived from LOI using the default factor of "&amp;CARBON_FRACTION_OM&amp;", which has not been calibrated locally. See R1. Reference. ","")&amp;IF(AND(ISNUMBER($O420),$O420=0,ISNUMBER($E420)),"Section lies entirely below the reference depth — it counts to the full-profile stock only. ",""))</f>
        <v/>
      </c>
      <c r="U420" s="14" t="n"/>
    </row>
    <row r="421">
      <c r="A421" s="14" t="n"/>
      <c r="B421" s="14" t="n"/>
      <c r="C421" s="14" t="n"/>
      <c r="D421" s="14" t="n"/>
      <c r="E421" s="14" t="n"/>
      <c r="F421" s="14" t="n"/>
      <c r="G421" s="14">
        <f>IF(OR($E421="",$F421=""),"",$F421-$E421)</f>
        <v/>
      </c>
      <c r="H421" s="14" t="n"/>
      <c r="I421" s="14" t="n"/>
      <c r="J421" s="19" t="n"/>
      <c r="K421" s="19" t="n"/>
      <c r="L421" s="19" t="n"/>
      <c r="M421" s="19" t="n"/>
      <c r="N421" s="18">
        <f>IF($M421&lt;&gt;"",$M421,IF($L421&lt;&gt;"",$L421*CARBON_FRACTION_OM,""))</f>
        <v/>
      </c>
      <c r="O421" s="18">
        <f>IF(OR($E421="",$F421=""),"",MAX(0,MIN($F421,REFERENCE_DEPTH_CM)-MIN($E421,REFERENCE_DEPTH_CM)))</f>
        <v/>
      </c>
      <c r="P421" s="18">
        <f>IF(OR($J421="",$N421="",$G421=""),"",$J421*($N421/100)*$G421*10)</f>
        <v/>
      </c>
      <c r="Q421" s="18">
        <f>IF(OR($J421="",$N421="",$O421=""),"",$J421*($N421/100)*$O421*10)</f>
        <v/>
      </c>
      <c r="R421" s="18">
        <f>IF(OR(NOT(ISNUMBER($P421)),NOT(ISNUMBER($G421)),$G421=0),0,$P421/$G421)</f>
        <v/>
      </c>
      <c r="S421" s="18">
        <f>IF(OR($B421="",NOT(ISNUMBER($F421))),"",SUMIFS('3. Peat Data'!$P$5:$P$604,'3. Peat Data'!$B$5:$B$604,$B421,'3. Peat Data'!$F$5:$F$604,"&lt;="&amp;$F421))</f>
        <v/>
      </c>
      <c r="T421" s="18">
        <f>IF(AND($A421="",$B421="",$E421=""),"",IF(AND($B421&lt;&gt;"",COUNTIF('2. Core Log'!$A$5:$A$124,$B421)=0),"Core ID not in Core Log. ","")&amp;IF(AND($A421&lt;&gt;"",COUNTIF('1. Plot &amp; Site Log'!$A$5:$A$64,$A421)=0),"Plot ID not in Plot &amp; Site Log. ","")&amp;IF(AND(ISNUMBER($E421),ISNUMBER($F421),$F421&lt;=$E421),"Bottom depth is not below top depth. ","")&amp;IF($I421="","Say which bulk-density basis the lab reported. ","")&amp;IF(AND(ISNUMBER($J421),OR($J421&lt;QC_BD_MIN,$J421&gt;QC_BD_MAX)),"Bulk density outside "&amp;QC_BD_MIN&amp;"–"&amp;QC_BD_MAX&amp;" g/cm³ for peat. Above the top of that range usually means the mineral contact has been passed. ","")&amp;IF(AND(ISNUMBER($N421),$N421&gt;QC_CARBON_PCT_MAX),"Carbon above "&amp;QC_CARBON_PCT_MAX&amp;"% — check units; this may be organic matter rather than carbon. ","")&amp;IF(AND($L421&lt;&gt;"",$M421&lt;&gt;""),"Both LOI and measured carbon given — the measured value is used. ","")&amp;IF(AND($M421="",$L421&lt;&gt;"",OM_FACTOR_IS_LOCAL&lt;&gt;"Yes"),"Carbon derived from LOI using the default factor of "&amp;CARBON_FRACTION_OM&amp;", which has not been calibrated locally. See R1. Reference. ","")&amp;IF(AND(ISNUMBER($O421),$O421=0,ISNUMBER($E421)),"Section lies entirely below the reference depth — it counts to the full-profile stock only. ",""))</f>
        <v/>
      </c>
      <c r="U421" s="14" t="n"/>
    </row>
    <row r="422">
      <c r="A422" s="14" t="n"/>
      <c r="B422" s="14" t="n"/>
      <c r="C422" s="14" t="n"/>
      <c r="D422" s="14" t="n"/>
      <c r="E422" s="14" t="n"/>
      <c r="F422" s="14" t="n"/>
      <c r="G422" s="14">
        <f>IF(OR($E422="",$F422=""),"",$F422-$E422)</f>
        <v/>
      </c>
      <c r="H422" s="14" t="n"/>
      <c r="I422" s="14" t="n"/>
      <c r="J422" s="19" t="n"/>
      <c r="K422" s="19" t="n"/>
      <c r="L422" s="19" t="n"/>
      <c r="M422" s="19" t="n"/>
      <c r="N422" s="18">
        <f>IF($M422&lt;&gt;"",$M422,IF($L422&lt;&gt;"",$L422*CARBON_FRACTION_OM,""))</f>
        <v/>
      </c>
      <c r="O422" s="18">
        <f>IF(OR($E422="",$F422=""),"",MAX(0,MIN($F422,REFERENCE_DEPTH_CM)-MIN($E422,REFERENCE_DEPTH_CM)))</f>
        <v/>
      </c>
      <c r="P422" s="18">
        <f>IF(OR($J422="",$N422="",$G422=""),"",$J422*($N422/100)*$G422*10)</f>
        <v/>
      </c>
      <c r="Q422" s="18">
        <f>IF(OR($J422="",$N422="",$O422=""),"",$J422*($N422/100)*$O422*10)</f>
        <v/>
      </c>
      <c r="R422" s="18">
        <f>IF(OR(NOT(ISNUMBER($P422)),NOT(ISNUMBER($G422)),$G422=0),0,$P422/$G422)</f>
        <v/>
      </c>
      <c r="S422" s="18">
        <f>IF(OR($B422="",NOT(ISNUMBER($F422))),"",SUMIFS('3. Peat Data'!$P$5:$P$604,'3. Peat Data'!$B$5:$B$604,$B422,'3. Peat Data'!$F$5:$F$604,"&lt;="&amp;$F422))</f>
        <v/>
      </c>
      <c r="T422" s="18">
        <f>IF(AND($A422="",$B422="",$E422=""),"",IF(AND($B422&lt;&gt;"",COUNTIF('2. Core Log'!$A$5:$A$124,$B422)=0),"Core ID not in Core Log. ","")&amp;IF(AND($A422&lt;&gt;"",COUNTIF('1. Plot &amp; Site Log'!$A$5:$A$64,$A422)=0),"Plot ID not in Plot &amp; Site Log. ","")&amp;IF(AND(ISNUMBER($E422),ISNUMBER($F422),$F422&lt;=$E422),"Bottom depth is not below top depth. ","")&amp;IF($I422="","Say which bulk-density basis the lab reported. ","")&amp;IF(AND(ISNUMBER($J422),OR($J422&lt;QC_BD_MIN,$J422&gt;QC_BD_MAX)),"Bulk density outside "&amp;QC_BD_MIN&amp;"–"&amp;QC_BD_MAX&amp;" g/cm³ for peat. Above the top of that range usually means the mineral contact has been passed. ","")&amp;IF(AND(ISNUMBER($N422),$N422&gt;QC_CARBON_PCT_MAX),"Carbon above "&amp;QC_CARBON_PCT_MAX&amp;"% — check units; this may be organic matter rather than carbon. ","")&amp;IF(AND($L422&lt;&gt;"",$M422&lt;&gt;""),"Both LOI and measured carbon given — the measured value is used. ","")&amp;IF(AND($M422="",$L422&lt;&gt;"",OM_FACTOR_IS_LOCAL&lt;&gt;"Yes"),"Carbon derived from LOI using the default factor of "&amp;CARBON_FRACTION_OM&amp;", which has not been calibrated locally. See R1. Reference. ","")&amp;IF(AND(ISNUMBER($O422),$O422=0,ISNUMBER($E422)),"Section lies entirely below the reference depth — it counts to the full-profile stock only. ",""))</f>
        <v/>
      </c>
      <c r="U422" s="14" t="n"/>
    </row>
    <row r="423">
      <c r="A423" s="14" t="n"/>
      <c r="B423" s="14" t="n"/>
      <c r="C423" s="14" t="n"/>
      <c r="D423" s="14" t="n"/>
      <c r="E423" s="14" t="n"/>
      <c r="F423" s="14" t="n"/>
      <c r="G423" s="14">
        <f>IF(OR($E423="",$F423=""),"",$F423-$E423)</f>
        <v/>
      </c>
      <c r="H423" s="14" t="n"/>
      <c r="I423" s="14" t="n"/>
      <c r="J423" s="19" t="n"/>
      <c r="K423" s="19" t="n"/>
      <c r="L423" s="19" t="n"/>
      <c r="M423" s="19" t="n"/>
      <c r="N423" s="18">
        <f>IF($M423&lt;&gt;"",$M423,IF($L423&lt;&gt;"",$L423*CARBON_FRACTION_OM,""))</f>
        <v/>
      </c>
      <c r="O423" s="18">
        <f>IF(OR($E423="",$F423=""),"",MAX(0,MIN($F423,REFERENCE_DEPTH_CM)-MIN($E423,REFERENCE_DEPTH_CM)))</f>
        <v/>
      </c>
      <c r="P423" s="18">
        <f>IF(OR($J423="",$N423="",$G423=""),"",$J423*($N423/100)*$G423*10)</f>
        <v/>
      </c>
      <c r="Q423" s="18">
        <f>IF(OR($J423="",$N423="",$O423=""),"",$J423*($N423/100)*$O423*10)</f>
        <v/>
      </c>
      <c r="R423" s="18">
        <f>IF(OR(NOT(ISNUMBER($P423)),NOT(ISNUMBER($G423)),$G423=0),0,$P423/$G423)</f>
        <v/>
      </c>
      <c r="S423" s="18">
        <f>IF(OR($B423="",NOT(ISNUMBER($F423))),"",SUMIFS('3. Peat Data'!$P$5:$P$604,'3. Peat Data'!$B$5:$B$604,$B423,'3. Peat Data'!$F$5:$F$604,"&lt;="&amp;$F423))</f>
        <v/>
      </c>
      <c r="T423" s="18">
        <f>IF(AND($A423="",$B423="",$E423=""),"",IF(AND($B423&lt;&gt;"",COUNTIF('2. Core Log'!$A$5:$A$124,$B423)=0),"Core ID not in Core Log. ","")&amp;IF(AND($A423&lt;&gt;"",COUNTIF('1. Plot &amp; Site Log'!$A$5:$A$64,$A423)=0),"Plot ID not in Plot &amp; Site Log. ","")&amp;IF(AND(ISNUMBER($E423),ISNUMBER($F423),$F423&lt;=$E423),"Bottom depth is not below top depth. ","")&amp;IF($I423="","Say which bulk-density basis the lab reported. ","")&amp;IF(AND(ISNUMBER($J423),OR($J423&lt;QC_BD_MIN,$J423&gt;QC_BD_MAX)),"Bulk density outside "&amp;QC_BD_MIN&amp;"–"&amp;QC_BD_MAX&amp;" g/cm³ for peat. Above the top of that range usually means the mineral contact has been passed. ","")&amp;IF(AND(ISNUMBER($N423),$N423&gt;QC_CARBON_PCT_MAX),"Carbon above "&amp;QC_CARBON_PCT_MAX&amp;"% — check units; this may be organic matter rather than carbon. ","")&amp;IF(AND($L423&lt;&gt;"",$M423&lt;&gt;""),"Both LOI and measured carbon given — the measured value is used. ","")&amp;IF(AND($M423="",$L423&lt;&gt;"",OM_FACTOR_IS_LOCAL&lt;&gt;"Yes"),"Carbon derived from LOI using the default factor of "&amp;CARBON_FRACTION_OM&amp;", which has not been calibrated locally. See R1. Reference. ","")&amp;IF(AND(ISNUMBER($O423),$O423=0,ISNUMBER($E423)),"Section lies entirely below the reference depth — it counts to the full-profile stock only. ",""))</f>
        <v/>
      </c>
      <c r="U423" s="14" t="n"/>
    </row>
    <row r="424">
      <c r="A424" s="14" t="n"/>
      <c r="B424" s="14" t="n"/>
      <c r="C424" s="14" t="n"/>
      <c r="D424" s="14" t="n"/>
      <c r="E424" s="14" t="n"/>
      <c r="F424" s="14" t="n"/>
      <c r="G424" s="14">
        <f>IF(OR($E424="",$F424=""),"",$F424-$E424)</f>
        <v/>
      </c>
      <c r="H424" s="14" t="n"/>
      <c r="I424" s="14" t="n"/>
      <c r="J424" s="19" t="n"/>
      <c r="K424" s="19" t="n"/>
      <c r="L424" s="19" t="n"/>
      <c r="M424" s="19" t="n"/>
      <c r="N424" s="18">
        <f>IF($M424&lt;&gt;"",$M424,IF($L424&lt;&gt;"",$L424*CARBON_FRACTION_OM,""))</f>
        <v/>
      </c>
      <c r="O424" s="18">
        <f>IF(OR($E424="",$F424=""),"",MAX(0,MIN($F424,REFERENCE_DEPTH_CM)-MIN($E424,REFERENCE_DEPTH_CM)))</f>
        <v/>
      </c>
      <c r="P424" s="18">
        <f>IF(OR($J424="",$N424="",$G424=""),"",$J424*($N424/100)*$G424*10)</f>
        <v/>
      </c>
      <c r="Q424" s="18">
        <f>IF(OR($J424="",$N424="",$O424=""),"",$J424*($N424/100)*$O424*10)</f>
        <v/>
      </c>
      <c r="R424" s="18">
        <f>IF(OR(NOT(ISNUMBER($P424)),NOT(ISNUMBER($G424)),$G424=0),0,$P424/$G424)</f>
        <v/>
      </c>
      <c r="S424" s="18">
        <f>IF(OR($B424="",NOT(ISNUMBER($F424))),"",SUMIFS('3. Peat Data'!$P$5:$P$604,'3. Peat Data'!$B$5:$B$604,$B424,'3. Peat Data'!$F$5:$F$604,"&lt;="&amp;$F424))</f>
        <v/>
      </c>
      <c r="T424" s="18">
        <f>IF(AND($A424="",$B424="",$E424=""),"",IF(AND($B424&lt;&gt;"",COUNTIF('2. Core Log'!$A$5:$A$124,$B424)=0),"Core ID not in Core Log. ","")&amp;IF(AND($A424&lt;&gt;"",COUNTIF('1. Plot &amp; Site Log'!$A$5:$A$64,$A424)=0),"Plot ID not in Plot &amp; Site Log. ","")&amp;IF(AND(ISNUMBER($E424),ISNUMBER($F424),$F424&lt;=$E424),"Bottom depth is not below top depth. ","")&amp;IF($I424="","Say which bulk-density basis the lab reported. ","")&amp;IF(AND(ISNUMBER($J424),OR($J424&lt;QC_BD_MIN,$J424&gt;QC_BD_MAX)),"Bulk density outside "&amp;QC_BD_MIN&amp;"–"&amp;QC_BD_MAX&amp;" g/cm³ for peat. Above the top of that range usually means the mineral contact has been passed. ","")&amp;IF(AND(ISNUMBER($N424),$N424&gt;QC_CARBON_PCT_MAX),"Carbon above "&amp;QC_CARBON_PCT_MAX&amp;"% — check units; this may be organic matter rather than carbon. ","")&amp;IF(AND($L424&lt;&gt;"",$M424&lt;&gt;""),"Both LOI and measured carbon given — the measured value is used. ","")&amp;IF(AND($M424="",$L424&lt;&gt;"",OM_FACTOR_IS_LOCAL&lt;&gt;"Yes"),"Carbon derived from LOI using the default factor of "&amp;CARBON_FRACTION_OM&amp;", which has not been calibrated locally. See R1. Reference. ","")&amp;IF(AND(ISNUMBER($O424),$O424=0,ISNUMBER($E424)),"Section lies entirely below the reference depth — it counts to the full-profile stock only. ",""))</f>
        <v/>
      </c>
      <c r="U424" s="14" t="n"/>
    </row>
    <row r="425">
      <c r="A425" s="14" t="n"/>
      <c r="B425" s="14" t="n"/>
      <c r="C425" s="14" t="n"/>
      <c r="D425" s="14" t="n"/>
      <c r="E425" s="14" t="n"/>
      <c r="F425" s="14" t="n"/>
      <c r="G425" s="14">
        <f>IF(OR($E425="",$F425=""),"",$F425-$E425)</f>
        <v/>
      </c>
      <c r="H425" s="14" t="n"/>
      <c r="I425" s="14" t="n"/>
      <c r="J425" s="19" t="n"/>
      <c r="K425" s="19" t="n"/>
      <c r="L425" s="19" t="n"/>
      <c r="M425" s="19" t="n"/>
      <c r="N425" s="18">
        <f>IF($M425&lt;&gt;"",$M425,IF($L425&lt;&gt;"",$L425*CARBON_FRACTION_OM,""))</f>
        <v/>
      </c>
      <c r="O425" s="18">
        <f>IF(OR($E425="",$F425=""),"",MAX(0,MIN($F425,REFERENCE_DEPTH_CM)-MIN($E425,REFERENCE_DEPTH_CM)))</f>
        <v/>
      </c>
      <c r="P425" s="18">
        <f>IF(OR($J425="",$N425="",$G425=""),"",$J425*($N425/100)*$G425*10)</f>
        <v/>
      </c>
      <c r="Q425" s="18">
        <f>IF(OR($J425="",$N425="",$O425=""),"",$J425*($N425/100)*$O425*10)</f>
        <v/>
      </c>
      <c r="R425" s="18">
        <f>IF(OR(NOT(ISNUMBER($P425)),NOT(ISNUMBER($G425)),$G425=0),0,$P425/$G425)</f>
        <v/>
      </c>
      <c r="S425" s="18">
        <f>IF(OR($B425="",NOT(ISNUMBER($F425))),"",SUMIFS('3. Peat Data'!$P$5:$P$604,'3. Peat Data'!$B$5:$B$604,$B425,'3. Peat Data'!$F$5:$F$604,"&lt;="&amp;$F425))</f>
        <v/>
      </c>
      <c r="T425" s="18">
        <f>IF(AND($A425="",$B425="",$E425=""),"",IF(AND($B425&lt;&gt;"",COUNTIF('2. Core Log'!$A$5:$A$124,$B425)=0),"Core ID not in Core Log. ","")&amp;IF(AND($A425&lt;&gt;"",COUNTIF('1. Plot &amp; Site Log'!$A$5:$A$64,$A425)=0),"Plot ID not in Plot &amp; Site Log. ","")&amp;IF(AND(ISNUMBER($E425),ISNUMBER($F425),$F425&lt;=$E425),"Bottom depth is not below top depth. ","")&amp;IF($I425="","Say which bulk-density basis the lab reported. ","")&amp;IF(AND(ISNUMBER($J425),OR($J425&lt;QC_BD_MIN,$J425&gt;QC_BD_MAX)),"Bulk density outside "&amp;QC_BD_MIN&amp;"–"&amp;QC_BD_MAX&amp;" g/cm³ for peat. Above the top of that range usually means the mineral contact has been passed. ","")&amp;IF(AND(ISNUMBER($N425),$N425&gt;QC_CARBON_PCT_MAX),"Carbon above "&amp;QC_CARBON_PCT_MAX&amp;"% — check units; this may be organic matter rather than carbon. ","")&amp;IF(AND($L425&lt;&gt;"",$M425&lt;&gt;""),"Both LOI and measured carbon given — the measured value is used. ","")&amp;IF(AND($M425="",$L425&lt;&gt;"",OM_FACTOR_IS_LOCAL&lt;&gt;"Yes"),"Carbon derived from LOI using the default factor of "&amp;CARBON_FRACTION_OM&amp;", which has not been calibrated locally. See R1. Reference. ","")&amp;IF(AND(ISNUMBER($O425),$O425=0,ISNUMBER($E425)),"Section lies entirely below the reference depth — it counts to the full-profile stock only. ",""))</f>
        <v/>
      </c>
      <c r="U425" s="14" t="n"/>
    </row>
    <row r="426">
      <c r="A426" s="14" t="n"/>
      <c r="B426" s="14" t="n"/>
      <c r="C426" s="14" t="n"/>
      <c r="D426" s="14" t="n"/>
      <c r="E426" s="14" t="n"/>
      <c r="F426" s="14" t="n"/>
      <c r="G426" s="14">
        <f>IF(OR($E426="",$F426=""),"",$F426-$E426)</f>
        <v/>
      </c>
      <c r="H426" s="14" t="n"/>
      <c r="I426" s="14" t="n"/>
      <c r="J426" s="19" t="n"/>
      <c r="K426" s="19" t="n"/>
      <c r="L426" s="19" t="n"/>
      <c r="M426" s="19" t="n"/>
      <c r="N426" s="18">
        <f>IF($M426&lt;&gt;"",$M426,IF($L426&lt;&gt;"",$L426*CARBON_FRACTION_OM,""))</f>
        <v/>
      </c>
      <c r="O426" s="18">
        <f>IF(OR($E426="",$F426=""),"",MAX(0,MIN($F426,REFERENCE_DEPTH_CM)-MIN($E426,REFERENCE_DEPTH_CM)))</f>
        <v/>
      </c>
      <c r="P426" s="18">
        <f>IF(OR($J426="",$N426="",$G426=""),"",$J426*($N426/100)*$G426*10)</f>
        <v/>
      </c>
      <c r="Q426" s="18">
        <f>IF(OR($J426="",$N426="",$O426=""),"",$J426*($N426/100)*$O426*10)</f>
        <v/>
      </c>
      <c r="R426" s="18">
        <f>IF(OR(NOT(ISNUMBER($P426)),NOT(ISNUMBER($G426)),$G426=0),0,$P426/$G426)</f>
        <v/>
      </c>
      <c r="S426" s="18">
        <f>IF(OR($B426="",NOT(ISNUMBER($F426))),"",SUMIFS('3. Peat Data'!$P$5:$P$604,'3. Peat Data'!$B$5:$B$604,$B426,'3. Peat Data'!$F$5:$F$604,"&lt;="&amp;$F426))</f>
        <v/>
      </c>
      <c r="T426" s="18">
        <f>IF(AND($A426="",$B426="",$E426=""),"",IF(AND($B426&lt;&gt;"",COUNTIF('2. Core Log'!$A$5:$A$124,$B426)=0),"Core ID not in Core Log. ","")&amp;IF(AND($A426&lt;&gt;"",COUNTIF('1. Plot &amp; Site Log'!$A$5:$A$64,$A426)=0),"Plot ID not in Plot &amp; Site Log. ","")&amp;IF(AND(ISNUMBER($E426),ISNUMBER($F426),$F426&lt;=$E426),"Bottom depth is not below top depth. ","")&amp;IF($I426="","Say which bulk-density basis the lab reported. ","")&amp;IF(AND(ISNUMBER($J426),OR($J426&lt;QC_BD_MIN,$J426&gt;QC_BD_MAX)),"Bulk density outside "&amp;QC_BD_MIN&amp;"–"&amp;QC_BD_MAX&amp;" g/cm³ for peat. Above the top of that range usually means the mineral contact has been passed. ","")&amp;IF(AND(ISNUMBER($N426),$N426&gt;QC_CARBON_PCT_MAX),"Carbon above "&amp;QC_CARBON_PCT_MAX&amp;"% — check units; this may be organic matter rather than carbon. ","")&amp;IF(AND($L426&lt;&gt;"",$M426&lt;&gt;""),"Both LOI and measured carbon given — the measured value is used. ","")&amp;IF(AND($M426="",$L426&lt;&gt;"",OM_FACTOR_IS_LOCAL&lt;&gt;"Yes"),"Carbon derived from LOI using the default factor of "&amp;CARBON_FRACTION_OM&amp;", which has not been calibrated locally. See R1. Reference. ","")&amp;IF(AND(ISNUMBER($O426),$O426=0,ISNUMBER($E426)),"Section lies entirely below the reference depth — it counts to the full-profile stock only. ",""))</f>
        <v/>
      </c>
      <c r="U426" s="14" t="n"/>
    </row>
    <row r="427">
      <c r="A427" s="14" t="n"/>
      <c r="B427" s="14" t="n"/>
      <c r="C427" s="14" t="n"/>
      <c r="D427" s="14" t="n"/>
      <c r="E427" s="14" t="n"/>
      <c r="F427" s="14" t="n"/>
      <c r="G427" s="14">
        <f>IF(OR($E427="",$F427=""),"",$F427-$E427)</f>
        <v/>
      </c>
      <c r="H427" s="14" t="n"/>
      <c r="I427" s="14" t="n"/>
      <c r="J427" s="19" t="n"/>
      <c r="K427" s="19" t="n"/>
      <c r="L427" s="19" t="n"/>
      <c r="M427" s="19" t="n"/>
      <c r="N427" s="18">
        <f>IF($M427&lt;&gt;"",$M427,IF($L427&lt;&gt;"",$L427*CARBON_FRACTION_OM,""))</f>
        <v/>
      </c>
      <c r="O427" s="18">
        <f>IF(OR($E427="",$F427=""),"",MAX(0,MIN($F427,REFERENCE_DEPTH_CM)-MIN($E427,REFERENCE_DEPTH_CM)))</f>
        <v/>
      </c>
      <c r="P427" s="18">
        <f>IF(OR($J427="",$N427="",$G427=""),"",$J427*($N427/100)*$G427*10)</f>
        <v/>
      </c>
      <c r="Q427" s="18">
        <f>IF(OR($J427="",$N427="",$O427=""),"",$J427*($N427/100)*$O427*10)</f>
        <v/>
      </c>
      <c r="R427" s="18">
        <f>IF(OR(NOT(ISNUMBER($P427)),NOT(ISNUMBER($G427)),$G427=0),0,$P427/$G427)</f>
        <v/>
      </c>
      <c r="S427" s="18">
        <f>IF(OR($B427="",NOT(ISNUMBER($F427))),"",SUMIFS('3. Peat Data'!$P$5:$P$604,'3. Peat Data'!$B$5:$B$604,$B427,'3. Peat Data'!$F$5:$F$604,"&lt;="&amp;$F427))</f>
        <v/>
      </c>
      <c r="T427" s="18">
        <f>IF(AND($A427="",$B427="",$E427=""),"",IF(AND($B427&lt;&gt;"",COUNTIF('2. Core Log'!$A$5:$A$124,$B427)=0),"Core ID not in Core Log. ","")&amp;IF(AND($A427&lt;&gt;"",COUNTIF('1. Plot &amp; Site Log'!$A$5:$A$64,$A427)=0),"Plot ID not in Plot &amp; Site Log. ","")&amp;IF(AND(ISNUMBER($E427),ISNUMBER($F427),$F427&lt;=$E427),"Bottom depth is not below top depth. ","")&amp;IF($I427="","Say which bulk-density basis the lab reported. ","")&amp;IF(AND(ISNUMBER($J427),OR($J427&lt;QC_BD_MIN,$J427&gt;QC_BD_MAX)),"Bulk density outside "&amp;QC_BD_MIN&amp;"–"&amp;QC_BD_MAX&amp;" g/cm³ for peat. Above the top of that range usually means the mineral contact has been passed. ","")&amp;IF(AND(ISNUMBER($N427),$N427&gt;QC_CARBON_PCT_MAX),"Carbon above "&amp;QC_CARBON_PCT_MAX&amp;"% — check units; this may be organic matter rather than carbon. ","")&amp;IF(AND($L427&lt;&gt;"",$M427&lt;&gt;""),"Both LOI and measured carbon given — the measured value is used. ","")&amp;IF(AND($M427="",$L427&lt;&gt;"",OM_FACTOR_IS_LOCAL&lt;&gt;"Yes"),"Carbon derived from LOI using the default factor of "&amp;CARBON_FRACTION_OM&amp;", which has not been calibrated locally. See R1. Reference. ","")&amp;IF(AND(ISNUMBER($O427),$O427=0,ISNUMBER($E427)),"Section lies entirely below the reference depth — it counts to the full-profile stock only. ",""))</f>
        <v/>
      </c>
      <c r="U427" s="14" t="n"/>
    </row>
    <row r="428">
      <c r="A428" s="14" t="n"/>
      <c r="B428" s="14" t="n"/>
      <c r="C428" s="14" t="n"/>
      <c r="D428" s="14" t="n"/>
      <c r="E428" s="14" t="n"/>
      <c r="F428" s="14" t="n"/>
      <c r="G428" s="14">
        <f>IF(OR($E428="",$F428=""),"",$F428-$E428)</f>
        <v/>
      </c>
      <c r="H428" s="14" t="n"/>
      <c r="I428" s="14" t="n"/>
      <c r="J428" s="19" t="n"/>
      <c r="K428" s="19" t="n"/>
      <c r="L428" s="19" t="n"/>
      <c r="M428" s="19" t="n"/>
      <c r="N428" s="18">
        <f>IF($M428&lt;&gt;"",$M428,IF($L428&lt;&gt;"",$L428*CARBON_FRACTION_OM,""))</f>
        <v/>
      </c>
      <c r="O428" s="18">
        <f>IF(OR($E428="",$F428=""),"",MAX(0,MIN($F428,REFERENCE_DEPTH_CM)-MIN($E428,REFERENCE_DEPTH_CM)))</f>
        <v/>
      </c>
      <c r="P428" s="18">
        <f>IF(OR($J428="",$N428="",$G428=""),"",$J428*($N428/100)*$G428*10)</f>
        <v/>
      </c>
      <c r="Q428" s="18">
        <f>IF(OR($J428="",$N428="",$O428=""),"",$J428*($N428/100)*$O428*10)</f>
        <v/>
      </c>
      <c r="R428" s="18">
        <f>IF(OR(NOT(ISNUMBER($P428)),NOT(ISNUMBER($G428)),$G428=0),0,$P428/$G428)</f>
        <v/>
      </c>
      <c r="S428" s="18">
        <f>IF(OR($B428="",NOT(ISNUMBER($F428))),"",SUMIFS('3. Peat Data'!$P$5:$P$604,'3. Peat Data'!$B$5:$B$604,$B428,'3. Peat Data'!$F$5:$F$604,"&lt;="&amp;$F428))</f>
        <v/>
      </c>
      <c r="T428" s="18">
        <f>IF(AND($A428="",$B428="",$E428=""),"",IF(AND($B428&lt;&gt;"",COUNTIF('2. Core Log'!$A$5:$A$124,$B428)=0),"Core ID not in Core Log. ","")&amp;IF(AND($A428&lt;&gt;"",COUNTIF('1. Plot &amp; Site Log'!$A$5:$A$64,$A428)=0),"Plot ID not in Plot &amp; Site Log. ","")&amp;IF(AND(ISNUMBER($E428),ISNUMBER($F428),$F428&lt;=$E428),"Bottom depth is not below top depth. ","")&amp;IF($I428="","Say which bulk-density basis the lab reported. ","")&amp;IF(AND(ISNUMBER($J428),OR($J428&lt;QC_BD_MIN,$J428&gt;QC_BD_MAX)),"Bulk density outside "&amp;QC_BD_MIN&amp;"–"&amp;QC_BD_MAX&amp;" g/cm³ for peat. Above the top of that range usually means the mineral contact has been passed. ","")&amp;IF(AND(ISNUMBER($N428),$N428&gt;QC_CARBON_PCT_MAX),"Carbon above "&amp;QC_CARBON_PCT_MAX&amp;"% — check units; this may be organic matter rather than carbon. ","")&amp;IF(AND($L428&lt;&gt;"",$M428&lt;&gt;""),"Both LOI and measured carbon given — the measured value is used. ","")&amp;IF(AND($M428="",$L428&lt;&gt;"",OM_FACTOR_IS_LOCAL&lt;&gt;"Yes"),"Carbon derived from LOI using the default factor of "&amp;CARBON_FRACTION_OM&amp;", which has not been calibrated locally. See R1. Reference. ","")&amp;IF(AND(ISNUMBER($O428),$O428=0,ISNUMBER($E428)),"Section lies entirely below the reference depth — it counts to the full-profile stock only. ",""))</f>
        <v/>
      </c>
      <c r="U428" s="14" t="n"/>
    </row>
    <row r="429">
      <c r="A429" s="14" t="n"/>
      <c r="B429" s="14" t="n"/>
      <c r="C429" s="14" t="n"/>
      <c r="D429" s="14" t="n"/>
      <c r="E429" s="14" t="n"/>
      <c r="F429" s="14" t="n"/>
      <c r="G429" s="14">
        <f>IF(OR($E429="",$F429=""),"",$F429-$E429)</f>
        <v/>
      </c>
      <c r="H429" s="14" t="n"/>
      <c r="I429" s="14" t="n"/>
      <c r="J429" s="19" t="n"/>
      <c r="K429" s="19" t="n"/>
      <c r="L429" s="19" t="n"/>
      <c r="M429" s="19" t="n"/>
      <c r="N429" s="18">
        <f>IF($M429&lt;&gt;"",$M429,IF($L429&lt;&gt;"",$L429*CARBON_FRACTION_OM,""))</f>
        <v/>
      </c>
      <c r="O429" s="18">
        <f>IF(OR($E429="",$F429=""),"",MAX(0,MIN($F429,REFERENCE_DEPTH_CM)-MIN($E429,REFERENCE_DEPTH_CM)))</f>
        <v/>
      </c>
      <c r="P429" s="18">
        <f>IF(OR($J429="",$N429="",$G429=""),"",$J429*($N429/100)*$G429*10)</f>
        <v/>
      </c>
      <c r="Q429" s="18">
        <f>IF(OR($J429="",$N429="",$O429=""),"",$J429*($N429/100)*$O429*10)</f>
        <v/>
      </c>
      <c r="R429" s="18">
        <f>IF(OR(NOT(ISNUMBER($P429)),NOT(ISNUMBER($G429)),$G429=0),0,$P429/$G429)</f>
        <v/>
      </c>
      <c r="S429" s="18">
        <f>IF(OR($B429="",NOT(ISNUMBER($F429))),"",SUMIFS('3. Peat Data'!$P$5:$P$604,'3. Peat Data'!$B$5:$B$604,$B429,'3. Peat Data'!$F$5:$F$604,"&lt;="&amp;$F429))</f>
        <v/>
      </c>
      <c r="T429" s="18">
        <f>IF(AND($A429="",$B429="",$E429=""),"",IF(AND($B429&lt;&gt;"",COUNTIF('2. Core Log'!$A$5:$A$124,$B429)=0),"Core ID not in Core Log. ","")&amp;IF(AND($A429&lt;&gt;"",COUNTIF('1. Plot &amp; Site Log'!$A$5:$A$64,$A429)=0),"Plot ID not in Plot &amp; Site Log. ","")&amp;IF(AND(ISNUMBER($E429),ISNUMBER($F429),$F429&lt;=$E429),"Bottom depth is not below top depth. ","")&amp;IF($I429="","Say which bulk-density basis the lab reported. ","")&amp;IF(AND(ISNUMBER($J429),OR($J429&lt;QC_BD_MIN,$J429&gt;QC_BD_MAX)),"Bulk density outside "&amp;QC_BD_MIN&amp;"–"&amp;QC_BD_MAX&amp;" g/cm³ for peat. Above the top of that range usually means the mineral contact has been passed. ","")&amp;IF(AND(ISNUMBER($N429),$N429&gt;QC_CARBON_PCT_MAX),"Carbon above "&amp;QC_CARBON_PCT_MAX&amp;"% — check units; this may be organic matter rather than carbon. ","")&amp;IF(AND($L429&lt;&gt;"",$M429&lt;&gt;""),"Both LOI and measured carbon given — the measured value is used. ","")&amp;IF(AND($M429="",$L429&lt;&gt;"",OM_FACTOR_IS_LOCAL&lt;&gt;"Yes"),"Carbon derived from LOI using the default factor of "&amp;CARBON_FRACTION_OM&amp;", which has not been calibrated locally. See R1. Reference. ","")&amp;IF(AND(ISNUMBER($O429),$O429=0,ISNUMBER($E429)),"Section lies entirely below the reference depth — it counts to the full-profile stock only. ",""))</f>
        <v/>
      </c>
      <c r="U429" s="14" t="n"/>
    </row>
    <row r="430">
      <c r="A430" s="14" t="n"/>
      <c r="B430" s="14" t="n"/>
      <c r="C430" s="14" t="n"/>
      <c r="D430" s="14" t="n"/>
      <c r="E430" s="14" t="n"/>
      <c r="F430" s="14" t="n"/>
      <c r="G430" s="14">
        <f>IF(OR($E430="",$F430=""),"",$F430-$E430)</f>
        <v/>
      </c>
      <c r="H430" s="14" t="n"/>
      <c r="I430" s="14" t="n"/>
      <c r="J430" s="19" t="n"/>
      <c r="K430" s="19" t="n"/>
      <c r="L430" s="19" t="n"/>
      <c r="M430" s="19" t="n"/>
      <c r="N430" s="18">
        <f>IF($M430&lt;&gt;"",$M430,IF($L430&lt;&gt;"",$L430*CARBON_FRACTION_OM,""))</f>
        <v/>
      </c>
      <c r="O430" s="18">
        <f>IF(OR($E430="",$F430=""),"",MAX(0,MIN($F430,REFERENCE_DEPTH_CM)-MIN($E430,REFERENCE_DEPTH_CM)))</f>
        <v/>
      </c>
      <c r="P430" s="18">
        <f>IF(OR($J430="",$N430="",$G430=""),"",$J430*($N430/100)*$G430*10)</f>
        <v/>
      </c>
      <c r="Q430" s="18">
        <f>IF(OR($J430="",$N430="",$O430=""),"",$J430*($N430/100)*$O430*10)</f>
        <v/>
      </c>
      <c r="R430" s="18">
        <f>IF(OR(NOT(ISNUMBER($P430)),NOT(ISNUMBER($G430)),$G430=0),0,$P430/$G430)</f>
        <v/>
      </c>
      <c r="S430" s="18">
        <f>IF(OR($B430="",NOT(ISNUMBER($F430))),"",SUMIFS('3. Peat Data'!$P$5:$P$604,'3. Peat Data'!$B$5:$B$604,$B430,'3. Peat Data'!$F$5:$F$604,"&lt;="&amp;$F430))</f>
        <v/>
      </c>
      <c r="T430" s="18">
        <f>IF(AND($A430="",$B430="",$E430=""),"",IF(AND($B430&lt;&gt;"",COUNTIF('2. Core Log'!$A$5:$A$124,$B430)=0),"Core ID not in Core Log. ","")&amp;IF(AND($A430&lt;&gt;"",COUNTIF('1. Plot &amp; Site Log'!$A$5:$A$64,$A430)=0),"Plot ID not in Plot &amp; Site Log. ","")&amp;IF(AND(ISNUMBER($E430),ISNUMBER($F430),$F430&lt;=$E430),"Bottom depth is not below top depth. ","")&amp;IF($I430="","Say which bulk-density basis the lab reported. ","")&amp;IF(AND(ISNUMBER($J430),OR($J430&lt;QC_BD_MIN,$J430&gt;QC_BD_MAX)),"Bulk density outside "&amp;QC_BD_MIN&amp;"–"&amp;QC_BD_MAX&amp;" g/cm³ for peat. Above the top of that range usually means the mineral contact has been passed. ","")&amp;IF(AND(ISNUMBER($N430),$N430&gt;QC_CARBON_PCT_MAX),"Carbon above "&amp;QC_CARBON_PCT_MAX&amp;"% — check units; this may be organic matter rather than carbon. ","")&amp;IF(AND($L430&lt;&gt;"",$M430&lt;&gt;""),"Both LOI and measured carbon given — the measured value is used. ","")&amp;IF(AND($M430="",$L430&lt;&gt;"",OM_FACTOR_IS_LOCAL&lt;&gt;"Yes"),"Carbon derived from LOI using the default factor of "&amp;CARBON_FRACTION_OM&amp;", which has not been calibrated locally. See R1. Reference. ","")&amp;IF(AND(ISNUMBER($O430),$O430=0,ISNUMBER($E430)),"Section lies entirely below the reference depth — it counts to the full-profile stock only. ",""))</f>
        <v/>
      </c>
      <c r="U430" s="14" t="n"/>
    </row>
    <row r="431">
      <c r="A431" s="14" t="n"/>
      <c r="B431" s="14" t="n"/>
      <c r="C431" s="14" t="n"/>
      <c r="D431" s="14" t="n"/>
      <c r="E431" s="14" t="n"/>
      <c r="F431" s="14" t="n"/>
      <c r="G431" s="14">
        <f>IF(OR($E431="",$F431=""),"",$F431-$E431)</f>
        <v/>
      </c>
      <c r="H431" s="14" t="n"/>
      <c r="I431" s="14" t="n"/>
      <c r="J431" s="19" t="n"/>
      <c r="K431" s="19" t="n"/>
      <c r="L431" s="19" t="n"/>
      <c r="M431" s="19" t="n"/>
      <c r="N431" s="18">
        <f>IF($M431&lt;&gt;"",$M431,IF($L431&lt;&gt;"",$L431*CARBON_FRACTION_OM,""))</f>
        <v/>
      </c>
      <c r="O431" s="18">
        <f>IF(OR($E431="",$F431=""),"",MAX(0,MIN($F431,REFERENCE_DEPTH_CM)-MIN($E431,REFERENCE_DEPTH_CM)))</f>
        <v/>
      </c>
      <c r="P431" s="18">
        <f>IF(OR($J431="",$N431="",$G431=""),"",$J431*($N431/100)*$G431*10)</f>
        <v/>
      </c>
      <c r="Q431" s="18">
        <f>IF(OR($J431="",$N431="",$O431=""),"",$J431*($N431/100)*$O431*10)</f>
        <v/>
      </c>
      <c r="R431" s="18">
        <f>IF(OR(NOT(ISNUMBER($P431)),NOT(ISNUMBER($G431)),$G431=0),0,$P431/$G431)</f>
        <v/>
      </c>
      <c r="S431" s="18">
        <f>IF(OR($B431="",NOT(ISNUMBER($F431))),"",SUMIFS('3. Peat Data'!$P$5:$P$604,'3. Peat Data'!$B$5:$B$604,$B431,'3. Peat Data'!$F$5:$F$604,"&lt;="&amp;$F431))</f>
        <v/>
      </c>
      <c r="T431" s="18">
        <f>IF(AND($A431="",$B431="",$E431=""),"",IF(AND($B431&lt;&gt;"",COUNTIF('2. Core Log'!$A$5:$A$124,$B431)=0),"Core ID not in Core Log. ","")&amp;IF(AND($A431&lt;&gt;"",COUNTIF('1. Plot &amp; Site Log'!$A$5:$A$64,$A431)=0),"Plot ID not in Plot &amp; Site Log. ","")&amp;IF(AND(ISNUMBER($E431),ISNUMBER($F431),$F431&lt;=$E431),"Bottom depth is not below top depth. ","")&amp;IF($I431="","Say which bulk-density basis the lab reported. ","")&amp;IF(AND(ISNUMBER($J431),OR($J431&lt;QC_BD_MIN,$J431&gt;QC_BD_MAX)),"Bulk density outside "&amp;QC_BD_MIN&amp;"–"&amp;QC_BD_MAX&amp;" g/cm³ for peat. Above the top of that range usually means the mineral contact has been passed. ","")&amp;IF(AND(ISNUMBER($N431),$N431&gt;QC_CARBON_PCT_MAX),"Carbon above "&amp;QC_CARBON_PCT_MAX&amp;"% — check units; this may be organic matter rather than carbon. ","")&amp;IF(AND($L431&lt;&gt;"",$M431&lt;&gt;""),"Both LOI and measured carbon given — the measured value is used. ","")&amp;IF(AND($M431="",$L431&lt;&gt;"",OM_FACTOR_IS_LOCAL&lt;&gt;"Yes"),"Carbon derived from LOI using the default factor of "&amp;CARBON_FRACTION_OM&amp;", which has not been calibrated locally. See R1. Reference. ","")&amp;IF(AND(ISNUMBER($O431),$O431=0,ISNUMBER($E431)),"Section lies entirely below the reference depth — it counts to the full-profile stock only. ",""))</f>
        <v/>
      </c>
      <c r="U431" s="14" t="n"/>
    </row>
    <row r="432">
      <c r="A432" s="14" t="n"/>
      <c r="B432" s="14" t="n"/>
      <c r="C432" s="14" t="n"/>
      <c r="D432" s="14" t="n"/>
      <c r="E432" s="14" t="n"/>
      <c r="F432" s="14" t="n"/>
      <c r="G432" s="14">
        <f>IF(OR($E432="",$F432=""),"",$F432-$E432)</f>
        <v/>
      </c>
      <c r="H432" s="14" t="n"/>
      <c r="I432" s="14" t="n"/>
      <c r="J432" s="19" t="n"/>
      <c r="K432" s="19" t="n"/>
      <c r="L432" s="19" t="n"/>
      <c r="M432" s="19" t="n"/>
      <c r="N432" s="18">
        <f>IF($M432&lt;&gt;"",$M432,IF($L432&lt;&gt;"",$L432*CARBON_FRACTION_OM,""))</f>
        <v/>
      </c>
      <c r="O432" s="18">
        <f>IF(OR($E432="",$F432=""),"",MAX(0,MIN($F432,REFERENCE_DEPTH_CM)-MIN($E432,REFERENCE_DEPTH_CM)))</f>
        <v/>
      </c>
      <c r="P432" s="18">
        <f>IF(OR($J432="",$N432="",$G432=""),"",$J432*($N432/100)*$G432*10)</f>
        <v/>
      </c>
      <c r="Q432" s="18">
        <f>IF(OR($J432="",$N432="",$O432=""),"",$J432*($N432/100)*$O432*10)</f>
        <v/>
      </c>
      <c r="R432" s="18">
        <f>IF(OR(NOT(ISNUMBER($P432)),NOT(ISNUMBER($G432)),$G432=0),0,$P432/$G432)</f>
        <v/>
      </c>
      <c r="S432" s="18">
        <f>IF(OR($B432="",NOT(ISNUMBER($F432))),"",SUMIFS('3. Peat Data'!$P$5:$P$604,'3. Peat Data'!$B$5:$B$604,$B432,'3. Peat Data'!$F$5:$F$604,"&lt;="&amp;$F432))</f>
        <v/>
      </c>
      <c r="T432" s="18">
        <f>IF(AND($A432="",$B432="",$E432=""),"",IF(AND($B432&lt;&gt;"",COUNTIF('2. Core Log'!$A$5:$A$124,$B432)=0),"Core ID not in Core Log. ","")&amp;IF(AND($A432&lt;&gt;"",COUNTIF('1. Plot &amp; Site Log'!$A$5:$A$64,$A432)=0),"Plot ID not in Plot &amp; Site Log. ","")&amp;IF(AND(ISNUMBER($E432),ISNUMBER($F432),$F432&lt;=$E432),"Bottom depth is not below top depth. ","")&amp;IF($I432="","Say which bulk-density basis the lab reported. ","")&amp;IF(AND(ISNUMBER($J432),OR($J432&lt;QC_BD_MIN,$J432&gt;QC_BD_MAX)),"Bulk density outside "&amp;QC_BD_MIN&amp;"–"&amp;QC_BD_MAX&amp;" g/cm³ for peat. Above the top of that range usually means the mineral contact has been passed. ","")&amp;IF(AND(ISNUMBER($N432),$N432&gt;QC_CARBON_PCT_MAX),"Carbon above "&amp;QC_CARBON_PCT_MAX&amp;"% — check units; this may be organic matter rather than carbon. ","")&amp;IF(AND($L432&lt;&gt;"",$M432&lt;&gt;""),"Both LOI and measured carbon given — the measured value is used. ","")&amp;IF(AND($M432="",$L432&lt;&gt;"",OM_FACTOR_IS_LOCAL&lt;&gt;"Yes"),"Carbon derived from LOI using the default factor of "&amp;CARBON_FRACTION_OM&amp;", which has not been calibrated locally. See R1. Reference. ","")&amp;IF(AND(ISNUMBER($O432),$O432=0,ISNUMBER($E432)),"Section lies entirely below the reference depth — it counts to the full-profile stock only. ",""))</f>
        <v/>
      </c>
      <c r="U432" s="14" t="n"/>
    </row>
    <row r="433">
      <c r="A433" s="14" t="n"/>
      <c r="B433" s="14" t="n"/>
      <c r="C433" s="14" t="n"/>
      <c r="D433" s="14" t="n"/>
      <c r="E433" s="14" t="n"/>
      <c r="F433" s="14" t="n"/>
      <c r="G433" s="14">
        <f>IF(OR($E433="",$F433=""),"",$F433-$E433)</f>
        <v/>
      </c>
      <c r="H433" s="14" t="n"/>
      <c r="I433" s="14" t="n"/>
      <c r="J433" s="19" t="n"/>
      <c r="K433" s="19" t="n"/>
      <c r="L433" s="19" t="n"/>
      <c r="M433" s="19" t="n"/>
      <c r="N433" s="18">
        <f>IF($M433&lt;&gt;"",$M433,IF($L433&lt;&gt;"",$L433*CARBON_FRACTION_OM,""))</f>
        <v/>
      </c>
      <c r="O433" s="18">
        <f>IF(OR($E433="",$F433=""),"",MAX(0,MIN($F433,REFERENCE_DEPTH_CM)-MIN($E433,REFERENCE_DEPTH_CM)))</f>
        <v/>
      </c>
      <c r="P433" s="18">
        <f>IF(OR($J433="",$N433="",$G433=""),"",$J433*($N433/100)*$G433*10)</f>
        <v/>
      </c>
      <c r="Q433" s="18">
        <f>IF(OR($J433="",$N433="",$O433=""),"",$J433*($N433/100)*$O433*10)</f>
        <v/>
      </c>
      <c r="R433" s="18">
        <f>IF(OR(NOT(ISNUMBER($P433)),NOT(ISNUMBER($G433)),$G433=0),0,$P433/$G433)</f>
        <v/>
      </c>
      <c r="S433" s="18">
        <f>IF(OR($B433="",NOT(ISNUMBER($F433))),"",SUMIFS('3. Peat Data'!$P$5:$P$604,'3. Peat Data'!$B$5:$B$604,$B433,'3. Peat Data'!$F$5:$F$604,"&lt;="&amp;$F433))</f>
        <v/>
      </c>
      <c r="T433" s="18">
        <f>IF(AND($A433="",$B433="",$E433=""),"",IF(AND($B433&lt;&gt;"",COUNTIF('2. Core Log'!$A$5:$A$124,$B433)=0),"Core ID not in Core Log. ","")&amp;IF(AND($A433&lt;&gt;"",COUNTIF('1. Plot &amp; Site Log'!$A$5:$A$64,$A433)=0),"Plot ID not in Plot &amp; Site Log. ","")&amp;IF(AND(ISNUMBER($E433),ISNUMBER($F433),$F433&lt;=$E433),"Bottom depth is not below top depth. ","")&amp;IF($I433="","Say which bulk-density basis the lab reported. ","")&amp;IF(AND(ISNUMBER($J433),OR($J433&lt;QC_BD_MIN,$J433&gt;QC_BD_MAX)),"Bulk density outside "&amp;QC_BD_MIN&amp;"–"&amp;QC_BD_MAX&amp;" g/cm³ for peat. Above the top of that range usually means the mineral contact has been passed. ","")&amp;IF(AND(ISNUMBER($N433),$N433&gt;QC_CARBON_PCT_MAX),"Carbon above "&amp;QC_CARBON_PCT_MAX&amp;"% — check units; this may be organic matter rather than carbon. ","")&amp;IF(AND($L433&lt;&gt;"",$M433&lt;&gt;""),"Both LOI and measured carbon given — the measured value is used. ","")&amp;IF(AND($M433="",$L433&lt;&gt;"",OM_FACTOR_IS_LOCAL&lt;&gt;"Yes"),"Carbon derived from LOI using the default factor of "&amp;CARBON_FRACTION_OM&amp;", which has not been calibrated locally. See R1. Reference. ","")&amp;IF(AND(ISNUMBER($O433),$O433=0,ISNUMBER($E433)),"Section lies entirely below the reference depth — it counts to the full-profile stock only. ",""))</f>
        <v/>
      </c>
      <c r="U433" s="14" t="n"/>
    </row>
    <row r="434">
      <c r="A434" s="14" t="n"/>
      <c r="B434" s="14" t="n"/>
      <c r="C434" s="14" t="n"/>
      <c r="D434" s="14" t="n"/>
      <c r="E434" s="14" t="n"/>
      <c r="F434" s="14" t="n"/>
      <c r="G434" s="14">
        <f>IF(OR($E434="",$F434=""),"",$F434-$E434)</f>
        <v/>
      </c>
      <c r="H434" s="14" t="n"/>
      <c r="I434" s="14" t="n"/>
      <c r="J434" s="19" t="n"/>
      <c r="K434" s="19" t="n"/>
      <c r="L434" s="19" t="n"/>
      <c r="M434" s="19" t="n"/>
      <c r="N434" s="18">
        <f>IF($M434&lt;&gt;"",$M434,IF($L434&lt;&gt;"",$L434*CARBON_FRACTION_OM,""))</f>
        <v/>
      </c>
      <c r="O434" s="18">
        <f>IF(OR($E434="",$F434=""),"",MAX(0,MIN($F434,REFERENCE_DEPTH_CM)-MIN($E434,REFERENCE_DEPTH_CM)))</f>
        <v/>
      </c>
      <c r="P434" s="18">
        <f>IF(OR($J434="",$N434="",$G434=""),"",$J434*($N434/100)*$G434*10)</f>
        <v/>
      </c>
      <c r="Q434" s="18">
        <f>IF(OR($J434="",$N434="",$O434=""),"",$J434*($N434/100)*$O434*10)</f>
        <v/>
      </c>
      <c r="R434" s="18">
        <f>IF(OR(NOT(ISNUMBER($P434)),NOT(ISNUMBER($G434)),$G434=0),0,$P434/$G434)</f>
        <v/>
      </c>
      <c r="S434" s="18">
        <f>IF(OR($B434="",NOT(ISNUMBER($F434))),"",SUMIFS('3. Peat Data'!$P$5:$P$604,'3. Peat Data'!$B$5:$B$604,$B434,'3. Peat Data'!$F$5:$F$604,"&lt;="&amp;$F434))</f>
        <v/>
      </c>
      <c r="T434" s="18">
        <f>IF(AND($A434="",$B434="",$E434=""),"",IF(AND($B434&lt;&gt;"",COUNTIF('2. Core Log'!$A$5:$A$124,$B434)=0),"Core ID not in Core Log. ","")&amp;IF(AND($A434&lt;&gt;"",COUNTIF('1. Plot &amp; Site Log'!$A$5:$A$64,$A434)=0),"Plot ID not in Plot &amp; Site Log. ","")&amp;IF(AND(ISNUMBER($E434),ISNUMBER($F434),$F434&lt;=$E434),"Bottom depth is not below top depth. ","")&amp;IF($I434="","Say which bulk-density basis the lab reported. ","")&amp;IF(AND(ISNUMBER($J434),OR($J434&lt;QC_BD_MIN,$J434&gt;QC_BD_MAX)),"Bulk density outside "&amp;QC_BD_MIN&amp;"–"&amp;QC_BD_MAX&amp;" g/cm³ for peat. Above the top of that range usually means the mineral contact has been passed. ","")&amp;IF(AND(ISNUMBER($N434),$N434&gt;QC_CARBON_PCT_MAX),"Carbon above "&amp;QC_CARBON_PCT_MAX&amp;"% — check units; this may be organic matter rather than carbon. ","")&amp;IF(AND($L434&lt;&gt;"",$M434&lt;&gt;""),"Both LOI and measured carbon given — the measured value is used. ","")&amp;IF(AND($M434="",$L434&lt;&gt;"",OM_FACTOR_IS_LOCAL&lt;&gt;"Yes"),"Carbon derived from LOI using the default factor of "&amp;CARBON_FRACTION_OM&amp;", which has not been calibrated locally. See R1. Reference. ","")&amp;IF(AND(ISNUMBER($O434),$O434=0,ISNUMBER($E434)),"Section lies entirely below the reference depth — it counts to the full-profile stock only. ",""))</f>
        <v/>
      </c>
      <c r="U434" s="14" t="n"/>
    </row>
    <row r="435">
      <c r="A435" s="14" t="n"/>
      <c r="B435" s="14" t="n"/>
      <c r="C435" s="14" t="n"/>
      <c r="D435" s="14" t="n"/>
      <c r="E435" s="14" t="n"/>
      <c r="F435" s="14" t="n"/>
      <c r="G435" s="14">
        <f>IF(OR($E435="",$F435=""),"",$F435-$E435)</f>
        <v/>
      </c>
      <c r="H435" s="14" t="n"/>
      <c r="I435" s="14" t="n"/>
      <c r="J435" s="19" t="n"/>
      <c r="K435" s="19" t="n"/>
      <c r="L435" s="19" t="n"/>
      <c r="M435" s="19" t="n"/>
      <c r="N435" s="18">
        <f>IF($M435&lt;&gt;"",$M435,IF($L435&lt;&gt;"",$L435*CARBON_FRACTION_OM,""))</f>
        <v/>
      </c>
      <c r="O435" s="18">
        <f>IF(OR($E435="",$F435=""),"",MAX(0,MIN($F435,REFERENCE_DEPTH_CM)-MIN($E435,REFERENCE_DEPTH_CM)))</f>
        <v/>
      </c>
      <c r="P435" s="18">
        <f>IF(OR($J435="",$N435="",$G435=""),"",$J435*($N435/100)*$G435*10)</f>
        <v/>
      </c>
      <c r="Q435" s="18">
        <f>IF(OR($J435="",$N435="",$O435=""),"",$J435*($N435/100)*$O435*10)</f>
        <v/>
      </c>
      <c r="R435" s="18">
        <f>IF(OR(NOT(ISNUMBER($P435)),NOT(ISNUMBER($G435)),$G435=0),0,$P435/$G435)</f>
        <v/>
      </c>
      <c r="S435" s="18">
        <f>IF(OR($B435="",NOT(ISNUMBER($F435))),"",SUMIFS('3. Peat Data'!$P$5:$P$604,'3. Peat Data'!$B$5:$B$604,$B435,'3. Peat Data'!$F$5:$F$604,"&lt;="&amp;$F435))</f>
        <v/>
      </c>
      <c r="T435" s="18">
        <f>IF(AND($A435="",$B435="",$E435=""),"",IF(AND($B435&lt;&gt;"",COUNTIF('2. Core Log'!$A$5:$A$124,$B435)=0),"Core ID not in Core Log. ","")&amp;IF(AND($A435&lt;&gt;"",COUNTIF('1. Plot &amp; Site Log'!$A$5:$A$64,$A435)=0),"Plot ID not in Plot &amp; Site Log. ","")&amp;IF(AND(ISNUMBER($E435),ISNUMBER($F435),$F435&lt;=$E435),"Bottom depth is not below top depth. ","")&amp;IF($I435="","Say which bulk-density basis the lab reported. ","")&amp;IF(AND(ISNUMBER($J435),OR($J435&lt;QC_BD_MIN,$J435&gt;QC_BD_MAX)),"Bulk density outside "&amp;QC_BD_MIN&amp;"–"&amp;QC_BD_MAX&amp;" g/cm³ for peat. Above the top of that range usually means the mineral contact has been passed. ","")&amp;IF(AND(ISNUMBER($N435),$N435&gt;QC_CARBON_PCT_MAX),"Carbon above "&amp;QC_CARBON_PCT_MAX&amp;"% — check units; this may be organic matter rather than carbon. ","")&amp;IF(AND($L435&lt;&gt;"",$M435&lt;&gt;""),"Both LOI and measured carbon given — the measured value is used. ","")&amp;IF(AND($M435="",$L435&lt;&gt;"",OM_FACTOR_IS_LOCAL&lt;&gt;"Yes"),"Carbon derived from LOI using the default factor of "&amp;CARBON_FRACTION_OM&amp;", which has not been calibrated locally. See R1. Reference. ","")&amp;IF(AND(ISNUMBER($O435),$O435=0,ISNUMBER($E435)),"Section lies entirely below the reference depth — it counts to the full-profile stock only. ",""))</f>
        <v/>
      </c>
      <c r="U435" s="14" t="n"/>
    </row>
    <row r="436">
      <c r="A436" s="14" t="n"/>
      <c r="B436" s="14" t="n"/>
      <c r="C436" s="14" t="n"/>
      <c r="D436" s="14" t="n"/>
      <c r="E436" s="14" t="n"/>
      <c r="F436" s="14" t="n"/>
      <c r="G436" s="14">
        <f>IF(OR($E436="",$F436=""),"",$F436-$E436)</f>
        <v/>
      </c>
      <c r="H436" s="14" t="n"/>
      <c r="I436" s="14" t="n"/>
      <c r="J436" s="19" t="n"/>
      <c r="K436" s="19" t="n"/>
      <c r="L436" s="19" t="n"/>
      <c r="M436" s="19" t="n"/>
      <c r="N436" s="18">
        <f>IF($M436&lt;&gt;"",$M436,IF($L436&lt;&gt;"",$L436*CARBON_FRACTION_OM,""))</f>
        <v/>
      </c>
      <c r="O436" s="18">
        <f>IF(OR($E436="",$F436=""),"",MAX(0,MIN($F436,REFERENCE_DEPTH_CM)-MIN($E436,REFERENCE_DEPTH_CM)))</f>
        <v/>
      </c>
      <c r="P436" s="18">
        <f>IF(OR($J436="",$N436="",$G436=""),"",$J436*($N436/100)*$G436*10)</f>
        <v/>
      </c>
      <c r="Q436" s="18">
        <f>IF(OR($J436="",$N436="",$O436=""),"",$J436*($N436/100)*$O436*10)</f>
        <v/>
      </c>
      <c r="R436" s="18">
        <f>IF(OR(NOT(ISNUMBER($P436)),NOT(ISNUMBER($G436)),$G436=0),0,$P436/$G436)</f>
        <v/>
      </c>
      <c r="S436" s="18">
        <f>IF(OR($B436="",NOT(ISNUMBER($F436))),"",SUMIFS('3. Peat Data'!$P$5:$P$604,'3. Peat Data'!$B$5:$B$604,$B436,'3. Peat Data'!$F$5:$F$604,"&lt;="&amp;$F436))</f>
        <v/>
      </c>
      <c r="T436" s="18">
        <f>IF(AND($A436="",$B436="",$E436=""),"",IF(AND($B436&lt;&gt;"",COUNTIF('2. Core Log'!$A$5:$A$124,$B436)=0),"Core ID not in Core Log. ","")&amp;IF(AND($A436&lt;&gt;"",COUNTIF('1. Plot &amp; Site Log'!$A$5:$A$64,$A436)=0),"Plot ID not in Plot &amp; Site Log. ","")&amp;IF(AND(ISNUMBER($E436),ISNUMBER($F436),$F436&lt;=$E436),"Bottom depth is not below top depth. ","")&amp;IF($I436="","Say which bulk-density basis the lab reported. ","")&amp;IF(AND(ISNUMBER($J436),OR($J436&lt;QC_BD_MIN,$J436&gt;QC_BD_MAX)),"Bulk density outside "&amp;QC_BD_MIN&amp;"–"&amp;QC_BD_MAX&amp;" g/cm³ for peat. Above the top of that range usually means the mineral contact has been passed. ","")&amp;IF(AND(ISNUMBER($N436),$N436&gt;QC_CARBON_PCT_MAX),"Carbon above "&amp;QC_CARBON_PCT_MAX&amp;"% — check units; this may be organic matter rather than carbon. ","")&amp;IF(AND($L436&lt;&gt;"",$M436&lt;&gt;""),"Both LOI and measured carbon given — the measured value is used. ","")&amp;IF(AND($M436="",$L436&lt;&gt;"",OM_FACTOR_IS_LOCAL&lt;&gt;"Yes"),"Carbon derived from LOI using the default factor of "&amp;CARBON_FRACTION_OM&amp;", which has not been calibrated locally. See R1. Reference. ","")&amp;IF(AND(ISNUMBER($O436),$O436=0,ISNUMBER($E436)),"Section lies entirely below the reference depth — it counts to the full-profile stock only. ",""))</f>
        <v/>
      </c>
      <c r="U436" s="14" t="n"/>
    </row>
    <row r="437">
      <c r="A437" s="14" t="n"/>
      <c r="B437" s="14" t="n"/>
      <c r="C437" s="14" t="n"/>
      <c r="D437" s="14" t="n"/>
      <c r="E437" s="14" t="n"/>
      <c r="F437" s="14" t="n"/>
      <c r="G437" s="14">
        <f>IF(OR($E437="",$F437=""),"",$F437-$E437)</f>
        <v/>
      </c>
      <c r="H437" s="14" t="n"/>
      <c r="I437" s="14" t="n"/>
      <c r="J437" s="19" t="n"/>
      <c r="K437" s="19" t="n"/>
      <c r="L437" s="19" t="n"/>
      <c r="M437" s="19" t="n"/>
      <c r="N437" s="18">
        <f>IF($M437&lt;&gt;"",$M437,IF($L437&lt;&gt;"",$L437*CARBON_FRACTION_OM,""))</f>
        <v/>
      </c>
      <c r="O437" s="18">
        <f>IF(OR($E437="",$F437=""),"",MAX(0,MIN($F437,REFERENCE_DEPTH_CM)-MIN($E437,REFERENCE_DEPTH_CM)))</f>
        <v/>
      </c>
      <c r="P437" s="18">
        <f>IF(OR($J437="",$N437="",$G437=""),"",$J437*($N437/100)*$G437*10)</f>
        <v/>
      </c>
      <c r="Q437" s="18">
        <f>IF(OR($J437="",$N437="",$O437=""),"",$J437*($N437/100)*$O437*10)</f>
        <v/>
      </c>
      <c r="R437" s="18">
        <f>IF(OR(NOT(ISNUMBER($P437)),NOT(ISNUMBER($G437)),$G437=0),0,$P437/$G437)</f>
        <v/>
      </c>
      <c r="S437" s="18">
        <f>IF(OR($B437="",NOT(ISNUMBER($F437))),"",SUMIFS('3. Peat Data'!$P$5:$P$604,'3. Peat Data'!$B$5:$B$604,$B437,'3. Peat Data'!$F$5:$F$604,"&lt;="&amp;$F437))</f>
        <v/>
      </c>
      <c r="T437" s="18">
        <f>IF(AND($A437="",$B437="",$E437=""),"",IF(AND($B437&lt;&gt;"",COUNTIF('2. Core Log'!$A$5:$A$124,$B437)=0),"Core ID not in Core Log. ","")&amp;IF(AND($A437&lt;&gt;"",COUNTIF('1. Plot &amp; Site Log'!$A$5:$A$64,$A437)=0),"Plot ID not in Plot &amp; Site Log. ","")&amp;IF(AND(ISNUMBER($E437),ISNUMBER($F437),$F437&lt;=$E437),"Bottom depth is not below top depth. ","")&amp;IF($I437="","Say which bulk-density basis the lab reported. ","")&amp;IF(AND(ISNUMBER($J437),OR($J437&lt;QC_BD_MIN,$J437&gt;QC_BD_MAX)),"Bulk density outside "&amp;QC_BD_MIN&amp;"–"&amp;QC_BD_MAX&amp;" g/cm³ for peat. Above the top of that range usually means the mineral contact has been passed. ","")&amp;IF(AND(ISNUMBER($N437),$N437&gt;QC_CARBON_PCT_MAX),"Carbon above "&amp;QC_CARBON_PCT_MAX&amp;"% — check units; this may be organic matter rather than carbon. ","")&amp;IF(AND($L437&lt;&gt;"",$M437&lt;&gt;""),"Both LOI and measured carbon given — the measured value is used. ","")&amp;IF(AND($M437="",$L437&lt;&gt;"",OM_FACTOR_IS_LOCAL&lt;&gt;"Yes"),"Carbon derived from LOI using the default factor of "&amp;CARBON_FRACTION_OM&amp;", which has not been calibrated locally. See R1. Reference. ","")&amp;IF(AND(ISNUMBER($O437),$O437=0,ISNUMBER($E437)),"Section lies entirely below the reference depth — it counts to the full-profile stock only. ",""))</f>
        <v/>
      </c>
      <c r="U437" s="14" t="n"/>
    </row>
    <row r="438">
      <c r="A438" s="14" t="n"/>
      <c r="B438" s="14" t="n"/>
      <c r="C438" s="14" t="n"/>
      <c r="D438" s="14" t="n"/>
      <c r="E438" s="14" t="n"/>
      <c r="F438" s="14" t="n"/>
      <c r="G438" s="14">
        <f>IF(OR($E438="",$F438=""),"",$F438-$E438)</f>
        <v/>
      </c>
      <c r="H438" s="14" t="n"/>
      <c r="I438" s="14" t="n"/>
      <c r="J438" s="19" t="n"/>
      <c r="K438" s="19" t="n"/>
      <c r="L438" s="19" t="n"/>
      <c r="M438" s="19" t="n"/>
      <c r="N438" s="18">
        <f>IF($M438&lt;&gt;"",$M438,IF($L438&lt;&gt;"",$L438*CARBON_FRACTION_OM,""))</f>
        <v/>
      </c>
      <c r="O438" s="18">
        <f>IF(OR($E438="",$F438=""),"",MAX(0,MIN($F438,REFERENCE_DEPTH_CM)-MIN($E438,REFERENCE_DEPTH_CM)))</f>
        <v/>
      </c>
      <c r="P438" s="18">
        <f>IF(OR($J438="",$N438="",$G438=""),"",$J438*($N438/100)*$G438*10)</f>
        <v/>
      </c>
      <c r="Q438" s="18">
        <f>IF(OR($J438="",$N438="",$O438=""),"",$J438*($N438/100)*$O438*10)</f>
        <v/>
      </c>
      <c r="R438" s="18">
        <f>IF(OR(NOT(ISNUMBER($P438)),NOT(ISNUMBER($G438)),$G438=0),0,$P438/$G438)</f>
        <v/>
      </c>
      <c r="S438" s="18">
        <f>IF(OR($B438="",NOT(ISNUMBER($F438))),"",SUMIFS('3. Peat Data'!$P$5:$P$604,'3. Peat Data'!$B$5:$B$604,$B438,'3. Peat Data'!$F$5:$F$604,"&lt;="&amp;$F438))</f>
        <v/>
      </c>
      <c r="T438" s="18">
        <f>IF(AND($A438="",$B438="",$E438=""),"",IF(AND($B438&lt;&gt;"",COUNTIF('2. Core Log'!$A$5:$A$124,$B438)=0),"Core ID not in Core Log. ","")&amp;IF(AND($A438&lt;&gt;"",COUNTIF('1. Plot &amp; Site Log'!$A$5:$A$64,$A438)=0),"Plot ID not in Plot &amp; Site Log. ","")&amp;IF(AND(ISNUMBER($E438),ISNUMBER($F438),$F438&lt;=$E438),"Bottom depth is not below top depth. ","")&amp;IF($I438="","Say which bulk-density basis the lab reported. ","")&amp;IF(AND(ISNUMBER($J438),OR($J438&lt;QC_BD_MIN,$J438&gt;QC_BD_MAX)),"Bulk density outside "&amp;QC_BD_MIN&amp;"–"&amp;QC_BD_MAX&amp;" g/cm³ for peat. Above the top of that range usually means the mineral contact has been passed. ","")&amp;IF(AND(ISNUMBER($N438),$N438&gt;QC_CARBON_PCT_MAX),"Carbon above "&amp;QC_CARBON_PCT_MAX&amp;"% — check units; this may be organic matter rather than carbon. ","")&amp;IF(AND($L438&lt;&gt;"",$M438&lt;&gt;""),"Both LOI and measured carbon given — the measured value is used. ","")&amp;IF(AND($M438="",$L438&lt;&gt;"",OM_FACTOR_IS_LOCAL&lt;&gt;"Yes"),"Carbon derived from LOI using the default factor of "&amp;CARBON_FRACTION_OM&amp;", which has not been calibrated locally. See R1. Reference. ","")&amp;IF(AND(ISNUMBER($O438),$O438=0,ISNUMBER($E438)),"Section lies entirely below the reference depth — it counts to the full-profile stock only. ",""))</f>
        <v/>
      </c>
      <c r="U438" s="14" t="n"/>
    </row>
    <row r="439">
      <c r="A439" s="14" t="n"/>
      <c r="B439" s="14" t="n"/>
      <c r="C439" s="14" t="n"/>
      <c r="D439" s="14" t="n"/>
      <c r="E439" s="14" t="n"/>
      <c r="F439" s="14" t="n"/>
      <c r="G439" s="14">
        <f>IF(OR($E439="",$F439=""),"",$F439-$E439)</f>
        <v/>
      </c>
      <c r="H439" s="14" t="n"/>
      <c r="I439" s="14" t="n"/>
      <c r="J439" s="19" t="n"/>
      <c r="K439" s="19" t="n"/>
      <c r="L439" s="19" t="n"/>
      <c r="M439" s="19" t="n"/>
      <c r="N439" s="18">
        <f>IF($M439&lt;&gt;"",$M439,IF($L439&lt;&gt;"",$L439*CARBON_FRACTION_OM,""))</f>
        <v/>
      </c>
      <c r="O439" s="18">
        <f>IF(OR($E439="",$F439=""),"",MAX(0,MIN($F439,REFERENCE_DEPTH_CM)-MIN($E439,REFERENCE_DEPTH_CM)))</f>
        <v/>
      </c>
      <c r="P439" s="18">
        <f>IF(OR($J439="",$N439="",$G439=""),"",$J439*($N439/100)*$G439*10)</f>
        <v/>
      </c>
      <c r="Q439" s="18">
        <f>IF(OR($J439="",$N439="",$O439=""),"",$J439*($N439/100)*$O439*10)</f>
        <v/>
      </c>
      <c r="R439" s="18">
        <f>IF(OR(NOT(ISNUMBER($P439)),NOT(ISNUMBER($G439)),$G439=0),0,$P439/$G439)</f>
        <v/>
      </c>
      <c r="S439" s="18">
        <f>IF(OR($B439="",NOT(ISNUMBER($F439))),"",SUMIFS('3. Peat Data'!$P$5:$P$604,'3. Peat Data'!$B$5:$B$604,$B439,'3. Peat Data'!$F$5:$F$604,"&lt;="&amp;$F439))</f>
        <v/>
      </c>
      <c r="T439" s="18">
        <f>IF(AND($A439="",$B439="",$E439=""),"",IF(AND($B439&lt;&gt;"",COUNTIF('2. Core Log'!$A$5:$A$124,$B439)=0),"Core ID not in Core Log. ","")&amp;IF(AND($A439&lt;&gt;"",COUNTIF('1. Plot &amp; Site Log'!$A$5:$A$64,$A439)=0),"Plot ID not in Plot &amp; Site Log. ","")&amp;IF(AND(ISNUMBER($E439),ISNUMBER($F439),$F439&lt;=$E439),"Bottom depth is not below top depth. ","")&amp;IF($I439="","Say which bulk-density basis the lab reported. ","")&amp;IF(AND(ISNUMBER($J439),OR($J439&lt;QC_BD_MIN,$J439&gt;QC_BD_MAX)),"Bulk density outside "&amp;QC_BD_MIN&amp;"–"&amp;QC_BD_MAX&amp;" g/cm³ for peat. Above the top of that range usually means the mineral contact has been passed. ","")&amp;IF(AND(ISNUMBER($N439),$N439&gt;QC_CARBON_PCT_MAX),"Carbon above "&amp;QC_CARBON_PCT_MAX&amp;"% — check units; this may be organic matter rather than carbon. ","")&amp;IF(AND($L439&lt;&gt;"",$M439&lt;&gt;""),"Both LOI and measured carbon given — the measured value is used. ","")&amp;IF(AND($M439="",$L439&lt;&gt;"",OM_FACTOR_IS_LOCAL&lt;&gt;"Yes"),"Carbon derived from LOI using the default factor of "&amp;CARBON_FRACTION_OM&amp;", which has not been calibrated locally. See R1. Reference. ","")&amp;IF(AND(ISNUMBER($O439),$O439=0,ISNUMBER($E439)),"Section lies entirely below the reference depth — it counts to the full-profile stock only. ",""))</f>
        <v/>
      </c>
      <c r="U439" s="14" t="n"/>
    </row>
    <row r="440">
      <c r="A440" s="14" t="n"/>
      <c r="B440" s="14" t="n"/>
      <c r="C440" s="14" t="n"/>
      <c r="D440" s="14" t="n"/>
      <c r="E440" s="14" t="n"/>
      <c r="F440" s="14" t="n"/>
      <c r="G440" s="14">
        <f>IF(OR($E440="",$F440=""),"",$F440-$E440)</f>
        <v/>
      </c>
      <c r="H440" s="14" t="n"/>
      <c r="I440" s="14" t="n"/>
      <c r="J440" s="19" t="n"/>
      <c r="K440" s="19" t="n"/>
      <c r="L440" s="19" t="n"/>
      <c r="M440" s="19" t="n"/>
      <c r="N440" s="18">
        <f>IF($M440&lt;&gt;"",$M440,IF($L440&lt;&gt;"",$L440*CARBON_FRACTION_OM,""))</f>
        <v/>
      </c>
      <c r="O440" s="18">
        <f>IF(OR($E440="",$F440=""),"",MAX(0,MIN($F440,REFERENCE_DEPTH_CM)-MIN($E440,REFERENCE_DEPTH_CM)))</f>
        <v/>
      </c>
      <c r="P440" s="18">
        <f>IF(OR($J440="",$N440="",$G440=""),"",$J440*($N440/100)*$G440*10)</f>
        <v/>
      </c>
      <c r="Q440" s="18">
        <f>IF(OR($J440="",$N440="",$O440=""),"",$J440*($N440/100)*$O440*10)</f>
        <v/>
      </c>
      <c r="R440" s="18">
        <f>IF(OR(NOT(ISNUMBER($P440)),NOT(ISNUMBER($G440)),$G440=0),0,$P440/$G440)</f>
        <v/>
      </c>
      <c r="S440" s="18">
        <f>IF(OR($B440="",NOT(ISNUMBER($F440))),"",SUMIFS('3. Peat Data'!$P$5:$P$604,'3. Peat Data'!$B$5:$B$604,$B440,'3. Peat Data'!$F$5:$F$604,"&lt;="&amp;$F440))</f>
        <v/>
      </c>
      <c r="T440" s="18">
        <f>IF(AND($A440="",$B440="",$E440=""),"",IF(AND($B440&lt;&gt;"",COUNTIF('2. Core Log'!$A$5:$A$124,$B440)=0),"Core ID not in Core Log. ","")&amp;IF(AND($A440&lt;&gt;"",COUNTIF('1. Plot &amp; Site Log'!$A$5:$A$64,$A440)=0),"Plot ID not in Plot &amp; Site Log. ","")&amp;IF(AND(ISNUMBER($E440),ISNUMBER($F440),$F440&lt;=$E440),"Bottom depth is not below top depth. ","")&amp;IF($I440="","Say which bulk-density basis the lab reported. ","")&amp;IF(AND(ISNUMBER($J440),OR($J440&lt;QC_BD_MIN,$J440&gt;QC_BD_MAX)),"Bulk density outside "&amp;QC_BD_MIN&amp;"–"&amp;QC_BD_MAX&amp;" g/cm³ for peat. Above the top of that range usually means the mineral contact has been passed. ","")&amp;IF(AND(ISNUMBER($N440),$N440&gt;QC_CARBON_PCT_MAX),"Carbon above "&amp;QC_CARBON_PCT_MAX&amp;"% — check units; this may be organic matter rather than carbon. ","")&amp;IF(AND($L440&lt;&gt;"",$M440&lt;&gt;""),"Both LOI and measured carbon given — the measured value is used. ","")&amp;IF(AND($M440="",$L440&lt;&gt;"",OM_FACTOR_IS_LOCAL&lt;&gt;"Yes"),"Carbon derived from LOI using the default factor of "&amp;CARBON_FRACTION_OM&amp;", which has not been calibrated locally. See R1. Reference. ","")&amp;IF(AND(ISNUMBER($O440),$O440=0,ISNUMBER($E440)),"Section lies entirely below the reference depth — it counts to the full-profile stock only. ",""))</f>
        <v/>
      </c>
      <c r="U440" s="14" t="n"/>
    </row>
    <row r="441">
      <c r="A441" s="14" t="n"/>
      <c r="B441" s="14" t="n"/>
      <c r="C441" s="14" t="n"/>
      <c r="D441" s="14" t="n"/>
      <c r="E441" s="14" t="n"/>
      <c r="F441" s="14" t="n"/>
      <c r="G441" s="14">
        <f>IF(OR($E441="",$F441=""),"",$F441-$E441)</f>
        <v/>
      </c>
      <c r="H441" s="14" t="n"/>
      <c r="I441" s="14" t="n"/>
      <c r="J441" s="19" t="n"/>
      <c r="K441" s="19" t="n"/>
      <c r="L441" s="19" t="n"/>
      <c r="M441" s="19" t="n"/>
      <c r="N441" s="18">
        <f>IF($M441&lt;&gt;"",$M441,IF($L441&lt;&gt;"",$L441*CARBON_FRACTION_OM,""))</f>
        <v/>
      </c>
      <c r="O441" s="18">
        <f>IF(OR($E441="",$F441=""),"",MAX(0,MIN($F441,REFERENCE_DEPTH_CM)-MIN($E441,REFERENCE_DEPTH_CM)))</f>
        <v/>
      </c>
      <c r="P441" s="18">
        <f>IF(OR($J441="",$N441="",$G441=""),"",$J441*($N441/100)*$G441*10)</f>
        <v/>
      </c>
      <c r="Q441" s="18">
        <f>IF(OR($J441="",$N441="",$O441=""),"",$J441*($N441/100)*$O441*10)</f>
        <v/>
      </c>
      <c r="R441" s="18">
        <f>IF(OR(NOT(ISNUMBER($P441)),NOT(ISNUMBER($G441)),$G441=0),0,$P441/$G441)</f>
        <v/>
      </c>
      <c r="S441" s="18">
        <f>IF(OR($B441="",NOT(ISNUMBER($F441))),"",SUMIFS('3. Peat Data'!$P$5:$P$604,'3. Peat Data'!$B$5:$B$604,$B441,'3. Peat Data'!$F$5:$F$604,"&lt;="&amp;$F441))</f>
        <v/>
      </c>
      <c r="T441" s="18">
        <f>IF(AND($A441="",$B441="",$E441=""),"",IF(AND($B441&lt;&gt;"",COUNTIF('2. Core Log'!$A$5:$A$124,$B441)=0),"Core ID not in Core Log. ","")&amp;IF(AND($A441&lt;&gt;"",COUNTIF('1. Plot &amp; Site Log'!$A$5:$A$64,$A441)=0),"Plot ID not in Plot &amp; Site Log. ","")&amp;IF(AND(ISNUMBER($E441),ISNUMBER($F441),$F441&lt;=$E441),"Bottom depth is not below top depth. ","")&amp;IF($I441="","Say which bulk-density basis the lab reported. ","")&amp;IF(AND(ISNUMBER($J441),OR($J441&lt;QC_BD_MIN,$J441&gt;QC_BD_MAX)),"Bulk density outside "&amp;QC_BD_MIN&amp;"–"&amp;QC_BD_MAX&amp;" g/cm³ for peat. Above the top of that range usually means the mineral contact has been passed. ","")&amp;IF(AND(ISNUMBER($N441),$N441&gt;QC_CARBON_PCT_MAX),"Carbon above "&amp;QC_CARBON_PCT_MAX&amp;"% — check units; this may be organic matter rather than carbon. ","")&amp;IF(AND($L441&lt;&gt;"",$M441&lt;&gt;""),"Both LOI and measured carbon given — the measured value is used. ","")&amp;IF(AND($M441="",$L441&lt;&gt;"",OM_FACTOR_IS_LOCAL&lt;&gt;"Yes"),"Carbon derived from LOI using the default factor of "&amp;CARBON_FRACTION_OM&amp;", which has not been calibrated locally. See R1. Reference. ","")&amp;IF(AND(ISNUMBER($O441),$O441=0,ISNUMBER($E441)),"Section lies entirely below the reference depth — it counts to the full-profile stock only. ",""))</f>
        <v/>
      </c>
      <c r="U441" s="14" t="n"/>
    </row>
    <row r="442">
      <c r="A442" s="14" t="n"/>
      <c r="B442" s="14" t="n"/>
      <c r="C442" s="14" t="n"/>
      <c r="D442" s="14" t="n"/>
      <c r="E442" s="14" t="n"/>
      <c r="F442" s="14" t="n"/>
      <c r="G442" s="14">
        <f>IF(OR($E442="",$F442=""),"",$F442-$E442)</f>
        <v/>
      </c>
      <c r="H442" s="14" t="n"/>
      <c r="I442" s="14" t="n"/>
      <c r="J442" s="19" t="n"/>
      <c r="K442" s="19" t="n"/>
      <c r="L442" s="19" t="n"/>
      <c r="M442" s="19" t="n"/>
      <c r="N442" s="18">
        <f>IF($M442&lt;&gt;"",$M442,IF($L442&lt;&gt;"",$L442*CARBON_FRACTION_OM,""))</f>
        <v/>
      </c>
      <c r="O442" s="18">
        <f>IF(OR($E442="",$F442=""),"",MAX(0,MIN($F442,REFERENCE_DEPTH_CM)-MIN($E442,REFERENCE_DEPTH_CM)))</f>
        <v/>
      </c>
      <c r="P442" s="18">
        <f>IF(OR($J442="",$N442="",$G442=""),"",$J442*($N442/100)*$G442*10)</f>
        <v/>
      </c>
      <c r="Q442" s="18">
        <f>IF(OR($J442="",$N442="",$O442=""),"",$J442*($N442/100)*$O442*10)</f>
        <v/>
      </c>
      <c r="R442" s="18">
        <f>IF(OR(NOT(ISNUMBER($P442)),NOT(ISNUMBER($G442)),$G442=0),0,$P442/$G442)</f>
        <v/>
      </c>
      <c r="S442" s="18">
        <f>IF(OR($B442="",NOT(ISNUMBER($F442))),"",SUMIFS('3. Peat Data'!$P$5:$P$604,'3. Peat Data'!$B$5:$B$604,$B442,'3. Peat Data'!$F$5:$F$604,"&lt;="&amp;$F442))</f>
        <v/>
      </c>
      <c r="T442" s="18">
        <f>IF(AND($A442="",$B442="",$E442=""),"",IF(AND($B442&lt;&gt;"",COUNTIF('2. Core Log'!$A$5:$A$124,$B442)=0),"Core ID not in Core Log. ","")&amp;IF(AND($A442&lt;&gt;"",COUNTIF('1. Plot &amp; Site Log'!$A$5:$A$64,$A442)=0),"Plot ID not in Plot &amp; Site Log. ","")&amp;IF(AND(ISNUMBER($E442),ISNUMBER($F442),$F442&lt;=$E442),"Bottom depth is not below top depth. ","")&amp;IF($I442="","Say which bulk-density basis the lab reported. ","")&amp;IF(AND(ISNUMBER($J442),OR($J442&lt;QC_BD_MIN,$J442&gt;QC_BD_MAX)),"Bulk density outside "&amp;QC_BD_MIN&amp;"–"&amp;QC_BD_MAX&amp;" g/cm³ for peat. Above the top of that range usually means the mineral contact has been passed. ","")&amp;IF(AND(ISNUMBER($N442),$N442&gt;QC_CARBON_PCT_MAX),"Carbon above "&amp;QC_CARBON_PCT_MAX&amp;"% — check units; this may be organic matter rather than carbon. ","")&amp;IF(AND($L442&lt;&gt;"",$M442&lt;&gt;""),"Both LOI and measured carbon given — the measured value is used. ","")&amp;IF(AND($M442="",$L442&lt;&gt;"",OM_FACTOR_IS_LOCAL&lt;&gt;"Yes"),"Carbon derived from LOI using the default factor of "&amp;CARBON_FRACTION_OM&amp;", which has not been calibrated locally. See R1. Reference. ","")&amp;IF(AND(ISNUMBER($O442),$O442=0,ISNUMBER($E442)),"Section lies entirely below the reference depth — it counts to the full-profile stock only. ",""))</f>
        <v/>
      </c>
      <c r="U442" s="14" t="n"/>
    </row>
    <row r="443">
      <c r="A443" s="14" t="n"/>
      <c r="B443" s="14" t="n"/>
      <c r="C443" s="14" t="n"/>
      <c r="D443" s="14" t="n"/>
      <c r="E443" s="14" t="n"/>
      <c r="F443" s="14" t="n"/>
      <c r="G443" s="14">
        <f>IF(OR($E443="",$F443=""),"",$F443-$E443)</f>
        <v/>
      </c>
      <c r="H443" s="14" t="n"/>
      <c r="I443" s="14" t="n"/>
      <c r="J443" s="19" t="n"/>
      <c r="K443" s="19" t="n"/>
      <c r="L443" s="19" t="n"/>
      <c r="M443" s="19" t="n"/>
      <c r="N443" s="18">
        <f>IF($M443&lt;&gt;"",$M443,IF($L443&lt;&gt;"",$L443*CARBON_FRACTION_OM,""))</f>
        <v/>
      </c>
      <c r="O443" s="18">
        <f>IF(OR($E443="",$F443=""),"",MAX(0,MIN($F443,REFERENCE_DEPTH_CM)-MIN($E443,REFERENCE_DEPTH_CM)))</f>
        <v/>
      </c>
      <c r="P443" s="18">
        <f>IF(OR($J443="",$N443="",$G443=""),"",$J443*($N443/100)*$G443*10)</f>
        <v/>
      </c>
      <c r="Q443" s="18">
        <f>IF(OR($J443="",$N443="",$O443=""),"",$J443*($N443/100)*$O443*10)</f>
        <v/>
      </c>
      <c r="R443" s="18">
        <f>IF(OR(NOT(ISNUMBER($P443)),NOT(ISNUMBER($G443)),$G443=0),0,$P443/$G443)</f>
        <v/>
      </c>
      <c r="S443" s="18">
        <f>IF(OR($B443="",NOT(ISNUMBER($F443))),"",SUMIFS('3. Peat Data'!$P$5:$P$604,'3. Peat Data'!$B$5:$B$604,$B443,'3. Peat Data'!$F$5:$F$604,"&lt;="&amp;$F443))</f>
        <v/>
      </c>
      <c r="T443" s="18">
        <f>IF(AND($A443="",$B443="",$E443=""),"",IF(AND($B443&lt;&gt;"",COUNTIF('2. Core Log'!$A$5:$A$124,$B443)=0),"Core ID not in Core Log. ","")&amp;IF(AND($A443&lt;&gt;"",COUNTIF('1. Plot &amp; Site Log'!$A$5:$A$64,$A443)=0),"Plot ID not in Plot &amp; Site Log. ","")&amp;IF(AND(ISNUMBER($E443),ISNUMBER($F443),$F443&lt;=$E443),"Bottom depth is not below top depth. ","")&amp;IF($I443="","Say which bulk-density basis the lab reported. ","")&amp;IF(AND(ISNUMBER($J443),OR($J443&lt;QC_BD_MIN,$J443&gt;QC_BD_MAX)),"Bulk density outside "&amp;QC_BD_MIN&amp;"–"&amp;QC_BD_MAX&amp;" g/cm³ for peat. Above the top of that range usually means the mineral contact has been passed. ","")&amp;IF(AND(ISNUMBER($N443),$N443&gt;QC_CARBON_PCT_MAX),"Carbon above "&amp;QC_CARBON_PCT_MAX&amp;"% — check units; this may be organic matter rather than carbon. ","")&amp;IF(AND($L443&lt;&gt;"",$M443&lt;&gt;""),"Both LOI and measured carbon given — the measured value is used. ","")&amp;IF(AND($M443="",$L443&lt;&gt;"",OM_FACTOR_IS_LOCAL&lt;&gt;"Yes"),"Carbon derived from LOI using the default factor of "&amp;CARBON_FRACTION_OM&amp;", which has not been calibrated locally. See R1. Reference. ","")&amp;IF(AND(ISNUMBER($O443),$O443=0,ISNUMBER($E443)),"Section lies entirely below the reference depth — it counts to the full-profile stock only. ",""))</f>
        <v/>
      </c>
      <c r="U443" s="14" t="n"/>
    </row>
    <row r="444">
      <c r="A444" s="14" t="n"/>
      <c r="B444" s="14" t="n"/>
      <c r="C444" s="14" t="n"/>
      <c r="D444" s="14" t="n"/>
      <c r="E444" s="14" t="n"/>
      <c r="F444" s="14" t="n"/>
      <c r="G444" s="14">
        <f>IF(OR($E444="",$F444=""),"",$F444-$E444)</f>
        <v/>
      </c>
      <c r="H444" s="14" t="n"/>
      <c r="I444" s="14" t="n"/>
      <c r="J444" s="19" t="n"/>
      <c r="K444" s="19" t="n"/>
      <c r="L444" s="19" t="n"/>
      <c r="M444" s="19" t="n"/>
      <c r="N444" s="18">
        <f>IF($M444&lt;&gt;"",$M444,IF($L444&lt;&gt;"",$L444*CARBON_FRACTION_OM,""))</f>
        <v/>
      </c>
      <c r="O444" s="18">
        <f>IF(OR($E444="",$F444=""),"",MAX(0,MIN($F444,REFERENCE_DEPTH_CM)-MIN($E444,REFERENCE_DEPTH_CM)))</f>
        <v/>
      </c>
      <c r="P444" s="18">
        <f>IF(OR($J444="",$N444="",$G444=""),"",$J444*($N444/100)*$G444*10)</f>
        <v/>
      </c>
      <c r="Q444" s="18">
        <f>IF(OR($J444="",$N444="",$O444=""),"",$J444*($N444/100)*$O444*10)</f>
        <v/>
      </c>
      <c r="R444" s="18">
        <f>IF(OR(NOT(ISNUMBER($P444)),NOT(ISNUMBER($G444)),$G444=0),0,$P444/$G444)</f>
        <v/>
      </c>
      <c r="S444" s="18">
        <f>IF(OR($B444="",NOT(ISNUMBER($F444))),"",SUMIFS('3. Peat Data'!$P$5:$P$604,'3. Peat Data'!$B$5:$B$604,$B444,'3. Peat Data'!$F$5:$F$604,"&lt;="&amp;$F444))</f>
        <v/>
      </c>
      <c r="T444" s="18">
        <f>IF(AND($A444="",$B444="",$E444=""),"",IF(AND($B444&lt;&gt;"",COUNTIF('2. Core Log'!$A$5:$A$124,$B444)=0),"Core ID not in Core Log. ","")&amp;IF(AND($A444&lt;&gt;"",COUNTIF('1. Plot &amp; Site Log'!$A$5:$A$64,$A444)=0),"Plot ID not in Plot &amp; Site Log. ","")&amp;IF(AND(ISNUMBER($E444),ISNUMBER($F444),$F444&lt;=$E444),"Bottom depth is not below top depth. ","")&amp;IF($I444="","Say which bulk-density basis the lab reported. ","")&amp;IF(AND(ISNUMBER($J444),OR($J444&lt;QC_BD_MIN,$J444&gt;QC_BD_MAX)),"Bulk density outside "&amp;QC_BD_MIN&amp;"–"&amp;QC_BD_MAX&amp;" g/cm³ for peat. Above the top of that range usually means the mineral contact has been passed. ","")&amp;IF(AND(ISNUMBER($N444),$N444&gt;QC_CARBON_PCT_MAX),"Carbon above "&amp;QC_CARBON_PCT_MAX&amp;"% — check units; this may be organic matter rather than carbon. ","")&amp;IF(AND($L444&lt;&gt;"",$M444&lt;&gt;""),"Both LOI and measured carbon given — the measured value is used. ","")&amp;IF(AND($M444="",$L444&lt;&gt;"",OM_FACTOR_IS_LOCAL&lt;&gt;"Yes"),"Carbon derived from LOI using the default factor of "&amp;CARBON_FRACTION_OM&amp;", which has not been calibrated locally. See R1. Reference. ","")&amp;IF(AND(ISNUMBER($O444),$O444=0,ISNUMBER($E444)),"Section lies entirely below the reference depth — it counts to the full-profile stock only. ",""))</f>
        <v/>
      </c>
      <c r="U444" s="14" t="n"/>
    </row>
    <row r="445">
      <c r="A445" s="14" t="n"/>
      <c r="B445" s="14" t="n"/>
      <c r="C445" s="14" t="n"/>
      <c r="D445" s="14" t="n"/>
      <c r="E445" s="14" t="n"/>
      <c r="F445" s="14" t="n"/>
      <c r="G445" s="14">
        <f>IF(OR($E445="",$F445=""),"",$F445-$E445)</f>
        <v/>
      </c>
      <c r="H445" s="14" t="n"/>
      <c r="I445" s="14" t="n"/>
      <c r="J445" s="19" t="n"/>
      <c r="K445" s="19" t="n"/>
      <c r="L445" s="19" t="n"/>
      <c r="M445" s="19" t="n"/>
      <c r="N445" s="18">
        <f>IF($M445&lt;&gt;"",$M445,IF($L445&lt;&gt;"",$L445*CARBON_FRACTION_OM,""))</f>
        <v/>
      </c>
      <c r="O445" s="18">
        <f>IF(OR($E445="",$F445=""),"",MAX(0,MIN($F445,REFERENCE_DEPTH_CM)-MIN($E445,REFERENCE_DEPTH_CM)))</f>
        <v/>
      </c>
      <c r="P445" s="18">
        <f>IF(OR($J445="",$N445="",$G445=""),"",$J445*($N445/100)*$G445*10)</f>
        <v/>
      </c>
      <c r="Q445" s="18">
        <f>IF(OR($J445="",$N445="",$O445=""),"",$J445*($N445/100)*$O445*10)</f>
        <v/>
      </c>
      <c r="R445" s="18">
        <f>IF(OR(NOT(ISNUMBER($P445)),NOT(ISNUMBER($G445)),$G445=0),0,$P445/$G445)</f>
        <v/>
      </c>
      <c r="S445" s="18">
        <f>IF(OR($B445="",NOT(ISNUMBER($F445))),"",SUMIFS('3. Peat Data'!$P$5:$P$604,'3. Peat Data'!$B$5:$B$604,$B445,'3. Peat Data'!$F$5:$F$604,"&lt;="&amp;$F445))</f>
        <v/>
      </c>
      <c r="T445" s="18">
        <f>IF(AND($A445="",$B445="",$E445=""),"",IF(AND($B445&lt;&gt;"",COUNTIF('2. Core Log'!$A$5:$A$124,$B445)=0),"Core ID not in Core Log. ","")&amp;IF(AND($A445&lt;&gt;"",COUNTIF('1. Plot &amp; Site Log'!$A$5:$A$64,$A445)=0),"Plot ID not in Plot &amp; Site Log. ","")&amp;IF(AND(ISNUMBER($E445),ISNUMBER($F445),$F445&lt;=$E445),"Bottom depth is not below top depth. ","")&amp;IF($I445="","Say which bulk-density basis the lab reported. ","")&amp;IF(AND(ISNUMBER($J445),OR($J445&lt;QC_BD_MIN,$J445&gt;QC_BD_MAX)),"Bulk density outside "&amp;QC_BD_MIN&amp;"–"&amp;QC_BD_MAX&amp;" g/cm³ for peat. Above the top of that range usually means the mineral contact has been passed. ","")&amp;IF(AND(ISNUMBER($N445),$N445&gt;QC_CARBON_PCT_MAX),"Carbon above "&amp;QC_CARBON_PCT_MAX&amp;"% — check units; this may be organic matter rather than carbon. ","")&amp;IF(AND($L445&lt;&gt;"",$M445&lt;&gt;""),"Both LOI and measured carbon given — the measured value is used. ","")&amp;IF(AND($M445="",$L445&lt;&gt;"",OM_FACTOR_IS_LOCAL&lt;&gt;"Yes"),"Carbon derived from LOI using the default factor of "&amp;CARBON_FRACTION_OM&amp;", which has not been calibrated locally. See R1. Reference. ","")&amp;IF(AND(ISNUMBER($O445),$O445=0,ISNUMBER($E445)),"Section lies entirely below the reference depth — it counts to the full-profile stock only. ",""))</f>
        <v/>
      </c>
      <c r="U445" s="14" t="n"/>
    </row>
    <row r="446">
      <c r="A446" s="14" t="n"/>
      <c r="B446" s="14" t="n"/>
      <c r="C446" s="14" t="n"/>
      <c r="D446" s="14" t="n"/>
      <c r="E446" s="14" t="n"/>
      <c r="F446" s="14" t="n"/>
      <c r="G446" s="14">
        <f>IF(OR($E446="",$F446=""),"",$F446-$E446)</f>
        <v/>
      </c>
      <c r="H446" s="14" t="n"/>
      <c r="I446" s="14" t="n"/>
      <c r="J446" s="19" t="n"/>
      <c r="K446" s="19" t="n"/>
      <c r="L446" s="19" t="n"/>
      <c r="M446" s="19" t="n"/>
      <c r="N446" s="18">
        <f>IF($M446&lt;&gt;"",$M446,IF($L446&lt;&gt;"",$L446*CARBON_FRACTION_OM,""))</f>
        <v/>
      </c>
      <c r="O446" s="18">
        <f>IF(OR($E446="",$F446=""),"",MAX(0,MIN($F446,REFERENCE_DEPTH_CM)-MIN($E446,REFERENCE_DEPTH_CM)))</f>
        <v/>
      </c>
      <c r="P446" s="18">
        <f>IF(OR($J446="",$N446="",$G446=""),"",$J446*($N446/100)*$G446*10)</f>
        <v/>
      </c>
      <c r="Q446" s="18">
        <f>IF(OR($J446="",$N446="",$O446=""),"",$J446*($N446/100)*$O446*10)</f>
        <v/>
      </c>
      <c r="R446" s="18">
        <f>IF(OR(NOT(ISNUMBER($P446)),NOT(ISNUMBER($G446)),$G446=0),0,$P446/$G446)</f>
        <v/>
      </c>
      <c r="S446" s="18">
        <f>IF(OR($B446="",NOT(ISNUMBER($F446))),"",SUMIFS('3. Peat Data'!$P$5:$P$604,'3. Peat Data'!$B$5:$B$604,$B446,'3. Peat Data'!$F$5:$F$604,"&lt;="&amp;$F446))</f>
        <v/>
      </c>
      <c r="T446" s="18">
        <f>IF(AND($A446="",$B446="",$E446=""),"",IF(AND($B446&lt;&gt;"",COUNTIF('2. Core Log'!$A$5:$A$124,$B446)=0),"Core ID not in Core Log. ","")&amp;IF(AND($A446&lt;&gt;"",COUNTIF('1. Plot &amp; Site Log'!$A$5:$A$64,$A446)=0),"Plot ID not in Plot &amp; Site Log. ","")&amp;IF(AND(ISNUMBER($E446),ISNUMBER($F446),$F446&lt;=$E446),"Bottom depth is not below top depth. ","")&amp;IF($I446="","Say which bulk-density basis the lab reported. ","")&amp;IF(AND(ISNUMBER($J446),OR($J446&lt;QC_BD_MIN,$J446&gt;QC_BD_MAX)),"Bulk density outside "&amp;QC_BD_MIN&amp;"–"&amp;QC_BD_MAX&amp;" g/cm³ for peat. Above the top of that range usually means the mineral contact has been passed. ","")&amp;IF(AND(ISNUMBER($N446),$N446&gt;QC_CARBON_PCT_MAX),"Carbon above "&amp;QC_CARBON_PCT_MAX&amp;"% — check units; this may be organic matter rather than carbon. ","")&amp;IF(AND($L446&lt;&gt;"",$M446&lt;&gt;""),"Both LOI and measured carbon given — the measured value is used. ","")&amp;IF(AND($M446="",$L446&lt;&gt;"",OM_FACTOR_IS_LOCAL&lt;&gt;"Yes"),"Carbon derived from LOI using the default factor of "&amp;CARBON_FRACTION_OM&amp;", which has not been calibrated locally. See R1. Reference. ","")&amp;IF(AND(ISNUMBER($O446),$O446=0,ISNUMBER($E446)),"Section lies entirely below the reference depth — it counts to the full-profile stock only. ",""))</f>
        <v/>
      </c>
      <c r="U446" s="14" t="n"/>
    </row>
    <row r="447">
      <c r="A447" s="14" t="n"/>
      <c r="B447" s="14" t="n"/>
      <c r="C447" s="14" t="n"/>
      <c r="D447" s="14" t="n"/>
      <c r="E447" s="14" t="n"/>
      <c r="F447" s="14" t="n"/>
      <c r="G447" s="14">
        <f>IF(OR($E447="",$F447=""),"",$F447-$E447)</f>
        <v/>
      </c>
      <c r="H447" s="14" t="n"/>
      <c r="I447" s="14" t="n"/>
      <c r="J447" s="19" t="n"/>
      <c r="K447" s="19" t="n"/>
      <c r="L447" s="19" t="n"/>
      <c r="M447" s="19" t="n"/>
      <c r="N447" s="18">
        <f>IF($M447&lt;&gt;"",$M447,IF($L447&lt;&gt;"",$L447*CARBON_FRACTION_OM,""))</f>
        <v/>
      </c>
      <c r="O447" s="18">
        <f>IF(OR($E447="",$F447=""),"",MAX(0,MIN($F447,REFERENCE_DEPTH_CM)-MIN($E447,REFERENCE_DEPTH_CM)))</f>
        <v/>
      </c>
      <c r="P447" s="18">
        <f>IF(OR($J447="",$N447="",$G447=""),"",$J447*($N447/100)*$G447*10)</f>
        <v/>
      </c>
      <c r="Q447" s="18">
        <f>IF(OR($J447="",$N447="",$O447=""),"",$J447*($N447/100)*$O447*10)</f>
        <v/>
      </c>
      <c r="R447" s="18">
        <f>IF(OR(NOT(ISNUMBER($P447)),NOT(ISNUMBER($G447)),$G447=0),0,$P447/$G447)</f>
        <v/>
      </c>
      <c r="S447" s="18">
        <f>IF(OR($B447="",NOT(ISNUMBER($F447))),"",SUMIFS('3. Peat Data'!$P$5:$P$604,'3. Peat Data'!$B$5:$B$604,$B447,'3. Peat Data'!$F$5:$F$604,"&lt;="&amp;$F447))</f>
        <v/>
      </c>
      <c r="T447" s="18">
        <f>IF(AND($A447="",$B447="",$E447=""),"",IF(AND($B447&lt;&gt;"",COUNTIF('2. Core Log'!$A$5:$A$124,$B447)=0),"Core ID not in Core Log. ","")&amp;IF(AND($A447&lt;&gt;"",COUNTIF('1. Plot &amp; Site Log'!$A$5:$A$64,$A447)=0),"Plot ID not in Plot &amp; Site Log. ","")&amp;IF(AND(ISNUMBER($E447),ISNUMBER($F447),$F447&lt;=$E447),"Bottom depth is not below top depth. ","")&amp;IF($I447="","Say which bulk-density basis the lab reported. ","")&amp;IF(AND(ISNUMBER($J447),OR($J447&lt;QC_BD_MIN,$J447&gt;QC_BD_MAX)),"Bulk density outside "&amp;QC_BD_MIN&amp;"–"&amp;QC_BD_MAX&amp;" g/cm³ for peat. Above the top of that range usually means the mineral contact has been passed. ","")&amp;IF(AND(ISNUMBER($N447),$N447&gt;QC_CARBON_PCT_MAX),"Carbon above "&amp;QC_CARBON_PCT_MAX&amp;"% — check units; this may be organic matter rather than carbon. ","")&amp;IF(AND($L447&lt;&gt;"",$M447&lt;&gt;""),"Both LOI and measured carbon given — the measured value is used. ","")&amp;IF(AND($M447="",$L447&lt;&gt;"",OM_FACTOR_IS_LOCAL&lt;&gt;"Yes"),"Carbon derived from LOI using the default factor of "&amp;CARBON_FRACTION_OM&amp;", which has not been calibrated locally. See R1. Reference. ","")&amp;IF(AND(ISNUMBER($O447),$O447=0,ISNUMBER($E447)),"Section lies entirely below the reference depth — it counts to the full-profile stock only. ",""))</f>
        <v/>
      </c>
      <c r="U447" s="14" t="n"/>
    </row>
    <row r="448">
      <c r="A448" s="14" t="n"/>
      <c r="B448" s="14" t="n"/>
      <c r="C448" s="14" t="n"/>
      <c r="D448" s="14" t="n"/>
      <c r="E448" s="14" t="n"/>
      <c r="F448" s="14" t="n"/>
      <c r="G448" s="14">
        <f>IF(OR($E448="",$F448=""),"",$F448-$E448)</f>
        <v/>
      </c>
      <c r="H448" s="14" t="n"/>
      <c r="I448" s="14" t="n"/>
      <c r="J448" s="19" t="n"/>
      <c r="K448" s="19" t="n"/>
      <c r="L448" s="19" t="n"/>
      <c r="M448" s="19" t="n"/>
      <c r="N448" s="18">
        <f>IF($M448&lt;&gt;"",$M448,IF($L448&lt;&gt;"",$L448*CARBON_FRACTION_OM,""))</f>
        <v/>
      </c>
      <c r="O448" s="18">
        <f>IF(OR($E448="",$F448=""),"",MAX(0,MIN($F448,REFERENCE_DEPTH_CM)-MIN($E448,REFERENCE_DEPTH_CM)))</f>
        <v/>
      </c>
      <c r="P448" s="18">
        <f>IF(OR($J448="",$N448="",$G448=""),"",$J448*($N448/100)*$G448*10)</f>
        <v/>
      </c>
      <c r="Q448" s="18">
        <f>IF(OR($J448="",$N448="",$O448=""),"",$J448*($N448/100)*$O448*10)</f>
        <v/>
      </c>
      <c r="R448" s="18">
        <f>IF(OR(NOT(ISNUMBER($P448)),NOT(ISNUMBER($G448)),$G448=0),0,$P448/$G448)</f>
        <v/>
      </c>
      <c r="S448" s="18">
        <f>IF(OR($B448="",NOT(ISNUMBER($F448))),"",SUMIFS('3. Peat Data'!$P$5:$P$604,'3. Peat Data'!$B$5:$B$604,$B448,'3. Peat Data'!$F$5:$F$604,"&lt;="&amp;$F448))</f>
        <v/>
      </c>
      <c r="T448" s="18">
        <f>IF(AND($A448="",$B448="",$E448=""),"",IF(AND($B448&lt;&gt;"",COUNTIF('2. Core Log'!$A$5:$A$124,$B448)=0),"Core ID not in Core Log. ","")&amp;IF(AND($A448&lt;&gt;"",COUNTIF('1. Plot &amp; Site Log'!$A$5:$A$64,$A448)=0),"Plot ID not in Plot &amp; Site Log. ","")&amp;IF(AND(ISNUMBER($E448),ISNUMBER($F448),$F448&lt;=$E448),"Bottom depth is not below top depth. ","")&amp;IF($I448="","Say which bulk-density basis the lab reported. ","")&amp;IF(AND(ISNUMBER($J448),OR($J448&lt;QC_BD_MIN,$J448&gt;QC_BD_MAX)),"Bulk density outside "&amp;QC_BD_MIN&amp;"–"&amp;QC_BD_MAX&amp;" g/cm³ for peat. Above the top of that range usually means the mineral contact has been passed. ","")&amp;IF(AND(ISNUMBER($N448),$N448&gt;QC_CARBON_PCT_MAX),"Carbon above "&amp;QC_CARBON_PCT_MAX&amp;"% — check units; this may be organic matter rather than carbon. ","")&amp;IF(AND($L448&lt;&gt;"",$M448&lt;&gt;""),"Both LOI and measured carbon given — the measured value is used. ","")&amp;IF(AND($M448="",$L448&lt;&gt;"",OM_FACTOR_IS_LOCAL&lt;&gt;"Yes"),"Carbon derived from LOI using the default factor of "&amp;CARBON_FRACTION_OM&amp;", which has not been calibrated locally. See R1. Reference. ","")&amp;IF(AND(ISNUMBER($O448),$O448=0,ISNUMBER($E448)),"Section lies entirely below the reference depth — it counts to the full-profile stock only. ",""))</f>
        <v/>
      </c>
      <c r="U448" s="14" t="n"/>
    </row>
    <row r="449">
      <c r="A449" s="14" t="n"/>
      <c r="B449" s="14" t="n"/>
      <c r="C449" s="14" t="n"/>
      <c r="D449" s="14" t="n"/>
      <c r="E449" s="14" t="n"/>
      <c r="F449" s="14" t="n"/>
      <c r="G449" s="14">
        <f>IF(OR($E449="",$F449=""),"",$F449-$E449)</f>
        <v/>
      </c>
      <c r="H449" s="14" t="n"/>
      <c r="I449" s="14" t="n"/>
      <c r="J449" s="19" t="n"/>
      <c r="K449" s="19" t="n"/>
      <c r="L449" s="19" t="n"/>
      <c r="M449" s="19" t="n"/>
      <c r="N449" s="18">
        <f>IF($M449&lt;&gt;"",$M449,IF($L449&lt;&gt;"",$L449*CARBON_FRACTION_OM,""))</f>
        <v/>
      </c>
      <c r="O449" s="18">
        <f>IF(OR($E449="",$F449=""),"",MAX(0,MIN($F449,REFERENCE_DEPTH_CM)-MIN($E449,REFERENCE_DEPTH_CM)))</f>
        <v/>
      </c>
      <c r="P449" s="18">
        <f>IF(OR($J449="",$N449="",$G449=""),"",$J449*($N449/100)*$G449*10)</f>
        <v/>
      </c>
      <c r="Q449" s="18">
        <f>IF(OR($J449="",$N449="",$O449=""),"",$J449*($N449/100)*$O449*10)</f>
        <v/>
      </c>
      <c r="R449" s="18">
        <f>IF(OR(NOT(ISNUMBER($P449)),NOT(ISNUMBER($G449)),$G449=0),0,$P449/$G449)</f>
        <v/>
      </c>
      <c r="S449" s="18">
        <f>IF(OR($B449="",NOT(ISNUMBER($F449))),"",SUMIFS('3. Peat Data'!$P$5:$P$604,'3. Peat Data'!$B$5:$B$604,$B449,'3. Peat Data'!$F$5:$F$604,"&lt;="&amp;$F449))</f>
        <v/>
      </c>
      <c r="T449" s="18">
        <f>IF(AND($A449="",$B449="",$E449=""),"",IF(AND($B449&lt;&gt;"",COUNTIF('2. Core Log'!$A$5:$A$124,$B449)=0),"Core ID not in Core Log. ","")&amp;IF(AND($A449&lt;&gt;"",COUNTIF('1. Plot &amp; Site Log'!$A$5:$A$64,$A449)=0),"Plot ID not in Plot &amp; Site Log. ","")&amp;IF(AND(ISNUMBER($E449),ISNUMBER($F449),$F449&lt;=$E449),"Bottom depth is not below top depth. ","")&amp;IF($I449="","Say which bulk-density basis the lab reported. ","")&amp;IF(AND(ISNUMBER($J449),OR($J449&lt;QC_BD_MIN,$J449&gt;QC_BD_MAX)),"Bulk density outside "&amp;QC_BD_MIN&amp;"–"&amp;QC_BD_MAX&amp;" g/cm³ for peat. Above the top of that range usually means the mineral contact has been passed. ","")&amp;IF(AND(ISNUMBER($N449),$N449&gt;QC_CARBON_PCT_MAX),"Carbon above "&amp;QC_CARBON_PCT_MAX&amp;"% — check units; this may be organic matter rather than carbon. ","")&amp;IF(AND($L449&lt;&gt;"",$M449&lt;&gt;""),"Both LOI and measured carbon given — the measured value is used. ","")&amp;IF(AND($M449="",$L449&lt;&gt;"",OM_FACTOR_IS_LOCAL&lt;&gt;"Yes"),"Carbon derived from LOI using the default factor of "&amp;CARBON_FRACTION_OM&amp;", which has not been calibrated locally. See R1. Reference. ","")&amp;IF(AND(ISNUMBER($O449),$O449=0,ISNUMBER($E449)),"Section lies entirely below the reference depth — it counts to the full-profile stock only. ",""))</f>
        <v/>
      </c>
      <c r="U449" s="14" t="n"/>
    </row>
    <row r="450">
      <c r="A450" s="14" t="n"/>
      <c r="B450" s="14" t="n"/>
      <c r="C450" s="14" t="n"/>
      <c r="D450" s="14" t="n"/>
      <c r="E450" s="14" t="n"/>
      <c r="F450" s="14" t="n"/>
      <c r="G450" s="14">
        <f>IF(OR($E450="",$F450=""),"",$F450-$E450)</f>
        <v/>
      </c>
      <c r="H450" s="14" t="n"/>
      <c r="I450" s="14" t="n"/>
      <c r="J450" s="19" t="n"/>
      <c r="K450" s="19" t="n"/>
      <c r="L450" s="19" t="n"/>
      <c r="M450" s="19" t="n"/>
      <c r="N450" s="18">
        <f>IF($M450&lt;&gt;"",$M450,IF($L450&lt;&gt;"",$L450*CARBON_FRACTION_OM,""))</f>
        <v/>
      </c>
      <c r="O450" s="18">
        <f>IF(OR($E450="",$F450=""),"",MAX(0,MIN($F450,REFERENCE_DEPTH_CM)-MIN($E450,REFERENCE_DEPTH_CM)))</f>
        <v/>
      </c>
      <c r="P450" s="18">
        <f>IF(OR($J450="",$N450="",$G450=""),"",$J450*($N450/100)*$G450*10)</f>
        <v/>
      </c>
      <c r="Q450" s="18">
        <f>IF(OR($J450="",$N450="",$O450=""),"",$J450*($N450/100)*$O450*10)</f>
        <v/>
      </c>
      <c r="R450" s="18">
        <f>IF(OR(NOT(ISNUMBER($P450)),NOT(ISNUMBER($G450)),$G450=0),0,$P450/$G450)</f>
        <v/>
      </c>
      <c r="S450" s="18">
        <f>IF(OR($B450="",NOT(ISNUMBER($F450))),"",SUMIFS('3. Peat Data'!$P$5:$P$604,'3. Peat Data'!$B$5:$B$604,$B450,'3. Peat Data'!$F$5:$F$604,"&lt;="&amp;$F450))</f>
        <v/>
      </c>
      <c r="T450" s="18">
        <f>IF(AND($A450="",$B450="",$E450=""),"",IF(AND($B450&lt;&gt;"",COUNTIF('2. Core Log'!$A$5:$A$124,$B450)=0),"Core ID not in Core Log. ","")&amp;IF(AND($A450&lt;&gt;"",COUNTIF('1. Plot &amp; Site Log'!$A$5:$A$64,$A450)=0),"Plot ID not in Plot &amp; Site Log. ","")&amp;IF(AND(ISNUMBER($E450),ISNUMBER($F450),$F450&lt;=$E450),"Bottom depth is not below top depth. ","")&amp;IF($I450="","Say which bulk-density basis the lab reported. ","")&amp;IF(AND(ISNUMBER($J450),OR($J450&lt;QC_BD_MIN,$J450&gt;QC_BD_MAX)),"Bulk density outside "&amp;QC_BD_MIN&amp;"–"&amp;QC_BD_MAX&amp;" g/cm³ for peat. Above the top of that range usually means the mineral contact has been passed. ","")&amp;IF(AND(ISNUMBER($N450),$N450&gt;QC_CARBON_PCT_MAX),"Carbon above "&amp;QC_CARBON_PCT_MAX&amp;"% — check units; this may be organic matter rather than carbon. ","")&amp;IF(AND($L450&lt;&gt;"",$M450&lt;&gt;""),"Both LOI and measured carbon given — the measured value is used. ","")&amp;IF(AND($M450="",$L450&lt;&gt;"",OM_FACTOR_IS_LOCAL&lt;&gt;"Yes"),"Carbon derived from LOI using the default factor of "&amp;CARBON_FRACTION_OM&amp;", which has not been calibrated locally. See R1. Reference. ","")&amp;IF(AND(ISNUMBER($O450),$O450=0,ISNUMBER($E450)),"Section lies entirely below the reference depth — it counts to the full-profile stock only. ",""))</f>
        <v/>
      </c>
      <c r="U450" s="14" t="n"/>
    </row>
    <row r="451">
      <c r="A451" s="14" t="n"/>
      <c r="B451" s="14" t="n"/>
      <c r="C451" s="14" t="n"/>
      <c r="D451" s="14" t="n"/>
      <c r="E451" s="14" t="n"/>
      <c r="F451" s="14" t="n"/>
      <c r="G451" s="14">
        <f>IF(OR($E451="",$F451=""),"",$F451-$E451)</f>
        <v/>
      </c>
      <c r="H451" s="14" t="n"/>
      <c r="I451" s="14" t="n"/>
      <c r="J451" s="19" t="n"/>
      <c r="K451" s="19" t="n"/>
      <c r="L451" s="19" t="n"/>
      <c r="M451" s="19" t="n"/>
      <c r="N451" s="18">
        <f>IF($M451&lt;&gt;"",$M451,IF($L451&lt;&gt;"",$L451*CARBON_FRACTION_OM,""))</f>
        <v/>
      </c>
      <c r="O451" s="18">
        <f>IF(OR($E451="",$F451=""),"",MAX(0,MIN($F451,REFERENCE_DEPTH_CM)-MIN($E451,REFERENCE_DEPTH_CM)))</f>
        <v/>
      </c>
      <c r="P451" s="18">
        <f>IF(OR($J451="",$N451="",$G451=""),"",$J451*($N451/100)*$G451*10)</f>
        <v/>
      </c>
      <c r="Q451" s="18">
        <f>IF(OR($J451="",$N451="",$O451=""),"",$J451*($N451/100)*$O451*10)</f>
        <v/>
      </c>
      <c r="R451" s="18">
        <f>IF(OR(NOT(ISNUMBER($P451)),NOT(ISNUMBER($G451)),$G451=0),0,$P451/$G451)</f>
        <v/>
      </c>
      <c r="S451" s="18">
        <f>IF(OR($B451="",NOT(ISNUMBER($F451))),"",SUMIFS('3. Peat Data'!$P$5:$P$604,'3. Peat Data'!$B$5:$B$604,$B451,'3. Peat Data'!$F$5:$F$604,"&lt;="&amp;$F451))</f>
        <v/>
      </c>
      <c r="T451" s="18">
        <f>IF(AND($A451="",$B451="",$E451=""),"",IF(AND($B451&lt;&gt;"",COUNTIF('2. Core Log'!$A$5:$A$124,$B451)=0),"Core ID not in Core Log. ","")&amp;IF(AND($A451&lt;&gt;"",COUNTIF('1. Plot &amp; Site Log'!$A$5:$A$64,$A451)=0),"Plot ID not in Plot &amp; Site Log. ","")&amp;IF(AND(ISNUMBER($E451),ISNUMBER($F451),$F451&lt;=$E451),"Bottom depth is not below top depth. ","")&amp;IF($I451="","Say which bulk-density basis the lab reported. ","")&amp;IF(AND(ISNUMBER($J451),OR($J451&lt;QC_BD_MIN,$J451&gt;QC_BD_MAX)),"Bulk density outside "&amp;QC_BD_MIN&amp;"–"&amp;QC_BD_MAX&amp;" g/cm³ for peat. Above the top of that range usually means the mineral contact has been passed. ","")&amp;IF(AND(ISNUMBER($N451),$N451&gt;QC_CARBON_PCT_MAX),"Carbon above "&amp;QC_CARBON_PCT_MAX&amp;"% — check units; this may be organic matter rather than carbon. ","")&amp;IF(AND($L451&lt;&gt;"",$M451&lt;&gt;""),"Both LOI and measured carbon given — the measured value is used. ","")&amp;IF(AND($M451="",$L451&lt;&gt;"",OM_FACTOR_IS_LOCAL&lt;&gt;"Yes"),"Carbon derived from LOI using the default factor of "&amp;CARBON_FRACTION_OM&amp;", which has not been calibrated locally. See R1. Reference. ","")&amp;IF(AND(ISNUMBER($O451),$O451=0,ISNUMBER($E451)),"Section lies entirely below the reference depth — it counts to the full-profile stock only. ",""))</f>
        <v/>
      </c>
      <c r="U451" s="14" t="n"/>
    </row>
    <row r="452">
      <c r="A452" s="14" t="n"/>
      <c r="B452" s="14" t="n"/>
      <c r="C452" s="14" t="n"/>
      <c r="D452" s="14" t="n"/>
      <c r="E452" s="14" t="n"/>
      <c r="F452" s="14" t="n"/>
      <c r="G452" s="14">
        <f>IF(OR($E452="",$F452=""),"",$F452-$E452)</f>
        <v/>
      </c>
      <c r="H452" s="14" t="n"/>
      <c r="I452" s="14" t="n"/>
      <c r="J452" s="19" t="n"/>
      <c r="K452" s="19" t="n"/>
      <c r="L452" s="19" t="n"/>
      <c r="M452" s="19" t="n"/>
      <c r="N452" s="18">
        <f>IF($M452&lt;&gt;"",$M452,IF($L452&lt;&gt;"",$L452*CARBON_FRACTION_OM,""))</f>
        <v/>
      </c>
      <c r="O452" s="18">
        <f>IF(OR($E452="",$F452=""),"",MAX(0,MIN($F452,REFERENCE_DEPTH_CM)-MIN($E452,REFERENCE_DEPTH_CM)))</f>
        <v/>
      </c>
      <c r="P452" s="18">
        <f>IF(OR($J452="",$N452="",$G452=""),"",$J452*($N452/100)*$G452*10)</f>
        <v/>
      </c>
      <c r="Q452" s="18">
        <f>IF(OR($J452="",$N452="",$O452=""),"",$J452*($N452/100)*$O452*10)</f>
        <v/>
      </c>
      <c r="R452" s="18">
        <f>IF(OR(NOT(ISNUMBER($P452)),NOT(ISNUMBER($G452)),$G452=0),0,$P452/$G452)</f>
        <v/>
      </c>
      <c r="S452" s="18">
        <f>IF(OR($B452="",NOT(ISNUMBER($F452))),"",SUMIFS('3. Peat Data'!$P$5:$P$604,'3. Peat Data'!$B$5:$B$604,$B452,'3. Peat Data'!$F$5:$F$604,"&lt;="&amp;$F452))</f>
        <v/>
      </c>
      <c r="T452" s="18">
        <f>IF(AND($A452="",$B452="",$E452=""),"",IF(AND($B452&lt;&gt;"",COUNTIF('2. Core Log'!$A$5:$A$124,$B452)=0),"Core ID not in Core Log. ","")&amp;IF(AND($A452&lt;&gt;"",COUNTIF('1. Plot &amp; Site Log'!$A$5:$A$64,$A452)=0),"Plot ID not in Plot &amp; Site Log. ","")&amp;IF(AND(ISNUMBER($E452),ISNUMBER($F452),$F452&lt;=$E452),"Bottom depth is not below top depth. ","")&amp;IF($I452="","Say which bulk-density basis the lab reported. ","")&amp;IF(AND(ISNUMBER($J452),OR($J452&lt;QC_BD_MIN,$J452&gt;QC_BD_MAX)),"Bulk density outside "&amp;QC_BD_MIN&amp;"–"&amp;QC_BD_MAX&amp;" g/cm³ for peat. Above the top of that range usually means the mineral contact has been passed. ","")&amp;IF(AND(ISNUMBER($N452),$N452&gt;QC_CARBON_PCT_MAX),"Carbon above "&amp;QC_CARBON_PCT_MAX&amp;"% — check units; this may be organic matter rather than carbon. ","")&amp;IF(AND($L452&lt;&gt;"",$M452&lt;&gt;""),"Both LOI and measured carbon given — the measured value is used. ","")&amp;IF(AND($M452="",$L452&lt;&gt;"",OM_FACTOR_IS_LOCAL&lt;&gt;"Yes"),"Carbon derived from LOI using the default factor of "&amp;CARBON_FRACTION_OM&amp;", which has not been calibrated locally. See R1. Reference. ","")&amp;IF(AND(ISNUMBER($O452),$O452=0,ISNUMBER($E452)),"Section lies entirely below the reference depth — it counts to the full-profile stock only. ",""))</f>
        <v/>
      </c>
      <c r="U452" s="14" t="n"/>
    </row>
    <row r="453">
      <c r="A453" s="14" t="n"/>
      <c r="B453" s="14" t="n"/>
      <c r="C453" s="14" t="n"/>
      <c r="D453" s="14" t="n"/>
      <c r="E453" s="14" t="n"/>
      <c r="F453" s="14" t="n"/>
      <c r="G453" s="14">
        <f>IF(OR($E453="",$F453=""),"",$F453-$E453)</f>
        <v/>
      </c>
      <c r="H453" s="14" t="n"/>
      <c r="I453" s="14" t="n"/>
      <c r="J453" s="19" t="n"/>
      <c r="K453" s="19" t="n"/>
      <c r="L453" s="19" t="n"/>
      <c r="M453" s="19" t="n"/>
      <c r="N453" s="18">
        <f>IF($M453&lt;&gt;"",$M453,IF($L453&lt;&gt;"",$L453*CARBON_FRACTION_OM,""))</f>
        <v/>
      </c>
      <c r="O453" s="18">
        <f>IF(OR($E453="",$F453=""),"",MAX(0,MIN($F453,REFERENCE_DEPTH_CM)-MIN($E453,REFERENCE_DEPTH_CM)))</f>
        <v/>
      </c>
      <c r="P453" s="18">
        <f>IF(OR($J453="",$N453="",$G453=""),"",$J453*($N453/100)*$G453*10)</f>
        <v/>
      </c>
      <c r="Q453" s="18">
        <f>IF(OR($J453="",$N453="",$O453=""),"",$J453*($N453/100)*$O453*10)</f>
        <v/>
      </c>
      <c r="R453" s="18">
        <f>IF(OR(NOT(ISNUMBER($P453)),NOT(ISNUMBER($G453)),$G453=0),0,$P453/$G453)</f>
        <v/>
      </c>
      <c r="S453" s="18">
        <f>IF(OR($B453="",NOT(ISNUMBER($F453))),"",SUMIFS('3. Peat Data'!$P$5:$P$604,'3. Peat Data'!$B$5:$B$604,$B453,'3. Peat Data'!$F$5:$F$604,"&lt;="&amp;$F453))</f>
        <v/>
      </c>
      <c r="T453" s="18">
        <f>IF(AND($A453="",$B453="",$E453=""),"",IF(AND($B453&lt;&gt;"",COUNTIF('2. Core Log'!$A$5:$A$124,$B453)=0),"Core ID not in Core Log. ","")&amp;IF(AND($A453&lt;&gt;"",COUNTIF('1. Plot &amp; Site Log'!$A$5:$A$64,$A453)=0),"Plot ID not in Plot &amp; Site Log. ","")&amp;IF(AND(ISNUMBER($E453),ISNUMBER($F453),$F453&lt;=$E453),"Bottom depth is not below top depth. ","")&amp;IF($I453="","Say which bulk-density basis the lab reported. ","")&amp;IF(AND(ISNUMBER($J453),OR($J453&lt;QC_BD_MIN,$J453&gt;QC_BD_MAX)),"Bulk density outside "&amp;QC_BD_MIN&amp;"–"&amp;QC_BD_MAX&amp;" g/cm³ for peat. Above the top of that range usually means the mineral contact has been passed. ","")&amp;IF(AND(ISNUMBER($N453),$N453&gt;QC_CARBON_PCT_MAX),"Carbon above "&amp;QC_CARBON_PCT_MAX&amp;"% — check units; this may be organic matter rather than carbon. ","")&amp;IF(AND($L453&lt;&gt;"",$M453&lt;&gt;""),"Both LOI and measured carbon given — the measured value is used. ","")&amp;IF(AND($M453="",$L453&lt;&gt;"",OM_FACTOR_IS_LOCAL&lt;&gt;"Yes"),"Carbon derived from LOI using the default factor of "&amp;CARBON_FRACTION_OM&amp;", which has not been calibrated locally. See R1. Reference. ","")&amp;IF(AND(ISNUMBER($O453),$O453=0,ISNUMBER($E453)),"Section lies entirely below the reference depth — it counts to the full-profile stock only. ",""))</f>
        <v/>
      </c>
      <c r="U453" s="14" t="n"/>
    </row>
    <row r="454">
      <c r="A454" s="14" t="n"/>
      <c r="B454" s="14" t="n"/>
      <c r="C454" s="14" t="n"/>
      <c r="D454" s="14" t="n"/>
      <c r="E454" s="14" t="n"/>
      <c r="F454" s="14" t="n"/>
      <c r="G454" s="14">
        <f>IF(OR($E454="",$F454=""),"",$F454-$E454)</f>
        <v/>
      </c>
      <c r="H454" s="14" t="n"/>
      <c r="I454" s="14" t="n"/>
      <c r="J454" s="19" t="n"/>
      <c r="K454" s="19" t="n"/>
      <c r="L454" s="19" t="n"/>
      <c r="M454" s="19" t="n"/>
      <c r="N454" s="18">
        <f>IF($M454&lt;&gt;"",$M454,IF($L454&lt;&gt;"",$L454*CARBON_FRACTION_OM,""))</f>
        <v/>
      </c>
      <c r="O454" s="18">
        <f>IF(OR($E454="",$F454=""),"",MAX(0,MIN($F454,REFERENCE_DEPTH_CM)-MIN($E454,REFERENCE_DEPTH_CM)))</f>
        <v/>
      </c>
      <c r="P454" s="18">
        <f>IF(OR($J454="",$N454="",$G454=""),"",$J454*($N454/100)*$G454*10)</f>
        <v/>
      </c>
      <c r="Q454" s="18">
        <f>IF(OR($J454="",$N454="",$O454=""),"",$J454*($N454/100)*$O454*10)</f>
        <v/>
      </c>
      <c r="R454" s="18">
        <f>IF(OR(NOT(ISNUMBER($P454)),NOT(ISNUMBER($G454)),$G454=0),0,$P454/$G454)</f>
        <v/>
      </c>
      <c r="S454" s="18">
        <f>IF(OR($B454="",NOT(ISNUMBER($F454))),"",SUMIFS('3. Peat Data'!$P$5:$P$604,'3. Peat Data'!$B$5:$B$604,$B454,'3. Peat Data'!$F$5:$F$604,"&lt;="&amp;$F454))</f>
        <v/>
      </c>
      <c r="T454" s="18">
        <f>IF(AND($A454="",$B454="",$E454=""),"",IF(AND($B454&lt;&gt;"",COUNTIF('2. Core Log'!$A$5:$A$124,$B454)=0),"Core ID not in Core Log. ","")&amp;IF(AND($A454&lt;&gt;"",COUNTIF('1. Plot &amp; Site Log'!$A$5:$A$64,$A454)=0),"Plot ID not in Plot &amp; Site Log. ","")&amp;IF(AND(ISNUMBER($E454),ISNUMBER($F454),$F454&lt;=$E454),"Bottom depth is not below top depth. ","")&amp;IF($I454="","Say which bulk-density basis the lab reported. ","")&amp;IF(AND(ISNUMBER($J454),OR($J454&lt;QC_BD_MIN,$J454&gt;QC_BD_MAX)),"Bulk density outside "&amp;QC_BD_MIN&amp;"–"&amp;QC_BD_MAX&amp;" g/cm³ for peat. Above the top of that range usually means the mineral contact has been passed. ","")&amp;IF(AND(ISNUMBER($N454),$N454&gt;QC_CARBON_PCT_MAX),"Carbon above "&amp;QC_CARBON_PCT_MAX&amp;"% — check units; this may be organic matter rather than carbon. ","")&amp;IF(AND($L454&lt;&gt;"",$M454&lt;&gt;""),"Both LOI and measured carbon given — the measured value is used. ","")&amp;IF(AND($M454="",$L454&lt;&gt;"",OM_FACTOR_IS_LOCAL&lt;&gt;"Yes"),"Carbon derived from LOI using the default factor of "&amp;CARBON_FRACTION_OM&amp;", which has not been calibrated locally. See R1. Reference. ","")&amp;IF(AND(ISNUMBER($O454),$O454=0,ISNUMBER($E454)),"Section lies entirely below the reference depth — it counts to the full-profile stock only. ",""))</f>
        <v/>
      </c>
      <c r="U454" s="14" t="n"/>
    </row>
    <row r="455">
      <c r="A455" s="14" t="n"/>
      <c r="B455" s="14" t="n"/>
      <c r="C455" s="14" t="n"/>
      <c r="D455" s="14" t="n"/>
      <c r="E455" s="14" t="n"/>
      <c r="F455" s="14" t="n"/>
      <c r="G455" s="14">
        <f>IF(OR($E455="",$F455=""),"",$F455-$E455)</f>
        <v/>
      </c>
      <c r="H455" s="14" t="n"/>
      <c r="I455" s="14" t="n"/>
      <c r="J455" s="19" t="n"/>
      <c r="K455" s="19" t="n"/>
      <c r="L455" s="19" t="n"/>
      <c r="M455" s="19" t="n"/>
      <c r="N455" s="18">
        <f>IF($M455&lt;&gt;"",$M455,IF($L455&lt;&gt;"",$L455*CARBON_FRACTION_OM,""))</f>
        <v/>
      </c>
      <c r="O455" s="18">
        <f>IF(OR($E455="",$F455=""),"",MAX(0,MIN($F455,REFERENCE_DEPTH_CM)-MIN($E455,REFERENCE_DEPTH_CM)))</f>
        <v/>
      </c>
      <c r="P455" s="18">
        <f>IF(OR($J455="",$N455="",$G455=""),"",$J455*($N455/100)*$G455*10)</f>
        <v/>
      </c>
      <c r="Q455" s="18">
        <f>IF(OR($J455="",$N455="",$O455=""),"",$J455*($N455/100)*$O455*10)</f>
        <v/>
      </c>
      <c r="R455" s="18">
        <f>IF(OR(NOT(ISNUMBER($P455)),NOT(ISNUMBER($G455)),$G455=0),0,$P455/$G455)</f>
        <v/>
      </c>
      <c r="S455" s="18">
        <f>IF(OR($B455="",NOT(ISNUMBER($F455))),"",SUMIFS('3. Peat Data'!$P$5:$P$604,'3. Peat Data'!$B$5:$B$604,$B455,'3. Peat Data'!$F$5:$F$604,"&lt;="&amp;$F455))</f>
        <v/>
      </c>
      <c r="T455" s="18">
        <f>IF(AND($A455="",$B455="",$E455=""),"",IF(AND($B455&lt;&gt;"",COUNTIF('2. Core Log'!$A$5:$A$124,$B455)=0),"Core ID not in Core Log. ","")&amp;IF(AND($A455&lt;&gt;"",COUNTIF('1. Plot &amp; Site Log'!$A$5:$A$64,$A455)=0),"Plot ID not in Plot &amp; Site Log. ","")&amp;IF(AND(ISNUMBER($E455),ISNUMBER($F455),$F455&lt;=$E455),"Bottom depth is not below top depth. ","")&amp;IF($I455="","Say which bulk-density basis the lab reported. ","")&amp;IF(AND(ISNUMBER($J455),OR($J455&lt;QC_BD_MIN,$J455&gt;QC_BD_MAX)),"Bulk density outside "&amp;QC_BD_MIN&amp;"–"&amp;QC_BD_MAX&amp;" g/cm³ for peat. Above the top of that range usually means the mineral contact has been passed. ","")&amp;IF(AND(ISNUMBER($N455),$N455&gt;QC_CARBON_PCT_MAX),"Carbon above "&amp;QC_CARBON_PCT_MAX&amp;"% — check units; this may be organic matter rather than carbon. ","")&amp;IF(AND($L455&lt;&gt;"",$M455&lt;&gt;""),"Both LOI and measured carbon given — the measured value is used. ","")&amp;IF(AND($M455="",$L455&lt;&gt;"",OM_FACTOR_IS_LOCAL&lt;&gt;"Yes"),"Carbon derived from LOI using the default factor of "&amp;CARBON_FRACTION_OM&amp;", which has not been calibrated locally. See R1. Reference. ","")&amp;IF(AND(ISNUMBER($O455),$O455=0,ISNUMBER($E455)),"Section lies entirely below the reference depth — it counts to the full-profile stock only. ",""))</f>
        <v/>
      </c>
      <c r="U455" s="14" t="n"/>
    </row>
    <row r="456">
      <c r="A456" s="14" t="n"/>
      <c r="B456" s="14" t="n"/>
      <c r="C456" s="14" t="n"/>
      <c r="D456" s="14" t="n"/>
      <c r="E456" s="14" t="n"/>
      <c r="F456" s="14" t="n"/>
      <c r="G456" s="14">
        <f>IF(OR($E456="",$F456=""),"",$F456-$E456)</f>
        <v/>
      </c>
      <c r="H456" s="14" t="n"/>
      <c r="I456" s="14" t="n"/>
      <c r="J456" s="19" t="n"/>
      <c r="K456" s="19" t="n"/>
      <c r="L456" s="19" t="n"/>
      <c r="M456" s="19" t="n"/>
      <c r="N456" s="18">
        <f>IF($M456&lt;&gt;"",$M456,IF($L456&lt;&gt;"",$L456*CARBON_FRACTION_OM,""))</f>
        <v/>
      </c>
      <c r="O456" s="18">
        <f>IF(OR($E456="",$F456=""),"",MAX(0,MIN($F456,REFERENCE_DEPTH_CM)-MIN($E456,REFERENCE_DEPTH_CM)))</f>
        <v/>
      </c>
      <c r="P456" s="18">
        <f>IF(OR($J456="",$N456="",$G456=""),"",$J456*($N456/100)*$G456*10)</f>
        <v/>
      </c>
      <c r="Q456" s="18">
        <f>IF(OR($J456="",$N456="",$O456=""),"",$J456*($N456/100)*$O456*10)</f>
        <v/>
      </c>
      <c r="R456" s="18">
        <f>IF(OR(NOT(ISNUMBER($P456)),NOT(ISNUMBER($G456)),$G456=0),0,$P456/$G456)</f>
        <v/>
      </c>
      <c r="S456" s="18">
        <f>IF(OR($B456="",NOT(ISNUMBER($F456))),"",SUMIFS('3. Peat Data'!$P$5:$P$604,'3. Peat Data'!$B$5:$B$604,$B456,'3. Peat Data'!$F$5:$F$604,"&lt;="&amp;$F456))</f>
        <v/>
      </c>
      <c r="T456" s="18">
        <f>IF(AND($A456="",$B456="",$E456=""),"",IF(AND($B456&lt;&gt;"",COUNTIF('2. Core Log'!$A$5:$A$124,$B456)=0),"Core ID not in Core Log. ","")&amp;IF(AND($A456&lt;&gt;"",COUNTIF('1. Plot &amp; Site Log'!$A$5:$A$64,$A456)=0),"Plot ID not in Plot &amp; Site Log. ","")&amp;IF(AND(ISNUMBER($E456),ISNUMBER($F456),$F456&lt;=$E456),"Bottom depth is not below top depth. ","")&amp;IF($I456="","Say which bulk-density basis the lab reported. ","")&amp;IF(AND(ISNUMBER($J456),OR($J456&lt;QC_BD_MIN,$J456&gt;QC_BD_MAX)),"Bulk density outside "&amp;QC_BD_MIN&amp;"–"&amp;QC_BD_MAX&amp;" g/cm³ for peat. Above the top of that range usually means the mineral contact has been passed. ","")&amp;IF(AND(ISNUMBER($N456),$N456&gt;QC_CARBON_PCT_MAX),"Carbon above "&amp;QC_CARBON_PCT_MAX&amp;"% — check units; this may be organic matter rather than carbon. ","")&amp;IF(AND($L456&lt;&gt;"",$M456&lt;&gt;""),"Both LOI and measured carbon given — the measured value is used. ","")&amp;IF(AND($M456="",$L456&lt;&gt;"",OM_FACTOR_IS_LOCAL&lt;&gt;"Yes"),"Carbon derived from LOI using the default factor of "&amp;CARBON_FRACTION_OM&amp;", which has not been calibrated locally. See R1. Reference. ","")&amp;IF(AND(ISNUMBER($O456),$O456=0,ISNUMBER($E456)),"Section lies entirely below the reference depth — it counts to the full-profile stock only. ",""))</f>
        <v/>
      </c>
      <c r="U456" s="14" t="n"/>
    </row>
    <row r="457">
      <c r="A457" s="14" t="n"/>
      <c r="B457" s="14" t="n"/>
      <c r="C457" s="14" t="n"/>
      <c r="D457" s="14" t="n"/>
      <c r="E457" s="14" t="n"/>
      <c r="F457" s="14" t="n"/>
      <c r="G457" s="14">
        <f>IF(OR($E457="",$F457=""),"",$F457-$E457)</f>
        <v/>
      </c>
      <c r="H457" s="14" t="n"/>
      <c r="I457" s="14" t="n"/>
      <c r="J457" s="19" t="n"/>
      <c r="K457" s="19" t="n"/>
      <c r="L457" s="19" t="n"/>
      <c r="M457" s="19" t="n"/>
      <c r="N457" s="18">
        <f>IF($M457&lt;&gt;"",$M457,IF($L457&lt;&gt;"",$L457*CARBON_FRACTION_OM,""))</f>
        <v/>
      </c>
      <c r="O457" s="18">
        <f>IF(OR($E457="",$F457=""),"",MAX(0,MIN($F457,REFERENCE_DEPTH_CM)-MIN($E457,REFERENCE_DEPTH_CM)))</f>
        <v/>
      </c>
      <c r="P457" s="18">
        <f>IF(OR($J457="",$N457="",$G457=""),"",$J457*($N457/100)*$G457*10)</f>
        <v/>
      </c>
      <c r="Q457" s="18">
        <f>IF(OR($J457="",$N457="",$O457=""),"",$J457*($N457/100)*$O457*10)</f>
        <v/>
      </c>
      <c r="R457" s="18">
        <f>IF(OR(NOT(ISNUMBER($P457)),NOT(ISNUMBER($G457)),$G457=0),0,$P457/$G457)</f>
        <v/>
      </c>
      <c r="S457" s="18">
        <f>IF(OR($B457="",NOT(ISNUMBER($F457))),"",SUMIFS('3. Peat Data'!$P$5:$P$604,'3. Peat Data'!$B$5:$B$604,$B457,'3. Peat Data'!$F$5:$F$604,"&lt;="&amp;$F457))</f>
        <v/>
      </c>
      <c r="T457" s="18">
        <f>IF(AND($A457="",$B457="",$E457=""),"",IF(AND($B457&lt;&gt;"",COUNTIF('2. Core Log'!$A$5:$A$124,$B457)=0),"Core ID not in Core Log. ","")&amp;IF(AND($A457&lt;&gt;"",COUNTIF('1. Plot &amp; Site Log'!$A$5:$A$64,$A457)=0),"Plot ID not in Plot &amp; Site Log. ","")&amp;IF(AND(ISNUMBER($E457),ISNUMBER($F457),$F457&lt;=$E457),"Bottom depth is not below top depth. ","")&amp;IF($I457="","Say which bulk-density basis the lab reported. ","")&amp;IF(AND(ISNUMBER($J457),OR($J457&lt;QC_BD_MIN,$J457&gt;QC_BD_MAX)),"Bulk density outside "&amp;QC_BD_MIN&amp;"–"&amp;QC_BD_MAX&amp;" g/cm³ for peat. Above the top of that range usually means the mineral contact has been passed. ","")&amp;IF(AND(ISNUMBER($N457),$N457&gt;QC_CARBON_PCT_MAX),"Carbon above "&amp;QC_CARBON_PCT_MAX&amp;"% — check units; this may be organic matter rather than carbon. ","")&amp;IF(AND($L457&lt;&gt;"",$M457&lt;&gt;""),"Both LOI and measured carbon given — the measured value is used. ","")&amp;IF(AND($M457="",$L457&lt;&gt;"",OM_FACTOR_IS_LOCAL&lt;&gt;"Yes"),"Carbon derived from LOI using the default factor of "&amp;CARBON_FRACTION_OM&amp;", which has not been calibrated locally. See R1. Reference. ","")&amp;IF(AND(ISNUMBER($O457),$O457=0,ISNUMBER($E457)),"Section lies entirely below the reference depth — it counts to the full-profile stock only. ",""))</f>
        <v/>
      </c>
      <c r="U457" s="14" t="n"/>
    </row>
    <row r="458">
      <c r="A458" s="14" t="n"/>
      <c r="B458" s="14" t="n"/>
      <c r="C458" s="14" t="n"/>
      <c r="D458" s="14" t="n"/>
      <c r="E458" s="14" t="n"/>
      <c r="F458" s="14" t="n"/>
      <c r="G458" s="14">
        <f>IF(OR($E458="",$F458=""),"",$F458-$E458)</f>
        <v/>
      </c>
      <c r="H458" s="14" t="n"/>
      <c r="I458" s="14" t="n"/>
      <c r="J458" s="19" t="n"/>
      <c r="K458" s="19" t="n"/>
      <c r="L458" s="19" t="n"/>
      <c r="M458" s="19" t="n"/>
      <c r="N458" s="18">
        <f>IF($M458&lt;&gt;"",$M458,IF($L458&lt;&gt;"",$L458*CARBON_FRACTION_OM,""))</f>
        <v/>
      </c>
      <c r="O458" s="18">
        <f>IF(OR($E458="",$F458=""),"",MAX(0,MIN($F458,REFERENCE_DEPTH_CM)-MIN($E458,REFERENCE_DEPTH_CM)))</f>
        <v/>
      </c>
      <c r="P458" s="18">
        <f>IF(OR($J458="",$N458="",$G458=""),"",$J458*($N458/100)*$G458*10)</f>
        <v/>
      </c>
      <c r="Q458" s="18">
        <f>IF(OR($J458="",$N458="",$O458=""),"",$J458*($N458/100)*$O458*10)</f>
        <v/>
      </c>
      <c r="R458" s="18">
        <f>IF(OR(NOT(ISNUMBER($P458)),NOT(ISNUMBER($G458)),$G458=0),0,$P458/$G458)</f>
        <v/>
      </c>
      <c r="S458" s="18">
        <f>IF(OR($B458="",NOT(ISNUMBER($F458))),"",SUMIFS('3. Peat Data'!$P$5:$P$604,'3. Peat Data'!$B$5:$B$604,$B458,'3. Peat Data'!$F$5:$F$604,"&lt;="&amp;$F458))</f>
        <v/>
      </c>
      <c r="T458" s="18">
        <f>IF(AND($A458="",$B458="",$E458=""),"",IF(AND($B458&lt;&gt;"",COUNTIF('2. Core Log'!$A$5:$A$124,$B458)=0),"Core ID not in Core Log. ","")&amp;IF(AND($A458&lt;&gt;"",COUNTIF('1. Plot &amp; Site Log'!$A$5:$A$64,$A458)=0),"Plot ID not in Plot &amp; Site Log. ","")&amp;IF(AND(ISNUMBER($E458),ISNUMBER($F458),$F458&lt;=$E458),"Bottom depth is not below top depth. ","")&amp;IF($I458="","Say which bulk-density basis the lab reported. ","")&amp;IF(AND(ISNUMBER($J458),OR($J458&lt;QC_BD_MIN,$J458&gt;QC_BD_MAX)),"Bulk density outside "&amp;QC_BD_MIN&amp;"–"&amp;QC_BD_MAX&amp;" g/cm³ for peat. Above the top of that range usually means the mineral contact has been passed. ","")&amp;IF(AND(ISNUMBER($N458),$N458&gt;QC_CARBON_PCT_MAX),"Carbon above "&amp;QC_CARBON_PCT_MAX&amp;"% — check units; this may be organic matter rather than carbon. ","")&amp;IF(AND($L458&lt;&gt;"",$M458&lt;&gt;""),"Both LOI and measured carbon given — the measured value is used. ","")&amp;IF(AND($M458="",$L458&lt;&gt;"",OM_FACTOR_IS_LOCAL&lt;&gt;"Yes"),"Carbon derived from LOI using the default factor of "&amp;CARBON_FRACTION_OM&amp;", which has not been calibrated locally. See R1. Reference. ","")&amp;IF(AND(ISNUMBER($O458),$O458=0,ISNUMBER($E458)),"Section lies entirely below the reference depth — it counts to the full-profile stock only. ",""))</f>
        <v/>
      </c>
      <c r="U458" s="14" t="n"/>
    </row>
    <row r="459">
      <c r="A459" s="14" t="n"/>
      <c r="B459" s="14" t="n"/>
      <c r="C459" s="14" t="n"/>
      <c r="D459" s="14" t="n"/>
      <c r="E459" s="14" t="n"/>
      <c r="F459" s="14" t="n"/>
      <c r="G459" s="14">
        <f>IF(OR($E459="",$F459=""),"",$F459-$E459)</f>
        <v/>
      </c>
      <c r="H459" s="14" t="n"/>
      <c r="I459" s="14" t="n"/>
      <c r="J459" s="19" t="n"/>
      <c r="K459" s="19" t="n"/>
      <c r="L459" s="19" t="n"/>
      <c r="M459" s="19" t="n"/>
      <c r="N459" s="18">
        <f>IF($M459&lt;&gt;"",$M459,IF($L459&lt;&gt;"",$L459*CARBON_FRACTION_OM,""))</f>
        <v/>
      </c>
      <c r="O459" s="18">
        <f>IF(OR($E459="",$F459=""),"",MAX(0,MIN($F459,REFERENCE_DEPTH_CM)-MIN($E459,REFERENCE_DEPTH_CM)))</f>
        <v/>
      </c>
      <c r="P459" s="18">
        <f>IF(OR($J459="",$N459="",$G459=""),"",$J459*($N459/100)*$G459*10)</f>
        <v/>
      </c>
      <c r="Q459" s="18">
        <f>IF(OR($J459="",$N459="",$O459=""),"",$J459*($N459/100)*$O459*10)</f>
        <v/>
      </c>
      <c r="R459" s="18">
        <f>IF(OR(NOT(ISNUMBER($P459)),NOT(ISNUMBER($G459)),$G459=0),0,$P459/$G459)</f>
        <v/>
      </c>
      <c r="S459" s="18">
        <f>IF(OR($B459="",NOT(ISNUMBER($F459))),"",SUMIFS('3. Peat Data'!$P$5:$P$604,'3. Peat Data'!$B$5:$B$604,$B459,'3. Peat Data'!$F$5:$F$604,"&lt;="&amp;$F459))</f>
        <v/>
      </c>
      <c r="T459" s="18">
        <f>IF(AND($A459="",$B459="",$E459=""),"",IF(AND($B459&lt;&gt;"",COUNTIF('2. Core Log'!$A$5:$A$124,$B459)=0),"Core ID not in Core Log. ","")&amp;IF(AND($A459&lt;&gt;"",COUNTIF('1. Plot &amp; Site Log'!$A$5:$A$64,$A459)=0),"Plot ID not in Plot &amp; Site Log. ","")&amp;IF(AND(ISNUMBER($E459),ISNUMBER($F459),$F459&lt;=$E459),"Bottom depth is not below top depth. ","")&amp;IF($I459="","Say which bulk-density basis the lab reported. ","")&amp;IF(AND(ISNUMBER($J459),OR($J459&lt;QC_BD_MIN,$J459&gt;QC_BD_MAX)),"Bulk density outside "&amp;QC_BD_MIN&amp;"–"&amp;QC_BD_MAX&amp;" g/cm³ for peat. Above the top of that range usually means the mineral contact has been passed. ","")&amp;IF(AND(ISNUMBER($N459),$N459&gt;QC_CARBON_PCT_MAX),"Carbon above "&amp;QC_CARBON_PCT_MAX&amp;"% — check units; this may be organic matter rather than carbon. ","")&amp;IF(AND($L459&lt;&gt;"",$M459&lt;&gt;""),"Both LOI and measured carbon given — the measured value is used. ","")&amp;IF(AND($M459="",$L459&lt;&gt;"",OM_FACTOR_IS_LOCAL&lt;&gt;"Yes"),"Carbon derived from LOI using the default factor of "&amp;CARBON_FRACTION_OM&amp;", which has not been calibrated locally. See R1. Reference. ","")&amp;IF(AND(ISNUMBER($O459),$O459=0,ISNUMBER($E459)),"Section lies entirely below the reference depth — it counts to the full-profile stock only. ",""))</f>
        <v/>
      </c>
      <c r="U459" s="14" t="n"/>
    </row>
    <row r="460">
      <c r="A460" s="14" t="n"/>
      <c r="B460" s="14" t="n"/>
      <c r="C460" s="14" t="n"/>
      <c r="D460" s="14" t="n"/>
      <c r="E460" s="14" t="n"/>
      <c r="F460" s="14" t="n"/>
      <c r="G460" s="14">
        <f>IF(OR($E460="",$F460=""),"",$F460-$E460)</f>
        <v/>
      </c>
      <c r="H460" s="14" t="n"/>
      <c r="I460" s="14" t="n"/>
      <c r="J460" s="19" t="n"/>
      <c r="K460" s="19" t="n"/>
      <c r="L460" s="19" t="n"/>
      <c r="M460" s="19" t="n"/>
      <c r="N460" s="18">
        <f>IF($M460&lt;&gt;"",$M460,IF($L460&lt;&gt;"",$L460*CARBON_FRACTION_OM,""))</f>
        <v/>
      </c>
      <c r="O460" s="18">
        <f>IF(OR($E460="",$F460=""),"",MAX(0,MIN($F460,REFERENCE_DEPTH_CM)-MIN($E460,REFERENCE_DEPTH_CM)))</f>
        <v/>
      </c>
      <c r="P460" s="18">
        <f>IF(OR($J460="",$N460="",$G460=""),"",$J460*($N460/100)*$G460*10)</f>
        <v/>
      </c>
      <c r="Q460" s="18">
        <f>IF(OR($J460="",$N460="",$O460=""),"",$J460*($N460/100)*$O460*10)</f>
        <v/>
      </c>
      <c r="R460" s="18">
        <f>IF(OR(NOT(ISNUMBER($P460)),NOT(ISNUMBER($G460)),$G460=0),0,$P460/$G460)</f>
        <v/>
      </c>
      <c r="S460" s="18">
        <f>IF(OR($B460="",NOT(ISNUMBER($F460))),"",SUMIFS('3. Peat Data'!$P$5:$P$604,'3. Peat Data'!$B$5:$B$604,$B460,'3. Peat Data'!$F$5:$F$604,"&lt;="&amp;$F460))</f>
        <v/>
      </c>
      <c r="T460" s="18">
        <f>IF(AND($A460="",$B460="",$E460=""),"",IF(AND($B460&lt;&gt;"",COUNTIF('2. Core Log'!$A$5:$A$124,$B460)=0),"Core ID not in Core Log. ","")&amp;IF(AND($A460&lt;&gt;"",COUNTIF('1. Plot &amp; Site Log'!$A$5:$A$64,$A460)=0),"Plot ID not in Plot &amp; Site Log. ","")&amp;IF(AND(ISNUMBER($E460),ISNUMBER($F460),$F460&lt;=$E460),"Bottom depth is not below top depth. ","")&amp;IF($I460="","Say which bulk-density basis the lab reported. ","")&amp;IF(AND(ISNUMBER($J460),OR($J460&lt;QC_BD_MIN,$J460&gt;QC_BD_MAX)),"Bulk density outside "&amp;QC_BD_MIN&amp;"–"&amp;QC_BD_MAX&amp;" g/cm³ for peat. Above the top of that range usually means the mineral contact has been passed. ","")&amp;IF(AND(ISNUMBER($N460),$N460&gt;QC_CARBON_PCT_MAX),"Carbon above "&amp;QC_CARBON_PCT_MAX&amp;"% — check units; this may be organic matter rather than carbon. ","")&amp;IF(AND($L460&lt;&gt;"",$M460&lt;&gt;""),"Both LOI and measured carbon given — the measured value is used. ","")&amp;IF(AND($M460="",$L460&lt;&gt;"",OM_FACTOR_IS_LOCAL&lt;&gt;"Yes"),"Carbon derived from LOI using the default factor of "&amp;CARBON_FRACTION_OM&amp;", which has not been calibrated locally. See R1. Reference. ","")&amp;IF(AND(ISNUMBER($O460),$O460=0,ISNUMBER($E460)),"Section lies entirely below the reference depth — it counts to the full-profile stock only. ",""))</f>
        <v/>
      </c>
      <c r="U460" s="14" t="n"/>
    </row>
    <row r="461">
      <c r="A461" s="14" t="n"/>
      <c r="B461" s="14" t="n"/>
      <c r="C461" s="14" t="n"/>
      <c r="D461" s="14" t="n"/>
      <c r="E461" s="14" t="n"/>
      <c r="F461" s="14" t="n"/>
      <c r="G461" s="14">
        <f>IF(OR($E461="",$F461=""),"",$F461-$E461)</f>
        <v/>
      </c>
      <c r="H461" s="14" t="n"/>
      <c r="I461" s="14" t="n"/>
      <c r="J461" s="19" t="n"/>
      <c r="K461" s="19" t="n"/>
      <c r="L461" s="19" t="n"/>
      <c r="M461" s="19" t="n"/>
      <c r="N461" s="18">
        <f>IF($M461&lt;&gt;"",$M461,IF($L461&lt;&gt;"",$L461*CARBON_FRACTION_OM,""))</f>
        <v/>
      </c>
      <c r="O461" s="18">
        <f>IF(OR($E461="",$F461=""),"",MAX(0,MIN($F461,REFERENCE_DEPTH_CM)-MIN($E461,REFERENCE_DEPTH_CM)))</f>
        <v/>
      </c>
      <c r="P461" s="18">
        <f>IF(OR($J461="",$N461="",$G461=""),"",$J461*($N461/100)*$G461*10)</f>
        <v/>
      </c>
      <c r="Q461" s="18">
        <f>IF(OR($J461="",$N461="",$O461=""),"",$J461*($N461/100)*$O461*10)</f>
        <v/>
      </c>
      <c r="R461" s="18">
        <f>IF(OR(NOT(ISNUMBER($P461)),NOT(ISNUMBER($G461)),$G461=0),0,$P461/$G461)</f>
        <v/>
      </c>
      <c r="S461" s="18">
        <f>IF(OR($B461="",NOT(ISNUMBER($F461))),"",SUMIFS('3. Peat Data'!$P$5:$P$604,'3. Peat Data'!$B$5:$B$604,$B461,'3. Peat Data'!$F$5:$F$604,"&lt;="&amp;$F461))</f>
        <v/>
      </c>
      <c r="T461" s="18">
        <f>IF(AND($A461="",$B461="",$E461=""),"",IF(AND($B461&lt;&gt;"",COUNTIF('2. Core Log'!$A$5:$A$124,$B461)=0),"Core ID not in Core Log. ","")&amp;IF(AND($A461&lt;&gt;"",COUNTIF('1. Plot &amp; Site Log'!$A$5:$A$64,$A461)=0),"Plot ID not in Plot &amp; Site Log. ","")&amp;IF(AND(ISNUMBER($E461),ISNUMBER($F461),$F461&lt;=$E461),"Bottom depth is not below top depth. ","")&amp;IF($I461="","Say which bulk-density basis the lab reported. ","")&amp;IF(AND(ISNUMBER($J461),OR($J461&lt;QC_BD_MIN,$J461&gt;QC_BD_MAX)),"Bulk density outside "&amp;QC_BD_MIN&amp;"–"&amp;QC_BD_MAX&amp;" g/cm³ for peat. Above the top of that range usually means the mineral contact has been passed. ","")&amp;IF(AND(ISNUMBER($N461),$N461&gt;QC_CARBON_PCT_MAX),"Carbon above "&amp;QC_CARBON_PCT_MAX&amp;"% — check units; this may be organic matter rather than carbon. ","")&amp;IF(AND($L461&lt;&gt;"",$M461&lt;&gt;""),"Both LOI and measured carbon given — the measured value is used. ","")&amp;IF(AND($M461="",$L461&lt;&gt;"",OM_FACTOR_IS_LOCAL&lt;&gt;"Yes"),"Carbon derived from LOI using the default factor of "&amp;CARBON_FRACTION_OM&amp;", which has not been calibrated locally. See R1. Reference. ","")&amp;IF(AND(ISNUMBER($O461),$O461=0,ISNUMBER($E461)),"Section lies entirely below the reference depth — it counts to the full-profile stock only. ",""))</f>
        <v/>
      </c>
      <c r="U461" s="14" t="n"/>
    </row>
    <row r="462">
      <c r="A462" s="14" t="n"/>
      <c r="B462" s="14" t="n"/>
      <c r="C462" s="14" t="n"/>
      <c r="D462" s="14" t="n"/>
      <c r="E462" s="14" t="n"/>
      <c r="F462" s="14" t="n"/>
      <c r="G462" s="14">
        <f>IF(OR($E462="",$F462=""),"",$F462-$E462)</f>
        <v/>
      </c>
      <c r="H462" s="14" t="n"/>
      <c r="I462" s="14" t="n"/>
      <c r="J462" s="19" t="n"/>
      <c r="K462" s="19" t="n"/>
      <c r="L462" s="19" t="n"/>
      <c r="M462" s="19" t="n"/>
      <c r="N462" s="18">
        <f>IF($M462&lt;&gt;"",$M462,IF($L462&lt;&gt;"",$L462*CARBON_FRACTION_OM,""))</f>
        <v/>
      </c>
      <c r="O462" s="18">
        <f>IF(OR($E462="",$F462=""),"",MAX(0,MIN($F462,REFERENCE_DEPTH_CM)-MIN($E462,REFERENCE_DEPTH_CM)))</f>
        <v/>
      </c>
      <c r="P462" s="18">
        <f>IF(OR($J462="",$N462="",$G462=""),"",$J462*($N462/100)*$G462*10)</f>
        <v/>
      </c>
      <c r="Q462" s="18">
        <f>IF(OR($J462="",$N462="",$O462=""),"",$J462*($N462/100)*$O462*10)</f>
        <v/>
      </c>
      <c r="R462" s="18">
        <f>IF(OR(NOT(ISNUMBER($P462)),NOT(ISNUMBER($G462)),$G462=0),0,$P462/$G462)</f>
        <v/>
      </c>
      <c r="S462" s="18">
        <f>IF(OR($B462="",NOT(ISNUMBER($F462))),"",SUMIFS('3. Peat Data'!$P$5:$P$604,'3. Peat Data'!$B$5:$B$604,$B462,'3. Peat Data'!$F$5:$F$604,"&lt;="&amp;$F462))</f>
        <v/>
      </c>
      <c r="T462" s="18">
        <f>IF(AND($A462="",$B462="",$E462=""),"",IF(AND($B462&lt;&gt;"",COUNTIF('2. Core Log'!$A$5:$A$124,$B462)=0),"Core ID not in Core Log. ","")&amp;IF(AND($A462&lt;&gt;"",COUNTIF('1. Plot &amp; Site Log'!$A$5:$A$64,$A462)=0),"Plot ID not in Plot &amp; Site Log. ","")&amp;IF(AND(ISNUMBER($E462),ISNUMBER($F462),$F462&lt;=$E462),"Bottom depth is not below top depth. ","")&amp;IF($I462="","Say which bulk-density basis the lab reported. ","")&amp;IF(AND(ISNUMBER($J462),OR($J462&lt;QC_BD_MIN,$J462&gt;QC_BD_MAX)),"Bulk density outside "&amp;QC_BD_MIN&amp;"–"&amp;QC_BD_MAX&amp;" g/cm³ for peat. Above the top of that range usually means the mineral contact has been passed. ","")&amp;IF(AND(ISNUMBER($N462),$N462&gt;QC_CARBON_PCT_MAX),"Carbon above "&amp;QC_CARBON_PCT_MAX&amp;"% — check units; this may be organic matter rather than carbon. ","")&amp;IF(AND($L462&lt;&gt;"",$M462&lt;&gt;""),"Both LOI and measured carbon given — the measured value is used. ","")&amp;IF(AND($M462="",$L462&lt;&gt;"",OM_FACTOR_IS_LOCAL&lt;&gt;"Yes"),"Carbon derived from LOI using the default factor of "&amp;CARBON_FRACTION_OM&amp;", which has not been calibrated locally. See R1. Reference. ","")&amp;IF(AND(ISNUMBER($O462),$O462=0,ISNUMBER($E462)),"Section lies entirely below the reference depth — it counts to the full-profile stock only. ",""))</f>
        <v/>
      </c>
      <c r="U462" s="14" t="n"/>
    </row>
    <row r="463">
      <c r="A463" s="14" t="n"/>
      <c r="B463" s="14" t="n"/>
      <c r="C463" s="14" t="n"/>
      <c r="D463" s="14" t="n"/>
      <c r="E463" s="14" t="n"/>
      <c r="F463" s="14" t="n"/>
      <c r="G463" s="14">
        <f>IF(OR($E463="",$F463=""),"",$F463-$E463)</f>
        <v/>
      </c>
      <c r="H463" s="14" t="n"/>
      <c r="I463" s="14" t="n"/>
      <c r="J463" s="19" t="n"/>
      <c r="K463" s="19" t="n"/>
      <c r="L463" s="19" t="n"/>
      <c r="M463" s="19" t="n"/>
      <c r="N463" s="18">
        <f>IF($M463&lt;&gt;"",$M463,IF($L463&lt;&gt;"",$L463*CARBON_FRACTION_OM,""))</f>
        <v/>
      </c>
      <c r="O463" s="18">
        <f>IF(OR($E463="",$F463=""),"",MAX(0,MIN($F463,REFERENCE_DEPTH_CM)-MIN($E463,REFERENCE_DEPTH_CM)))</f>
        <v/>
      </c>
      <c r="P463" s="18">
        <f>IF(OR($J463="",$N463="",$G463=""),"",$J463*($N463/100)*$G463*10)</f>
        <v/>
      </c>
      <c r="Q463" s="18">
        <f>IF(OR($J463="",$N463="",$O463=""),"",$J463*($N463/100)*$O463*10)</f>
        <v/>
      </c>
      <c r="R463" s="18">
        <f>IF(OR(NOT(ISNUMBER($P463)),NOT(ISNUMBER($G463)),$G463=0),0,$P463/$G463)</f>
        <v/>
      </c>
      <c r="S463" s="18">
        <f>IF(OR($B463="",NOT(ISNUMBER($F463))),"",SUMIFS('3. Peat Data'!$P$5:$P$604,'3. Peat Data'!$B$5:$B$604,$B463,'3. Peat Data'!$F$5:$F$604,"&lt;="&amp;$F463))</f>
        <v/>
      </c>
      <c r="T463" s="18">
        <f>IF(AND($A463="",$B463="",$E463=""),"",IF(AND($B463&lt;&gt;"",COUNTIF('2. Core Log'!$A$5:$A$124,$B463)=0),"Core ID not in Core Log. ","")&amp;IF(AND($A463&lt;&gt;"",COUNTIF('1. Plot &amp; Site Log'!$A$5:$A$64,$A463)=0),"Plot ID not in Plot &amp; Site Log. ","")&amp;IF(AND(ISNUMBER($E463),ISNUMBER($F463),$F463&lt;=$E463),"Bottom depth is not below top depth. ","")&amp;IF($I463="","Say which bulk-density basis the lab reported. ","")&amp;IF(AND(ISNUMBER($J463),OR($J463&lt;QC_BD_MIN,$J463&gt;QC_BD_MAX)),"Bulk density outside "&amp;QC_BD_MIN&amp;"–"&amp;QC_BD_MAX&amp;" g/cm³ for peat. Above the top of that range usually means the mineral contact has been passed. ","")&amp;IF(AND(ISNUMBER($N463),$N463&gt;QC_CARBON_PCT_MAX),"Carbon above "&amp;QC_CARBON_PCT_MAX&amp;"% — check units; this may be organic matter rather than carbon. ","")&amp;IF(AND($L463&lt;&gt;"",$M463&lt;&gt;""),"Both LOI and measured carbon given — the measured value is used. ","")&amp;IF(AND($M463="",$L463&lt;&gt;"",OM_FACTOR_IS_LOCAL&lt;&gt;"Yes"),"Carbon derived from LOI using the default factor of "&amp;CARBON_FRACTION_OM&amp;", which has not been calibrated locally. See R1. Reference. ","")&amp;IF(AND(ISNUMBER($O463),$O463=0,ISNUMBER($E463)),"Section lies entirely below the reference depth — it counts to the full-profile stock only. ",""))</f>
        <v/>
      </c>
      <c r="U463" s="14" t="n"/>
    </row>
    <row r="464">
      <c r="A464" s="14" t="n"/>
      <c r="B464" s="14" t="n"/>
      <c r="C464" s="14" t="n"/>
      <c r="D464" s="14" t="n"/>
      <c r="E464" s="14" t="n"/>
      <c r="F464" s="14" t="n"/>
      <c r="G464" s="14">
        <f>IF(OR($E464="",$F464=""),"",$F464-$E464)</f>
        <v/>
      </c>
      <c r="H464" s="14" t="n"/>
      <c r="I464" s="14" t="n"/>
      <c r="J464" s="19" t="n"/>
      <c r="K464" s="19" t="n"/>
      <c r="L464" s="19" t="n"/>
      <c r="M464" s="19" t="n"/>
      <c r="N464" s="18">
        <f>IF($M464&lt;&gt;"",$M464,IF($L464&lt;&gt;"",$L464*CARBON_FRACTION_OM,""))</f>
        <v/>
      </c>
      <c r="O464" s="18">
        <f>IF(OR($E464="",$F464=""),"",MAX(0,MIN($F464,REFERENCE_DEPTH_CM)-MIN($E464,REFERENCE_DEPTH_CM)))</f>
        <v/>
      </c>
      <c r="P464" s="18">
        <f>IF(OR($J464="",$N464="",$G464=""),"",$J464*($N464/100)*$G464*10)</f>
        <v/>
      </c>
      <c r="Q464" s="18">
        <f>IF(OR($J464="",$N464="",$O464=""),"",$J464*($N464/100)*$O464*10)</f>
        <v/>
      </c>
      <c r="R464" s="18">
        <f>IF(OR(NOT(ISNUMBER($P464)),NOT(ISNUMBER($G464)),$G464=0),0,$P464/$G464)</f>
        <v/>
      </c>
      <c r="S464" s="18">
        <f>IF(OR($B464="",NOT(ISNUMBER($F464))),"",SUMIFS('3. Peat Data'!$P$5:$P$604,'3. Peat Data'!$B$5:$B$604,$B464,'3. Peat Data'!$F$5:$F$604,"&lt;="&amp;$F464))</f>
        <v/>
      </c>
      <c r="T464" s="18">
        <f>IF(AND($A464="",$B464="",$E464=""),"",IF(AND($B464&lt;&gt;"",COUNTIF('2. Core Log'!$A$5:$A$124,$B464)=0),"Core ID not in Core Log. ","")&amp;IF(AND($A464&lt;&gt;"",COUNTIF('1. Plot &amp; Site Log'!$A$5:$A$64,$A464)=0),"Plot ID not in Plot &amp; Site Log. ","")&amp;IF(AND(ISNUMBER($E464),ISNUMBER($F464),$F464&lt;=$E464),"Bottom depth is not below top depth. ","")&amp;IF($I464="","Say which bulk-density basis the lab reported. ","")&amp;IF(AND(ISNUMBER($J464),OR($J464&lt;QC_BD_MIN,$J464&gt;QC_BD_MAX)),"Bulk density outside "&amp;QC_BD_MIN&amp;"–"&amp;QC_BD_MAX&amp;" g/cm³ for peat. Above the top of that range usually means the mineral contact has been passed. ","")&amp;IF(AND(ISNUMBER($N464),$N464&gt;QC_CARBON_PCT_MAX),"Carbon above "&amp;QC_CARBON_PCT_MAX&amp;"% — check units; this may be organic matter rather than carbon. ","")&amp;IF(AND($L464&lt;&gt;"",$M464&lt;&gt;""),"Both LOI and measured carbon given — the measured value is used. ","")&amp;IF(AND($M464="",$L464&lt;&gt;"",OM_FACTOR_IS_LOCAL&lt;&gt;"Yes"),"Carbon derived from LOI using the default factor of "&amp;CARBON_FRACTION_OM&amp;", which has not been calibrated locally. See R1. Reference. ","")&amp;IF(AND(ISNUMBER($O464),$O464=0,ISNUMBER($E464)),"Section lies entirely below the reference depth — it counts to the full-profile stock only. ",""))</f>
        <v/>
      </c>
      <c r="U464" s="14" t="n"/>
    </row>
    <row r="465">
      <c r="A465" s="14" t="n"/>
      <c r="B465" s="14" t="n"/>
      <c r="C465" s="14" t="n"/>
      <c r="D465" s="14" t="n"/>
      <c r="E465" s="14" t="n"/>
      <c r="F465" s="14" t="n"/>
      <c r="G465" s="14">
        <f>IF(OR($E465="",$F465=""),"",$F465-$E465)</f>
        <v/>
      </c>
      <c r="H465" s="14" t="n"/>
      <c r="I465" s="14" t="n"/>
      <c r="J465" s="19" t="n"/>
      <c r="K465" s="19" t="n"/>
      <c r="L465" s="19" t="n"/>
      <c r="M465" s="19" t="n"/>
      <c r="N465" s="18">
        <f>IF($M465&lt;&gt;"",$M465,IF($L465&lt;&gt;"",$L465*CARBON_FRACTION_OM,""))</f>
        <v/>
      </c>
      <c r="O465" s="18">
        <f>IF(OR($E465="",$F465=""),"",MAX(0,MIN($F465,REFERENCE_DEPTH_CM)-MIN($E465,REFERENCE_DEPTH_CM)))</f>
        <v/>
      </c>
      <c r="P465" s="18">
        <f>IF(OR($J465="",$N465="",$G465=""),"",$J465*($N465/100)*$G465*10)</f>
        <v/>
      </c>
      <c r="Q465" s="18">
        <f>IF(OR($J465="",$N465="",$O465=""),"",$J465*($N465/100)*$O465*10)</f>
        <v/>
      </c>
      <c r="R465" s="18">
        <f>IF(OR(NOT(ISNUMBER($P465)),NOT(ISNUMBER($G465)),$G465=0),0,$P465/$G465)</f>
        <v/>
      </c>
      <c r="S465" s="18">
        <f>IF(OR($B465="",NOT(ISNUMBER($F465))),"",SUMIFS('3. Peat Data'!$P$5:$P$604,'3. Peat Data'!$B$5:$B$604,$B465,'3. Peat Data'!$F$5:$F$604,"&lt;="&amp;$F465))</f>
        <v/>
      </c>
      <c r="T465" s="18">
        <f>IF(AND($A465="",$B465="",$E465=""),"",IF(AND($B465&lt;&gt;"",COUNTIF('2. Core Log'!$A$5:$A$124,$B465)=0),"Core ID not in Core Log. ","")&amp;IF(AND($A465&lt;&gt;"",COUNTIF('1. Plot &amp; Site Log'!$A$5:$A$64,$A465)=0),"Plot ID not in Plot &amp; Site Log. ","")&amp;IF(AND(ISNUMBER($E465),ISNUMBER($F465),$F465&lt;=$E465),"Bottom depth is not below top depth. ","")&amp;IF($I465="","Say which bulk-density basis the lab reported. ","")&amp;IF(AND(ISNUMBER($J465),OR($J465&lt;QC_BD_MIN,$J465&gt;QC_BD_MAX)),"Bulk density outside "&amp;QC_BD_MIN&amp;"–"&amp;QC_BD_MAX&amp;" g/cm³ for peat. Above the top of that range usually means the mineral contact has been passed. ","")&amp;IF(AND(ISNUMBER($N465),$N465&gt;QC_CARBON_PCT_MAX),"Carbon above "&amp;QC_CARBON_PCT_MAX&amp;"% — check units; this may be organic matter rather than carbon. ","")&amp;IF(AND($L465&lt;&gt;"",$M465&lt;&gt;""),"Both LOI and measured carbon given — the measured value is used. ","")&amp;IF(AND($M465="",$L465&lt;&gt;"",OM_FACTOR_IS_LOCAL&lt;&gt;"Yes"),"Carbon derived from LOI using the default factor of "&amp;CARBON_FRACTION_OM&amp;", which has not been calibrated locally. See R1. Reference. ","")&amp;IF(AND(ISNUMBER($O465),$O465=0,ISNUMBER($E465)),"Section lies entirely below the reference depth — it counts to the full-profile stock only. ",""))</f>
        <v/>
      </c>
      <c r="U465" s="14" t="n"/>
    </row>
    <row r="466">
      <c r="A466" s="14" t="n"/>
      <c r="B466" s="14" t="n"/>
      <c r="C466" s="14" t="n"/>
      <c r="D466" s="14" t="n"/>
      <c r="E466" s="14" t="n"/>
      <c r="F466" s="14" t="n"/>
      <c r="G466" s="14">
        <f>IF(OR($E466="",$F466=""),"",$F466-$E466)</f>
        <v/>
      </c>
      <c r="H466" s="14" t="n"/>
      <c r="I466" s="14" t="n"/>
      <c r="J466" s="19" t="n"/>
      <c r="K466" s="19" t="n"/>
      <c r="L466" s="19" t="n"/>
      <c r="M466" s="19" t="n"/>
      <c r="N466" s="18">
        <f>IF($M466&lt;&gt;"",$M466,IF($L466&lt;&gt;"",$L466*CARBON_FRACTION_OM,""))</f>
        <v/>
      </c>
      <c r="O466" s="18">
        <f>IF(OR($E466="",$F466=""),"",MAX(0,MIN($F466,REFERENCE_DEPTH_CM)-MIN($E466,REFERENCE_DEPTH_CM)))</f>
        <v/>
      </c>
      <c r="P466" s="18">
        <f>IF(OR($J466="",$N466="",$G466=""),"",$J466*($N466/100)*$G466*10)</f>
        <v/>
      </c>
      <c r="Q466" s="18">
        <f>IF(OR($J466="",$N466="",$O466=""),"",$J466*($N466/100)*$O466*10)</f>
        <v/>
      </c>
      <c r="R466" s="18">
        <f>IF(OR(NOT(ISNUMBER($P466)),NOT(ISNUMBER($G466)),$G466=0),0,$P466/$G466)</f>
        <v/>
      </c>
      <c r="S466" s="18">
        <f>IF(OR($B466="",NOT(ISNUMBER($F466))),"",SUMIFS('3. Peat Data'!$P$5:$P$604,'3. Peat Data'!$B$5:$B$604,$B466,'3. Peat Data'!$F$5:$F$604,"&lt;="&amp;$F466))</f>
        <v/>
      </c>
      <c r="T466" s="18">
        <f>IF(AND($A466="",$B466="",$E466=""),"",IF(AND($B466&lt;&gt;"",COUNTIF('2. Core Log'!$A$5:$A$124,$B466)=0),"Core ID not in Core Log. ","")&amp;IF(AND($A466&lt;&gt;"",COUNTIF('1. Plot &amp; Site Log'!$A$5:$A$64,$A466)=0),"Plot ID not in Plot &amp; Site Log. ","")&amp;IF(AND(ISNUMBER($E466),ISNUMBER($F466),$F466&lt;=$E466),"Bottom depth is not below top depth. ","")&amp;IF($I466="","Say which bulk-density basis the lab reported. ","")&amp;IF(AND(ISNUMBER($J466),OR($J466&lt;QC_BD_MIN,$J466&gt;QC_BD_MAX)),"Bulk density outside "&amp;QC_BD_MIN&amp;"–"&amp;QC_BD_MAX&amp;" g/cm³ for peat. Above the top of that range usually means the mineral contact has been passed. ","")&amp;IF(AND(ISNUMBER($N466),$N466&gt;QC_CARBON_PCT_MAX),"Carbon above "&amp;QC_CARBON_PCT_MAX&amp;"% — check units; this may be organic matter rather than carbon. ","")&amp;IF(AND($L466&lt;&gt;"",$M466&lt;&gt;""),"Both LOI and measured carbon given — the measured value is used. ","")&amp;IF(AND($M466="",$L466&lt;&gt;"",OM_FACTOR_IS_LOCAL&lt;&gt;"Yes"),"Carbon derived from LOI using the default factor of "&amp;CARBON_FRACTION_OM&amp;", which has not been calibrated locally. See R1. Reference. ","")&amp;IF(AND(ISNUMBER($O466),$O466=0,ISNUMBER($E466)),"Section lies entirely below the reference depth — it counts to the full-profile stock only. ",""))</f>
        <v/>
      </c>
      <c r="U466" s="14" t="n"/>
    </row>
    <row r="467">
      <c r="A467" s="14" t="n"/>
      <c r="B467" s="14" t="n"/>
      <c r="C467" s="14" t="n"/>
      <c r="D467" s="14" t="n"/>
      <c r="E467" s="14" t="n"/>
      <c r="F467" s="14" t="n"/>
      <c r="G467" s="14">
        <f>IF(OR($E467="",$F467=""),"",$F467-$E467)</f>
        <v/>
      </c>
      <c r="H467" s="14" t="n"/>
      <c r="I467" s="14" t="n"/>
      <c r="J467" s="19" t="n"/>
      <c r="K467" s="19" t="n"/>
      <c r="L467" s="19" t="n"/>
      <c r="M467" s="19" t="n"/>
      <c r="N467" s="18">
        <f>IF($M467&lt;&gt;"",$M467,IF($L467&lt;&gt;"",$L467*CARBON_FRACTION_OM,""))</f>
        <v/>
      </c>
      <c r="O467" s="18">
        <f>IF(OR($E467="",$F467=""),"",MAX(0,MIN($F467,REFERENCE_DEPTH_CM)-MIN($E467,REFERENCE_DEPTH_CM)))</f>
        <v/>
      </c>
      <c r="P467" s="18">
        <f>IF(OR($J467="",$N467="",$G467=""),"",$J467*($N467/100)*$G467*10)</f>
        <v/>
      </c>
      <c r="Q467" s="18">
        <f>IF(OR($J467="",$N467="",$O467=""),"",$J467*($N467/100)*$O467*10)</f>
        <v/>
      </c>
      <c r="R467" s="18">
        <f>IF(OR(NOT(ISNUMBER($P467)),NOT(ISNUMBER($G467)),$G467=0),0,$P467/$G467)</f>
        <v/>
      </c>
      <c r="S467" s="18">
        <f>IF(OR($B467="",NOT(ISNUMBER($F467))),"",SUMIFS('3. Peat Data'!$P$5:$P$604,'3. Peat Data'!$B$5:$B$604,$B467,'3. Peat Data'!$F$5:$F$604,"&lt;="&amp;$F467))</f>
        <v/>
      </c>
      <c r="T467" s="18">
        <f>IF(AND($A467="",$B467="",$E467=""),"",IF(AND($B467&lt;&gt;"",COUNTIF('2. Core Log'!$A$5:$A$124,$B467)=0),"Core ID not in Core Log. ","")&amp;IF(AND($A467&lt;&gt;"",COUNTIF('1. Plot &amp; Site Log'!$A$5:$A$64,$A467)=0),"Plot ID not in Plot &amp; Site Log. ","")&amp;IF(AND(ISNUMBER($E467),ISNUMBER($F467),$F467&lt;=$E467),"Bottom depth is not below top depth. ","")&amp;IF($I467="","Say which bulk-density basis the lab reported. ","")&amp;IF(AND(ISNUMBER($J467),OR($J467&lt;QC_BD_MIN,$J467&gt;QC_BD_MAX)),"Bulk density outside "&amp;QC_BD_MIN&amp;"–"&amp;QC_BD_MAX&amp;" g/cm³ for peat. Above the top of that range usually means the mineral contact has been passed. ","")&amp;IF(AND(ISNUMBER($N467),$N467&gt;QC_CARBON_PCT_MAX),"Carbon above "&amp;QC_CARBON_PCT_MAX&amp;"% — check units; this may be organic matter rather than carbon. ","")&amp;IF(AND($L467&lt;&gt;"",$M467&lt;&gt;""),"Both LOI and measured carbon given — the measured value is used. ","")&amp;IF(AND($M467="",$L467&lt;&gt;"",OM_FACTOR_IS_LOCAL&lt;&gt;"Yes"),"Carbon derived from LOI using the default factor of "&amp;CARBON_FRACTION_OM&amp;", which has not been calibrated locally. See R1. Reference. ","")&amp;IF(AND(ISNUMBER($O467),$O467=0,ISNUMBER($E467)),"Section lies entirely below the reference depth — it counts to the full-profile stock only. ",""))</f>
        <v/>
      </c>
      <c r="U467" s="14" t="n"/>
    </row>
    <row r="468">
      <c r="A468" s="14" t="n"/>
      <c r="B468" s="14" t="n"/>
      <c r="C468" s="14" t="n"/>
      <c r="D468" s="14" t="n"/>
      <c r="E468" s="14" t="n"/>
      <c r="F468" s="14" t="n"/>
      <c r="G468" s="14">
        <f>IF(OR($E468="",$F468=""),"",$F468-$E468)</f>
        <v/>
      </c>
      <c r="H468" s="14" t="n"/>
      <c r="I468" s="14" t="n"/>
      <c r="J468" s="19" t="n"/>
      <c r="K468" s="19" t="n"/>
      <c r="L468" s="19" t="n"/>
      <c r="M468" s="19" t="n"/>
      <c r="N468" s="18">
        <f>IF($M468&lt;&gt;"",$M468,IF($L468&lt;&gt;"",$L468*CARBON_FRACTION_OM,""))</f>
        <v/>
      </c>
      <c r="O468" s="18">
        <f>IF(OR($E468="",$F468=""),"",MAX(0,MIN($F468,REFERENCE_DEPTH_CM)-MIN($E468,REFERENCE_DEPTH_CM)))</f>
        <v/>
      </c>
      <c r="P468" s="18">
        <f>IF(OR($J468="",$N468="",$G468=""),"",$J468*($N468/100)*$G468*10)</f>
        <v/>
      </c>
      <c r="Q468" s="18">
        <f>IF(OR($J468="",$N468="",$O468=""),"",$J468*($N468/100)*$O468*10)</f>
        <v/>
      </c>
      <c r="R468" s="18">
        <f>IF(OR(NOT(ISNUMBER($P468)),NOT(ISNUMBER($G468)),$G468=0),0,$P468/$G468)</f>
        <v/>
      </c>
      <c r="S468" s="18">
        <f>IF(OR($B468="",NOT(ISNUMBER($F468))),"",SUMIFS('3. Peat Data'!$P$5:$P$604,'3. Peat Data'!$B$5:$B$604,$B468,'3. Peat Data'!$F$5:$F$604,"&lt;="&amp;$F468))</f>
        <v/>
      </c>
      <c r="T468" s="18">
        <f>IF(AND($A468="",$B468="",$E468=""),"",IF(AND($B468&lt;&gt;"",COUNTIF('2. Core Log'!$A$5:$A$124,$B468)=0),"Core ID not in Core Log. ","")&amp;IF(AND($A468&lt;&gt;"",COUNTIF('1. Plot &amp; Site Log'!$A$5:$A$64,$A468)=0),"Plot ID not in Plot &amp; Site Log. ","")&amp;IF(AND(ISNUMBER($E468),ISNUMBER($F468),$F468&lt;=$E468),"Bottom depth is not below top depth. ","")&amp;IF($I468="","Say which bulk-density basis the lab reported. ","")&amp;IF(AND(ISNUMBER($J468),OR($J468&lt;QC_BD_MIN,$J468&gt;QC_BD_MAX)),"Bulk density outside "&amp;QC_BD_MIN&amp;"–"&amp;QC_BD_MAX&amp;" g/cm³ for peat. Above the top of that range usually means the mineral contact has been passed. ","")&amp;IF(AND(ISNUMBER($N468),$N468&gt;QC_CARBON_PCT_MAX),"Carbon above "&amp;QC_CARBON_PCT_MAX&amp;"% — check units; this may be organic matter rather than carbon. ","")&amp;IF(AND($L468&lt;&gt;"",$M468&lt;&gt;""),"Both LOI and measured carbon given — the measured value is used. ","")&amp;IF(AND($M468="",$L468&lt;&gt;"",OM_FACTOR_IS_LOCAL&lt;&gt;"Yes"),"Carbon derived from LOI using the default factor of "&amp;CARBON_FRACTION_OM&amp;", which has not been calibrated locally. See R1. Reference. ","")&amp;IF(AND(ISNUMBER($O468),$O468=0,ISNUMBER($E468)),"Section lies entirely below the reference depth — it counts to the full-profile stock only. ",""))</f>
        <v/>
      </c>
      <c r="U468" s="14" t="n"/>
    </row>
    <row r="469">
      <c r="A469" s="14" t="n"/>
      <c r="B469" s="14" t="n"/>
      <c r="C469" s="14" t="n"/>
      <c r="D469" s="14" t="n"/>
      <c r="E469" s="14" t="n"/>
      <c r="F469" s="14" t="n"/>
      <c r="G469" s="14">
        <f>IF(OR($E469="",$F469=""),"",$F469-$E469)</f>
        <v/>
      </c>
      <c r="H469" s="14" t="n"/>
      <c r="I469" s="14" t="n"/>
      <c r="J469" s="19" t="n"/>
      <c r="K469" s="19" t="n"/>
      <c r="L469" s="19" t="n"/>
      <c r="M469" s="19" t="n"/>
      <c r="N469" s="18">
        <f>IF($M469&lt;&gt;"",$M469,IF($L469&lt;&gt;"",$L469*CARBON_FRACTION_OM,""))</f>
        <v/>
      </c>
      <c r="O469" s="18">
        <f>IF(OR($E469="",$F469=""),"",MAX(0,MIN($F469,REFERENCE_DEPTH_CM)-MIN($E469,REFERENCE_DEPTH_CM)))</f>
        <v/>
      </c>
      <c r="P469" s="18">
        <f>IF(OR($J469="",$N469="",$G469=""),"",$J469*($N469/100)*$G469*10)</f>
        <v/>
      </c>
      <c r="Q469" s="18">
        <f>IF(OR($J469="",$N469="",$O469=""),"",$J469*($N469/100)*$O469*10)</f>
        <v/>
      </c>
      <c r="R469" s="18">
        <f>IF(OR(NOT(ISNUMBER($P469)),NOT(ISNUMBER($G469)),$G469=0),0,$P469/$G469)</f>
        <v/>
      </c>
      <c r="S469" s="18">
        <f>IF(OR($B469="",NOT(ISNUMBER($F469))),"",SUMIFS('3. Peat Data'!$P$5:$P$604,'3. Peat Data'!$B$5:$B$604,$B469,'3. Peat Data'!$F$5:$F$604,"&lt;="&amp;$F469))</f>
        <v/>
      </c>
      <c r="T469" s="18">
        <f>IF(AND($A469="",$B469="",$E469=""),"",IF(AND($B469&lt;&gt;"",COUNTIF('2. Core Log'!$A$5:$A$124,$B469)=0),"Core ID not in Core Log. ","")&amp;IF(AND($A469&lt;&gt;"",COUNTIF('1. Plot &amp; Site Log'!$A$5:$A$64,$A469)=0),"Plot ID not in Plot &amp; Site Log. ","")&amp;IF(AND(ISNUMBER($E469),ISNUMBER($F469),$F469&lt;=$E469),"Bottom depth is not below top depth. ","")&amp;IF($I469="","Say which bulk-density basis the lab reported. ","")&amp;IF(AND(ISNUMBER($J469),OR($J469&lt;QC_BD_MIN,$J469&gt;QC_BD_MAX)),"Bulk density outside "&amp;QC_BD_MIN&amp;"–"&amp;QC_BD_MAX&amp;" g/cm³ for peat. Above the top of that range usually means the mineral contact has been passed. ","")&amp;IF(AND(ISNUMBER($N469),$N469&gt;QC_CARBON_PCT_MAX),"Carbon above "&amp;QC_CARBON_PCT_MAX&amp;"% — check units; this may be organic matter rather than carbon. ","")&amp;IF(AND($L469&lt;&gt;"",$M469&lt;&gt;""),"Both LOI and measured carbon given — the measured value is used. ","")&amp;IF(AND($M469="",$L469&lt;&gt;"",OM_FACTOR_IS_LOCAL&lt;&gt;"Yes"),"Carbon derived from LOI using the default factor of "&amp;CARBON_FRACTION_OM&amp;", which has not been calibrated locally. See R1. Reference. ","")&amp;IF(AND(ISNUMBER($O469),$O469=0,ISNUMBER($E469)),"Section lies entirely below the reference depth — it counts to the full-profile stock only. ",""))</f>
        <v/>
      </c>
      <c r="U469" s="14" t="n"/>
    </row>
    <row r="470">
      <c r="A470" s="14" t="n"/>
      <c r="B470" s="14" t="n"/>
      <c r="C470" s="14" t="n"/>
      <c r="D470" s="14" t="n"/>
      <c r="E470" s="14" t="n"/>
      <c r="F470" s="14" t="n"/>
      <c r="G470" s="14">
        <f>IF(OR($E470="",$F470=""),"",$F470-$E470)</f>
        <v/>
      </c>
      <c r="H470" s="14" t="n"/>
      <c r="I470" s="14" t="n"/>
      <c r="J470" s="19" t="n"/>
      <c r="K470" s="19" t="n"/>
      <c r="L470" s="19" t="n"/>
      <c r="M470" s="19" t="n"/>
      <c r="N470" s="18">
        <f>IF($M470&lt;&gt;"",$M470,IF($L470&lt;&gt;"",$L470*CARBON_FRACTION_OM,""))</f>
        <v/>
      </c>
      <c r="O470" s="18">
        <f>IF(OR($E470="",$F470=""),"",MAX(0,MIN($F470,REFERENCE_DEPTH_CM)-MIN($E470,REFERENCE_DEPTH_CM)))</f>
        <v/>
      </c>
      <c r="P470" s="18">
        <f>IF(OR($J470="",$N470="",$G470=""),"",$J470*($N470/100)*$G470*10)</f>
        <v/>
      </c>
      <c r="Q470" s="18">
        <f>IF(OR($J470="",$N470="",$O470=""),"",$J470*($N470/100)*$O470*10)</f>
        <v/>
      </c>
      <c r="R470" s="18">
        <f>IF(OR(NOT(ISNUMBER($P470)),NOT(ISNUMBER($G470)),$G470=0),0,$P470/$G470)</f>
        <v/>
      </c>
      <c r="S470" s="18">
        <f>IF(OR($B470="",NOT(ISNUMBER($F470))),"",SUMIFS('3. Peat Data'!$P$5:$P$604,'3. Peat Data'!$B$5:$B$604,$B470,'3. Peat Data'!$F$5:$F$604,"&lt;="&amp;$F470))</f>
        <v/>
      </c>
      <c r="T470" s="18">
        <f>IF(AND($A470="",$B470="",$E470=""),"",IF(AND($B470&lt;&gt;"",COUNTIF('2. Core Log'!$A$5:$A$124,$B470)=0),"Core ID not in Core Log. ","")&amp;IF(AND($A470&lt;&gt;"",COUNTIF('1. Plot &amp; Site Log'!$A$5:$A$64,$A470)=0),"Plot ID not in Plot &amp; Site Log. ","")&amp;IF(AND(ISNUMBER($E470),ISNUMBER($F470),$F470&lt;=$E470),"Bottom depth is not below top depth. ","")&amp;IF($I470="","Say which bulk-density basis the lab reported. ","")&amp;IF(AND(ISNUMBER($J470),OR($J470&lt;QC_BD_MIN,$J470&gt;QC_BD_MAX)),"Bulk density outside "&amp;QC_BD_MIN&amp;"–"&amp;QC_BD_MAX&amp;" g/cm³ for peat. Above the top of that range usually means the mineral contact has been passed. ","")&amp;IF(AND(ISNUMBER($N470),$N470&gt;QC_CARBON_PCT_MAX),"Carbon above "&amp;QC_CARBON_PCT_MAX&amp;"% — check units; this may be organic matter rather than carbon. ","")&amp;IF(AND($L470&lt;&gt;"",$M470&lt;&gt;""),"Both LOI and measured carbon given — the measured value is used. ","")&amp;IF(AND($M470="",$L470&lt;&gt;"",OM_FACTOR_IS_LOCAL&lt;&gt;"Yes"),"Carbon derived from LOI using the default factor of "&amp;CARBON_FRACTION_OM&amp;", which has not been calibrated locally. See R1. Reference. ","")&amp;IF(AND(ISNUMBER($O470),$O470=0,ISNUMBER($E470)),"Section lies entirely below the reference depth — it counts to the full-profile stock only. ",""))</f>
        <v/>
      </c>
      <c r="U470" s="14" t="n"/>
    </row>
    <row r="471">
      <c r="A471" s="14" t="n"/>
      <c r="B471" s="14" t="n"/>
      <c r="C471" s="14" t="n"/>
      <c r="D471" s="14" t="n"/>
      <c r="E471" s="14" t="n"/>
      <c r="F471" s="14" t="n"/>
      <c r="G471" s="14">
        <f>IF(OR($E471="",$F471=""),"",$F471-$E471)</f>
        <v/>
      </c>
      <c r="H471" s="14" t="n"/>
      <c r="I471" s="14" t="n"/>
      <c r="J471" s="19" t="n"/>
      <c r="K471" s="19" t="n"/>
      <c r="L471" s="19" t="n"/>
      <c r="M471" s="19" t="n"/>
      <c r="N471" s="18">
        <f>IF($M471&lt;&gt;"",$M471,IF($L471&lt;&gt;"",$L471*CARBON_FRACTION_OM,""))</f>
        <v/>
      </c>
      <c r="O471" s="18">
        <f>IF(OR($E471="",$F471=""),"",MAX(0,MIN($F471,REFERENCE_DEPTH_CM)-MIN($E471,REFERENCE_DEPTH_CM)))</f>
        <v/>
      </c>
      <c r="P471" s="18">
        <f>IF(OR($J471="",$N471="",$G471=""),"",$J471*($N471/100)*$G471*10)</f>
        <v/>
      </c>
      <c r="Q471" s="18">
        <f>IF(OR($J471="",$N471="",$O471=""),"",$J471*($N471/100)*$O471*10)</f>
        <v/>
      </c>
      <c r="R471" s="18">
        <f>IF(OR(NOT(ISNUMBER($P471)),NOT(ISNUMBER($G471)),$G471=0),0,$P471/$G471)</f>
        <v/>
      </c>
      <c r="S471" s="18">
        <f>IF(OR($B471="",NOT(ISNUMBER($F471))),"",SUMIFS('3. Peat Data'!$P$5:$P$604,'3. Peat Data'!$B$5:$B$604,$B471,'3. Peat Data'!$F$5:$F$604,"&lt;="&amp;$F471))</f>
        <v/>
      </c>
      <c r="T471" s="18">
        <f>IF(AND($A471="",$B471="",$E471=""),"",IF(AND($B471&lt;&gt;"",COUNTIF('2. Core Log'!$A$5:$A$124,$B471)=0),"Core ID not in Core Log. ","")&amp;IF(AND($A471&lt;&gt;"",COUNTIF('1. Plot &amp; Site Log'!$A$5:$A$64,$A471)=0),"Plot ID not in Plot &amp; Site Log. ","")&amp;IF(AND(ISNUMBER($E471),ISNUMBER($F471),$F471&lt;=$E471),"Bottom depth is not below top depth. ","")&amp;IF($I471="","Say which bulk-density basis the lab reported. ","")&amp;IF(AND(ISNUMBER($J471),OR($J471&lt;QC_BD_MIN,$J471&gt;QC_BD_MAX)),"Bulk density outside "&amp;QC_BD_MIN&amp;"–"&amp;QC_BD_MAX&amp;" g/cm³ for peat. Above the top of that range usually means the mineral contact has been passed. ","")&amp;IF(AND(ISNUMBER($N471),$N471&gt;QC_CARBON_PCT_MAX),"Carbon above "&amp;QC_CARBON_PCT_MAX&amp;"% — check units; this may be organic matter rather than carbon. ","")&amp;IF(AND($L471&lt;&gt;"",$M471&lt;&gt;""),"Both LOI and measured carbon given — the measured value is used. ","")&amp;IF(AND($M471="",$L471&lt;&gt;"",OM_FACTOR_IS_LOCAL&lt;&gt;"Yes"),"Carbon derived from LOI using the default factor of "&amp;CARBON_FRACTION_OM&amp;", which has not been calibrated locally. See R1. Reference. ","")&amp;IF(AND(ISNUMBER($O471),$O471=0,ISNUMBER($E471)),"Section lies entirely below the reference depth — it counts to the full-profile stock only. ",""))</f>
        <v/>
      </c>
      <c r="U471" s="14" t="n"/>
    </row>
    <row r="472">
      <c r="A472" s="14" t="n"/>
      <c r="B472" s="14" t="n"/>
      <c r="C472" s="14" t="n"/>
      <c r="D472" s="14" t="n"/>
      <c r="E472" s="14" t="n"/>
      <c r="F472" s="14" t="n"/>
      <c r="G472" s="14">
        <f>IF(OR($E472="",$F472=""),"",$F472-$E472)</f>
        <v/>
      </c>
      <c r="H472" s="14" t="n"/>
      <c r="I472" s="14" t="n"/>
      <c r="J472" s="19" t="n"/>
      <c r="K472" s="19" t="n"/>
      <c r="L472" s="19" t="n"/>
      <c r="M472" s="19" t="n"/>
      <c r="N472" s="18">
        <f>IF($M472&lt;&gt;"",$M472,IF($L472&lt;&gt;"",$L472*CARBON_FRACTION_OM,""))</f>
        <v/>
      </c>
      <c r="O472" s="18">
        <f>IF(OR($E472="",$F472=""),"",MAX(0,MIN($F472,REFERENCE_DEPTH_CM)-MIN($E472,REFERENCE_DEPTH_CM)))</f>
        <v/>
      </c>
      <c r="P472" s="18">
        <f>IF(OR($J472="",$N472="",$G472=""),"",$J472*($N472/100)*$G472*10)</f>
        <v/>
      </c>
      <c r="Q472" s="18">
        <f>IF(OR($J472="",$N472="",$O472=""),"",$J472*($N472/100)*$O472*10)</f>
        <v/>
      </c>
      <c r="R472" s="18">
        <f>IF(OR(NOT(ISNUMBER($P472)),NOT(ISNUMBER($G472)),$G472=0),0,$P472/$G472)</f>
        <v/>
      </c>
      <c r="S472" s="18">
        <f>IF(OR($B472="",NOT(ISNUMBER($F472))),"",SUMIFS('3. Peat Data'!$P$5:$P$604,'3. Peat Data'!$B$5:$B$604,$B472,'3. Peat Data'!$F$5:$F$604,"&lt;="&amp;$F472))</f>
        <v/>
      </c>
      <c r="T472" s="18">
        <f>IF(AND($A472="",$B472="",$E472=""),"",IF(AND($B472&lt;&gt;"",COUNTIF('2. Core Log'!$A$5:$A$124,$B472)=0),"Core ID not in Core Log. ","")&amp;IF(AND($A472&lt;&gt;"",COUNTIF('1. Plot &amp; Site Log'!$A$5:$A$64,$A472)=0),"Plot ID not in Plot &amp; Site Log. ","")&amp;IF(AND(ISNUMBER($E472),ISNUMBER($F472),$F472&lt;=$E472),"Bottom depth is not below top depth. ","")&amp;IF($I472="","Say which bulk-density basis the lab reported. ","")&amp;IF(AND(ISNUMBER($J472),OR($J472&lt;QC_BD_MIN,$J472&gt;QC_BD_MAX)),"Bulk density outside "&amp;QC_BD_MIN&amp;"–"&amp;QC_BD_MAX&amp;" g/cm³ for peat. Above the top of that range usually means the mineral contact has been passed. ","")&amp;IF(AND(ISNUMBER($N472),$N472&gt;QC_CARBON_PCT_MAX),"Carbon above "&amp;QC_CARBON_PCT_MAX&amp;"% — check units; this may be organic matter rather than carbon. ","")&amp;IF(AND($L472&lt;&gt;"",$M472&lt;&gt;""),"Both LOI and measured carbon given — the measured value is used. ","")&amp;IF(AND($M472="",$L472&lt;&gt;"",OM_FACTOR_IS_LOCAL&lt;&gt;"Yes"),"Carbon derived from LOI using the default factor of "&amp;CARBON_FRACTION_OM&amp;", which has not been calibrated locally. See R1. Reference. ","")&amp;IF(AND(ISNUMBER($O472),$O472=0,ISNUMBER($E472)),"Section lies entirely below the reference depth — it counts to the full-profile stock only. ",""))</f>
        <v/>
      </c>
      <c r="U472" s="14" t="n"/>
    </row>
    <row r="473">
      <c r="A473" s="14" t="n"/>
      <c r="B473" s="14" t="n"/>
      <c r="C473" s="14" t="n"/>
      <c r="D473" s="14" t="n"/>
      <c r="E473" s="14" t="n"/>
      <c r="F473" s="14" t="n"/>
      <c r="G473" s="14">
        <f>IF(OR($E473="",$F473=""),"",$F473-$E473)</f>
        <v/>
      </c>
      <c r="H473" s="14" t="n"/>
      <c r="I473" s="14" t="n"/>
      <c r="J473" s="19" t="n"/>
      <c r="K473" s="19" t="n"/>
      <c r="L473" s="19" t="n"/>
      <c r="M473" s="19" t="n"/>
      <c r="N473" s="18">
        <f>IF($M473&lt;&gt;"",$M473,IF($L473&lt;&gt;"",$L473*CARBON_FRACTION_OM,""))</f>
        <v/>
      </c>
      <c r="O473" s="18">
        <f>IF(OR($E473="",$F473=""),"",MAX(0,MIN($F473,REFERENCE_DEPTH_CM)-MIN($E473,REFERENCE_DEPTH_CM)))</f>
        <v/>
      </c>
      <c r="P473" s="18">
        <f>IF(OR($J473="",$N473="",$G473=""),"",$J473*($N473/100)*$G473*10)</f>
        <v/>
      </c>
      <c r="Q473" s="18">
        <f>IF(OR($J473="",$N473="",$O473=""),"",$J473*($N473/100)*$O473*10)</f>
        <v/>
      </c>
      <c r="R473" s="18">
        <f>IF(OR(NOT(ISNUMBER($P473)),NOT(ISNUMBER($G473)),$G473=0),0,$P473/$G473)</f>
        <v/>
      </c>
      <c r="S473" s="18">
        <f>IF(OR($B473="",NOT(ISNUMBER($F473))),"",SUMIFS('3. Peat Data'!$P$5:$P$604,'3. Peat Data'!$B$5:$B$604,$B473,'3. Peat Data'!$F$5:$F$604,"&lt;="&amp;$F473))</f>
        <v/>
      </c>
      <c r="T473" s="18">
        <f>IF(AND($A473="",$B473="",$E473=""),"",IF(AND($B473&lt;&gt;"",COUNTIF('2. Core Log'!$A$5:$A$124,$B473)=0),"Core ID not in Core Log. ","")&amp;IF(AND($A473&lt;&gt;"",COUNTIF('1. Plot &amp; Site Log'!$A$5:$A$64,$A473)=0),"Plot ID not in Plot &amp; Site Log. ","")&amp;IF(AND(ISNUMBER($E473),ISNUMBER($F473),$F473&lt;=$E473),"Bottom depth is not below top depth. ","")&amp;IF($I473="","Say which bulk-density basis the lab reported. ","")&amp;IF(AND(ISNUMBER($J473),OR($J473&lt;QC_BD_MIN,$J473&gt;QC_BD_MAX)),"Bulk density outside "&amp;QC_BD_MIN&amp;"–"&amp;QC_BD_MAX&amp;" g/cm³ for peat. Above the top of that range usually means the mineral contact has been passed. ","")&amp;IF(AND(ISNUMBER($N473),$N473&gt;QC_CARBON_PCT_MAX),"Carbon above "&amp;QC_CARBON_PCT_MAX&amp;"% — check units; this may be organic matter rather than carbon. ","")&amp;IF(AND($L473&lt;&gt;"",$M473&lt;&gt;""),"Both LOI and measured carbon given — the measured value is used. ","")&amp;IF(AND($M473="",$L473&lt;&gt;"",OM_FACTOR_IS_LOCAL&lt;&gt;"Yes"),"Carbon derived from LOI using the default factor of "&amp;CARBON_FRACTION_OM&amp;", which has not been calibrated locally. See R1. Reference. ","")&amp;IF(AND(ISNUMBER($O473),$O473=0,ISNUMBER($E473)),"Section lies entirely below the reference depth — it counts to the full-profile stock only. ",""))</f>
        <v/>
      </c>
      <c r="U473" s="14" t="n"/>
    </row>
    <row r="474">
      <c r="A474" s="14" t="n"/>
      <c r="B474" s="14" t="n"/>
      <c r="C474" s="14" t="n"/>
      <c r="D474" s="14" t="n"/>
      <c r="E474" s="14" t="n"/>
      <c r="F474" s="14" t="n"/>
      <c r="G474" s="14">
        <f>IF(OR($E474="",$F474=""),"",$F474-$E474)</f>
        <v/>
      </c>
      <c r="H474" s="14" t="n"/>
      <c r="I474" s="14" t="n"/>
      <c r="J474" s="19" t="n"/>
      <c r="K474" s="19" t="n"/>
      <c r="L474" s="19" t="n"/>
      <c r="M474" s="19" t="n"/>
      <c r="N474" s="18">
        <f>IF($M474&lt;&gt;"",$M474,IF($L474&lt;&gt;"",$L474*CARBON_FRACTION_OM,""))</f>
        <v/>
      </c>
      <c r="O474" s="18">
        <f>IF(OR($E474="",$F474=""),"",MAX(0,MIN($F474,REFERENCE_DEPTH_CM)-MIN($E474,REFERENCE_DEPTH_CM)))</f>
        <v/>
      </c>
      <c r="P474" s="18">
        <f>IF(OR($J474="",$N474="",$G474=""),"",$J474*($N474/100)*$G474*10)</f>
        <v/>
      </c>
      <c r="Q474" s="18">
        <f>IF(OR($J474="",$N474="",$O474=""),"",$J474*($N474/100)*$O474*10)</f>
        <v/>
      </c>
      <c r="R474" s="18">
        <f>IF(OR(NOT(ISNUMBER($P474)),NOT(ISNUMBER($G474)),$G474=0),0,$P474/$G474)</f>
        <v/>
      </c>
      <c r="S474" s="18">
        <f>IF(OR($B474="",NOT(ISNUMBER($F474))),"",SUMIFS('3. Peat Data'!$P$5:$P$604,'3. Peat Data'!$B$5:$B$604,$B474,'3. Peat Data'!$F$5:$F$604,"&lt;="&amp;$F474))</f>
        <v/>
      </c>
      <c r="T474" s="18">
        <f>IF(AND($A474="",$B474="",$E474=""),"",IF(AND($B474&lt;&gt;"",COUNTIF('2. Core Log'!$A$5:$A$124,$B474)=0),"Core ID not in Core Log. ","")&amp;IF(AND($A474&lt;&gt;"",COUNTIF('1. Plot &amp; Site Log'!$A$5:$A$64,$A474)=0),"Plot ID not in Plot &amp; Site Log. ","")&amp;IF(AND(ISNUMBER($E474),ISNUMBER($F474),$F474&lt;=$E474),"Bottom depth is not below top depth. ","")&amp;IF($I474="","Say which bulk-density basis the lab reported. ","")&amp;IF(AND(ISNUMBER($J474),OR($J474&lt;QC_BD_MIN,$J474&gt;QC_BD_MAX)),"Bulk density outside "&amp;QC_BD_MIN&amp;"–"&amp;QC_BD_MAX&amp;" g/cm³ for peat. Above the top of that range usually means the mineral contact has been passed. ","")&amp;IF(AND(ISNUMBER($N474),$N474&gt;QC_CARBON_PCT_MAX),"Carbon above "&amp;QC_CARBON_PCT_MAX&amp;"% — check units; this may be organic matter rather than carbon. ","")&amp;IF(AND($L474&lt;&gt;"",$M474&lt;&gt;""),"Both LOI and measured carbon given — the measured value is used. ","")&amp;IF(AND($M474="",$L474&lt;&gt;"",OM_FACTOR_IS_LOCAL&lt;&gt;"Yes"),"Carbon derived from LOI using the default factor of "&amp;CARBON_FRACTION_OM&amp;", which has not been calibrated locally. See R1. Reference. ","")&amp;IF(AND(ISNUMBER($O474),$O474=0,ISNUMBER($E474)),"Section lies entirely below the reference depth — it counts to the full-profile stock only. ",""))</f>
        <v/>
      </c>
      <c r="U474" s="14" t="n"/>
    </row>
    <row r="475">
      <c r="A475" s="14" t="n"/>
      <c r="B475" s="14" t="n"/>
      <c r="C475" s="14" t="n"/>
      <c r="D475" s="14" t="n"/>
      <c r="E475" s="14" t="n"/>
      <c r="F475" s="14" t="n"/>
      <c r="G475" s="14">
        <f>IF(OR($E475="",$F475=""),"",$F475-$E475)</f>
        <v/>
      </c>
      <c r="H475" s="14" t="n"/>
      <c r="I475" s="14" t="n"/>
      <c r="J475" s="19" t="n"/>
      <c r="K475" s="19" t="n"/>
      <c r="L475" s="19" t="n"/>
      <c r="M475" s="19" t="n"/>
      <c r="N475" s="18">
        <f>IF($M475&lt;&gt;"",$M475,IF($L475&lt;&gt;"",$L475*CARBON_FRACTION_OM,""))</f>
        <v/>
      </c>
      <c r="O475" s="18">
        <f>IF(OR($E475="",$F475=""),"",MAX(0,MIN($F475,REFERENCE_DEPTH_CM)-MIN($E475,REFERENCE_DEPTH_CM)))</f>
        <v/>
      </c>
      <c r="P475" s="18">
        <f>IF(OR($J475="",$N475="",$G475=""),"",$J475*($N475/100)*$G475*10)</f>
        <v/>
      </c>
      <c r="Q475" s="18">
        <f>IF(OR($J475="",$N475="",$O475=""),"",$J475*($N475/100)*$O475*10)</f>
        <v/>
      </c>
      <c r="R475" s="18">
        <f>IF(OR(NOT(ISNUMBER($P475)),NOT(ISNUMBER($G475)),$G475=0),0,$P475/$G475)</f>
        <v/>
      </c>
      <c r="S475" s="18">
        <f>IF(OR($B475="",NOT(ISNUMBER($F475))),"",SUMIFS('3. Peat Data'!$P$5:$P$604,'3. Peat Data'!$B$5:$B$604,$B475,'3. Peat Data'!$F$5:$F$604,"&lt;="&amp;$F475))</f>
        <v/>
      </c>
      <c r="T475" s="18">
        <f>IF(AND($A475="",$B475="",$E475=""),"",IF(AND($B475&lt;&gt;"",COUNTIF('2. Core Log'!$A$5:$A$124,$B475)=0),"Core ID not in Core Log. ","")&amp;IF(AND($A475&lt;&gt;"",COUNTIF('1. Plot &amp; Site Log'!$A$5:$A$64,$A475)=0),"Plot ID not in Plot &amp; Site Log. ","")&amp;IF(AND(ISNUMBER($E475),ISNUMBER($F475),$F475&lt;=$E475),"Bottom depth is not below top depth. ","")&amp;IF($I475="","Say which bulk-density basis the lab reported. ","")&amp;IF(AND(ISNUMBER($J475),OR($J475&lt;QC_BD_MIN,$J475&gt;QC_BD_MAX)),"Bulk density outside "&amp;QC_BD_MIN&amp;"–"&amp;QC_BD_MAX&amp;" g/cm³ for peat. Above the top of that range usually means the mineral contact has been passed. ","")&amp;IF(AND(ISNUMBER($N475),$N475&gt;QC_CARBON_PCT_MAX),"Carbon above "&amp;QC_CARBON_PCT_MAX&amp;"% — check units; this may be organic matter rather than carbon. ","")&amp;IF(AND($L475&lt;&gt;"",$M475&lt;&gt;""),"Both LOI and measured carbon given — the measured value is used. ","")&amp;IF(AND($M475="",$L475&lt;&gt;"",OM_FACTOR_IS_LOCAL&lt;&gt;"Yes"),"Carbon derived from LOI using the default factor of "&amp;CARBON_FRACTION_OM&amp;", which has not been calibrated locally. See R1. Reference. ","")&amp;IF(AND(ISNUMBER($O475),$O475=0,ISNUMBER($E475)),"Section lies entirely below the reference depth — it counts to the full-profile stock only. ",""))</f>
        <v/>
      </c>
      <c r="U475" s="14" t="n"/>
    </row>
    <row r="476">
      <c r="A476" s="14" t="n"/>
      <c r="B476" s="14" t="n"/>
      <c r="C476" s="14" t="n"/>
      <c r="D476" s="14" t="n"/>
      <c r="E476" s="14" t="n"/>
      <c r="F476" s="14" t="n"/>
      <c r="G476" s="14">
        <f>IF(OR($E476="",$F476=""),"",$F476-$E476)</f>
        <v/>
      </c>
      <c r="H476" s="14" t="n"/>
      <c r="I476" s="14" t="n"/>
      <c r="J476" s="19" t="n"/>
      <c r="K476" s="19" t="n"/>
      <c r="L476" s="19" t="n"/>
      <c r="M476" s="19" t="n"/>
      <c r="N476" s="18">
        <f>IF($M476&lt;&gt;"",$M476,IF($L476&lt;&gt;"",$L476*CARBON_FRACTION_OM,""))</f>
        <v/>
      </c>
      <c r="O476" s="18">
        <f>IF(OR($E476="",$F476=""),"",MAX(0,MIN($F476,REFERENCE_DEPTH_CM)-MIN($E476,REFERENCE_DEPTH_CM)))</f>
        <v/>
      </c>
      <c r="P476" s="18">
        <f>IF(OR($J476="",$N476="",$G476=""),"",$J476*($N476/100)*$G476*10)</f>
        <v/>
      </c>
      <c r="Q476" s="18">
        <f>IF(OR($J476="",$N476="",$O476=""),"",$J476*($N476/100)*$O476*10)</f>
        <v/>
      </c>
      <c r="R476" s="18">
        <f>IF(OR(NOT(ISNUMBER($P476)),NOT(ISNUMBER($G476)),$G476=0),0,$P476/$G476)</f>
        <v/>
      </c>
      <c r="S476" s="18">
        <f>IF(OR($B476="",NOT(ISNUMBER($F476))),"",SUMIFS('3. Peat Data'!$P$5:$P$604,'3. Peat Data'!$B$5:$B$604,$B476,'3. Peat Data'!$F$5:$F$604,"&lt;="&amp;$F476))</f>
        <v/>
      </c>
      <c r="T476" s="18">
        <f>IF(AND($A476="",$B476="",$E476=""),"",IF(AND($B476&lt;&gt;"",COUNTIF('2. Core Log'!$A$5:$A$124,$B476)=0),"Core ID not in Core Log. ","")&amp;IF(AND($A476&lt;&gt;"",COUNTIF('1. Plot &amp; Site Log'!$A$5:$A$64,$A476)=0),"Plot ID not in Plot &amp; Site Log. ","")&amp;IF(AND(ISNUMBER($E476),ISNUMBER($F476),$F476&lt;=$E476),"Bottom depth is not below top depth. ","")&amp;IF($I476="","Say which bulk-density basis the lab reported. ","")&amp;IF(AND(ISNUMBER($J476),OR($J476&lt;QC_BD_MIN,$J476&gt;QC_BD_MAX)),"Bulk density outside "&amp;QC_BD_MIN&amp;"–"&amp;QC_BD_MAX&amp;" g/cm³ for peat. Above the top of that range usually means the mineral contact has been passed. ","")&amp;IF(AND(ISNUMBER($N476),$N476&gt;QC_CARBON_PCT_MAX),"Carbon above "&amp;QC_CARBON_PCT_MAX&amp;"% — check units; this may be organic matter rather than carbon. ","")&amp;IF(AND($L476&lt;&gt;"",$M476&lt;&gt;""),"Both LOI and measured carbon given — the measured value is used. ","")&amp;IF(AND($M476="",$L476&lt;&gt;"",OM_FACTOR_IS_LOCAL&lt;&gt;"Yes"),"Carbon derived from LOI using the default factor of "&amp;CARBON_FRACTION_OM&amp;", which has not been calibrated locally. See R1. Reference. ","")&amp;IF(AND(ISNUMBER($O476),$O476=0,ISNUMBER($E476)),"Section lies entirely below the reference depth — it counts to the full-profile stock only. ",""))</f>
        <v/>
      </c>
      <c r="U476" s="14" t="n"/>
    </row>
    <row r="477">
      <c r="A477" s="14" t="n"/>
      <c r="B477" s="14" t="n"/>
      <c r="C477" s="14" t="n"/>
      <c r="D477" s="14" t="n"/>
      <c r="E477" s="14" t="n"/>
      <c r="F477" s="14" t="n"/>
      <c r="G477" s="14">
        <f>IF(OR($E477="",$F477=""),"",$F477-$E477)</f>
        <v/>
      </c>
      <c r="H477" s="14" t="n"/>
      <c r="I477" s="14" t="n"/>
      <c r="J477" s="19" t="n"/>
      <c r="K477" s="19" t="n"/>
      <c r="L477" s="19" t="n"/>
      <c r="M477" s="19" t="n"/>
      <c r="N477" s="18">
        <f>IF($M477&lt;&gt;"",$M477,IF($L477&lt;&gt;"",$L477*CARBON_FRACTION_OM,""))</f>
        <v/>
      </c>
      <c r="O477" s="18">
        <f>IF(OR($E477="",$F477=""),"",MAX(0,MIN($F477,REFERENCE_DEPTH_CM)-MIN($E477,REFERENCE_DEPTH_CM)))</f>
        <v/>
      </c>
      <c r="P477" s="18">
        <f>IF(OR($J477="",$N477="",$G477=""),"",$J477*($N477/100)*$G477*10)</f>
        <v/>
      </c>
      <c r="Q477" s="18">
        <f>IF(OR($J477="",$N477="",$O477=""),"",$J477*($N477/100)*$O477*10)</f>
        <v/>
      </c>
      <c r="R477" s="18">
        <f>IF(OR(NOT(ISNUMBER($P477)),NOT(ISNUMBER($G477)),$G477=0),0,$P477/$G477)</f>
        <v/>
      </c>
      <c r="S477" s="18">
        <f>IF(OR($B477="",NOT(ISNUMBER($F477))),"",SUMIFS('3. Peat Data'!$P$5:$P$604,'3. Peat Data'!$B$5:$B$604,$B477,'3. Peat Data'!$F$5:$F$604,"&lt;="&amp;$F477))</f>
        <v/>
      </c>
      <c r="T477" s="18">
        <f>IF(AND($A477="",$B477="",$E477=""),"",IF(AND($B477&lt;&gt;"",COUNTIF('2. Core Log'!$A$5:$A$124,$B477)=0),"Core ID not in Core Log. ","")&amp;IF(AND($A477&lt;&gt;"",COUNTIF('1. Plot &amp; Site Log'!$A$5:$A$64,$A477)=0),"Plot ID not in Plot &amp; Site Log. ","")&amp;IF(AND(ISNUMBER($E477),ISNUMBER($F477),$F477&lt;=$E477),"Bottom depth is not below top depth. ","")&amp;IF($I477="","Say which bulk-density basis the lab reported. ","")&amp;IF(AND(ISNUMBER($J477),OR($J477&lt;QC_BD_MIN,$J477&gt;QC_BD_MAX)),"Bulk density outside "&amp;QC_BD_MIN&amp;"–"&amp;QC_BD_MAX&amp;" g/cm³ for peat. Above the top of that range usually means the mineral contact has been passed. ","")&amp;IF(AND(ISNUMBER($N477),$N477&gt;QC_CARBON_PCT_MAX),"Carbon above "&amp;QC_CARBON_PCT_MAX&amp;"% — check units; this may be organic matter rather than carbon. ","")&amp;IF(AND($L477&lt;&gt;"",$M477&lt;&gt;""),"Both LOI and measured carbon given — the measured value is used. ","")&amp;IF(AND($M477="",$L477&lt;&gt;"",OM_FACTOR_IS_LOCAL&lt;&gt;"Yes"),"Carbon derived from LOI using the default factor of "&amp;CARBON_FRACTION_OM&amp;", which has not been calibrated locally. See R1. Reference. ","")&amp;IF(AND(ISNUMBER($O477),$O477=0,ISNUMBER($E477)),"Section lies entirely below the reference depth — it counts to the full-profile stock only. ",""))</f>
        <v/>
      </c>
      <c r="U477" s="14" t="n"/>
    </row>
    <row r="478">
      <c r="A478" s="14" t="n"/>
      <c r="B478" s="14" t="n"/>
      <c r="C478" s="14" t="n"/>
      <c r="D478" s="14" t="n"/>
      <c r="E478" s="14" t="n"/>
      <c r="F478" s="14" t="n"/>
      <c r="G478" s="14">
        <f>IF(OR($E478="",$F478=""),"",$F478-$E478)</f>
        <v/>
      </c>
      <c r="H478" s="14" t="n"/>
      <c r="I478" s="14" t="n"/>
      <c r="J478" s="19" t="n"/>
      <c r="K478" s="19" t="n"/>
      <c r="L478" s="19" t="n"/>
      <c r="M478" s="19" t="n"/>
      <c r="N478" s="18">
        <f>IF($M478&lt;&gt;"",$M478,IF($L478&lt;&gt;"",$L478*CARBON_FRACTION_OM,""))</f>
        <v/>
      </c>
      <c r="O478" s="18">
        <f>IF(OR($E478="",$F478=""),"",MAX(0,MIN($F478,REFERENCE_DEPTH_CM)-MIN($E478,REFERENCE_DEPTH_CM)))</f>
        <v/>
      </c>
      <c r="P478" s="18">
        <f>IF(OR($J478="",$N478="",$G478=""),"",$J478*($N478/100)*$G478*10)</f>
        <v/>
      </c>
      <c r="Q478" s="18">
        <f>IF(OR($J478="",$N478="",$O478=""),"",$J478*($N478/100)*$O478*10)</f>
        <v/>
      </c>
      <c r="R478" s="18">
        <f>IF(OR(NOT(ISNUMBER($P478)),NOT(ISNUMBER($G478)),$G478=0),0,$P478/$G478)</f>
        <v/>
      </c>
      <c r="S478" s="18">
        <f>IF(OR($B478="",NOT(ISNUMBER($F478))),"",SUMIFS('3. Peat Data'!$P$5:$P$604,'3. Peat Data'!$B$5:$B$604,$B478,'3. Peat Data'!$F$5:$F$604,"&lt;="&amp;$F478))</f>
        <v/>
      </c>
      <c r="T478" s="18">
        <f>IF(AND($A478="",$B478="",$E478=""),"",IF(AND($B478&lt;&gt;"",COUNTIF('2. Core Log'!$A$5:$A$124,$B478)=0),"Core ID not in Core Log. ","")&amp;IF(AND($A478&lt;&gt;"",COUNTIF('1. Plot &amp; Site Log'!$A$5:$A$64,$A478)=0),"Plot ID not in Plot &amp; Site Log. ","")&amp;IF(AND(ISNUMBER($E478),ISNUMBER($F478),$F478&lt;=$E478),"Bottom depth is not below top depth. ","")&amp;IF($I478="","Say which bulk-density basis the lab reported. ","")&amp;IF(AND(ISNUMBER($J478),OR($J478&lt;QC_BD_MIN,$J478&gt;QC_BD_MAX)),"Bulk density outside "&amp;QC_BD_MIN&amp;"–"&amp;QC_BD_MAX&amp;" g/cm³ for peat. Above the top of that range usually means the mineral contact has been passed. ","")&amp;IF(AND(ISNUMBER($N478),$N478&gt;QC_CARBON_PCT_MAX),"Carbon above "&amp;QC_CARBON_PCT_MAX&amp;"% — check units; this may be organic matter rather than carbon. ","")&amp;IF(AND($L478&lt;&gt;"",$M478&lt;&gt;""),"Both LOI and measured carbon given — the measured value is used. ","")&amp;IF(AND($M478="",$L478&lt;&gt;"",OM_FACTOR_IS_LOCAL&lt;&gt;"Yes"),"Carbon derived from LOI using the default factor of "&amp;CARBON_FRACTION_OM&amp;", which has not been calibrated locally. See R1. Reference. ","")&amp;IF(AND(ISNUMBER($O478),$O478=0,ISNUMBER($E478)),"Section lies entirely below the reference depth — it counts to the full-profile stock only. ",""))</f>
        <v/>
      </c>
      <c r="U478" s="14" t="n"/>
    </row>
    <row r="479">
      <c r="A479" s="14" t="n"/>
      <c r="B479" s="14" t="n"/>
      <c r="C479" s="14" t="n"/>
      <c r="D479" s="14" t="n"/>
      <c r="E479" s="14" t="n"/>
      <c r="F479" s="14" t="n"/>
      <c r="G479" s="14">
        <f>IF(OR($E479="",$F479=""),"",$F479-$E479)</f>
        <v/>
      </c>
      <c r="H479" s="14" t="n"/>
      <c r="I479" s="14" t="n"/>
      <c r="J479" s="19" t="n"/>
      <c r="K479" s="19" t="n"/>
      <c r="L479" s="19" t="n"/>
      <c r="M479" s="19" t="n"/>
      <c r="N479" s="18">
        <f>IF($M479&lt;&gt;"",$M479,IF($L479&lt;&gt;"",$L479*CARBON_FRACTION_OM,""))</f>
        <v/>
      </c>
      <c r="O479" s="18">
        <f>IF(OR($E479="",$F479=""),"",MAX(0,MIN($F479,REFERENCE_DEPTH_CM)-MIN($E479,REFERENCE_DEPTH_CM)))</f>
        <v/>
      </c>
      <c r="P479" s="18">
        <f>IF(OR($J479="",$N479="",$G479=""),"",$J479*($N479/100)*$G479*10)</f>
        <v/>
      </c>
      <c r="Q479" s="18">
        <f>IF(OR($J479="",$N479="",$O479=""),"",$J479*($N479/100)*$O479*10)</f>
        <v/>
      </c>
      <c r="R479" s="18">
        <f>IF(OR(NOT(ISNUMBER($P479)),NOT(ISNUMBER($G479)),$G479=0),0,$P479/$G479)</f>
        <v/>
      </c>
      <c r="S479" s="18">
        <f>IF(OR($B479="",NOT(ISNUMBER($F479))),"",SUMIFS('3. Peat Data'!$P$5:$P$604,'3. Peat Data'!$B$5:$B$604,$B479,'3. Peat Data'!$F$5:$F$604,"&lt;="&amp;$F479))</f>
        <v/>
      </c>
      <c r="T479" s="18">
        <f>IF(AND($A479="",$B479="",$E479=""),"",IF(AND($B479&lt;&gt;"",COUNTIF('2. Core Log'!$A$5:$A$124,$B479)=0),"Core ID not in Core Log. ","")&amp;IF(AND($A479&lt;&gt;"",COUNTIF('1. Plot &amp; Site Log'!$A$5:$A$64,$A479)=0),"Plot ID not in Plot &amp; Site Log. ","")&amp;IF(AND(ISNUMBER($E479),ISNUMBER($F479),$F479&lt;=$E479),"Bottom depth is not below top depth. ","")&amp;IF($I479="","Say which bulk-density basis the lab reported. ","")&amp;IF(AND(ISNUMBER($J479),OR($J479&lt;QC_BD_MIN,$J479&gt;QC_BD_MAX)),"Bulk density outside "&amp;QC_BD_MIN&amp;"–"&amp;QC_BD_MAX&amp;" g/cm³ for peat. Above the top of that range usually means the mineral contact has been passed. ","")&amp;IF(AND(ISNUMBER($N479),$N479&gt;QC_CARBON_PCT_MAX),"Carbon above "&amp;QC_CARBON_PCT_MAX&amp;"% — check units; this may be organic matter rather than carbon. ","")&amp;IF(AND($L479&lt;&gt;"",$M479&lt;&gt;""),"Both LOI and measured carbon given — the measured value is used. ","")&amp;IF(AND($M479="",$L479&lt;&gt;"",OM_FACTOR_IS_LOCAL&lt;&gt;"Yes"),"Carbon derived from LOI using the default factor of "&amp;CARBON_FRACTION_OM&amp;", which has not been calibrated locally. See R1. Reference. ","")&amp;IF(AND(ISNUMBER($O479),$O479=0,ISNUMBER($E479)),"Section lies entirely below the reference depth — it counts to the full-profile stock only. ",""))</f>
        <v/>
      </c>
      <c r="U479" s="14" t="n"/>
    </row>
    <row r="480">
      <c r="A480" s="14" t="n"/>
      <c r="B480" s="14" t="n"/>
      <c r="C480" s="14" t="n"/>
      <c r="D480" s="14" t="n"/>
      <c r="E480" s="14" t="n"/>
      <c r="F480" s="14" t="n"/>
      <c r="G480" s="14">
        <f>IF(OR($E480="",$F480=""),"",$F480-$E480)</f>
        <v/>
      </c>
      <c r="H480" s="14" t="n"/>
      <c r="I480" s="14" t="n"/>
      <c r="J480" s="19" t="n"/>
      <c r="K480" s="19" t="n"/>
      <c r="L480" s="19" t="n"/>
      <c r="M480" s="19" t="n"/>
      <c r="N480" s="18">
        <f>IF($M480&lt;&gt;"",$M480,IF($L480&lt;&gt;"",$L480*CARBON_FRACTION_OM,""))</f>
        <v/>
      </c>
      <c r="O480" s="18">
        <f>IF(OR($E480="",$F480=""),"",MAX(0,MIN($F480,REFERENCE_DEPTH_CM)-MIN($E480,REFERENCE_DEPTH_CM)))</f>
        <v/>
      </c>
      <c r="P480" s="18">
        <f>IF(OR($J480="",$N480="",$G480=""),"",$J480*($N480/100)*$G480*10)</f>
        <v/>
      </c>
      <c r="Q480" s="18">
        <f>IF(OR($J480="",$N480="",$O480=""),"",$J480*($N480/100)*$O480*10)</f>
        <v/>
      </c>
      <c r="R480" s="18">
        <f>IF(OR(NOT(ISNUMBER($P480)),NOT(ISNUMBER($G480)),$G480=0),0,$P480/$G480)</f>
        <v/>
      </c>
      <c r="S480" s="18">
        <f>IF(OR($B480="",NOT(ISNUMBER($F480))),"",SUMIFS('3. Peat Data'!$P$5:$P$604,'3. Peat Data'!$B$5:$B$604,$B480,'3. Peat Data'!$F$5:$F$604,"&lt;="&amp;$F480))</f>
        <v/>
      </c>
      <c r="T480" s="18">
        <f>IF(AND($A480="",$B480="",$E480=""),"",IF(AND($B480&lt;&gt;"",COUNTIF('2. Core Log'!$A$5:$A$124,$B480)=0),"Core ID not in Core Log. ","")&amp;IF(AND($A480&lt;&gt;"",COUNTIF('1. Plot &amp; Site Log'!$A$5:$A$64,$A480)=0),"Plot ID not in Plot &amp; Site Log. ","")&amp;IF(AND(ISNUMBER($E480),ISNUMBER($F480),$F480&lt;=$E480),"Bottom depth is not below top depth. ","")&amp;IF($I480="","Say which bulk-density basis the lab reported. ","")&amp;IF(AND(ISNUMBER($J480),OR($J480&lt;QC_BD_MIN,$J480&gt;QC_BD_MAX)),"Bulk density outside "&amp;QC_BD_MIN&amp;"–"&amp;QC_BD_MAX&amp;" g/cm³ for peat. Above the top of that range usually means the mineral contact has been passed. ","")&amp;IF(AND(ISNUMBER($N480),$N480&gt;QC_CARBON_PCT_MAX),"Carbon above "&amp;QC_CARBON_PCT_MAX&amp;"% — check units; this may be organic matter rather than carbon. ","")&amp;IF(AND($L480&lt;&gt;"",$M480&lt;&gt;""),"Both LOI and measured carbon given — the measured value is used. ","")&amp;IF(AND($M480="",$L480&lt;&gt;"",OM_FACTOR_IS_LOCAL&lt;&gt;"Yes"),"Carbon derived from LOI using the default factor of "&amp;CARBON_FRACTION_OM&amp;", which has not been calibrated locally. See R1. Reference. ","")&amp;IF(AND(ISNUMBER($O480),$O480=0,ISNUMBER($E480)),"Section lies entirely below the reference depth — it counts to the full-profile stock only. ",""))</f>
        <v/>
      </c>
      <c r="U480" s="14" t="n"/>
    </row>
    <row r="481">
      <c r="A481" s="14" t="n"/>
      <c r="B481" s="14" t="n"/>
      <c r="C481" s="14" t="n"/>
      <c r="D481" s="14" t="n"/>
      <c r="E481" s="14" t="n"/>
      <c r="F481" s="14" t="n"/>
      <c r="G481" s="14">
        <f>IF(OR($E481="",$F481=""),"",$F481-$E481)</f>
        <v/>
      </c>
      <c r="H481" s="14" t="n"/>
      <c r="I481" s="14" t="n"/>
      <c r="J481" s="19" t="n"/>
      <c r="K481" s="19" t="n"/>
      <c r="L481" s="19" t="n"/>
      <c r="M481" s="19" t="n"/>
      <c r="N481" s="18">
        <f>IF($M481&lt;&gt;"",$M481,IF($L481&lt;&gt;"",$L481*CARBON_FRACTION_OM,""))</f>
        <v/>
      </c>
      <c r="O481" s="18">
        <f>IF(OR($E481="",$F481=""),"",MAX(0,MIN($F481,REFERENCE_DEPTH_CM)-MIN($E481,REFERENCE_DEPTH_CM)))</f>
        <v/>
      </c>
      <c r="P481" s="18">
        <f>IF(OR($J481="",$N481="",$G481=""),"",$J481*($N481/100)*$G481*10)</f>
        <v/>
      </c>
      <c r="Q481" s="18">
        <f>IF(OR($J481="",$N481="",$O481=""),"",$J481*($N481/100)*$O481*10)</f>
        <v/>
      </c>
      <c r="R481" s="18">
        <f>IF(OR(NOT(ISNUMBER($P481)),NOT(ISNUMBER($G481)),$G481=0),0,$P481/$G481)</f>
        <v/>
      </c>
      <c r="S481" s="18">
        <f>IF(OR($B481="",NOT(ISNUMBER($F481))),"",SUMIFS('3. Peat Data'!$P$5:$P$604,'3. Peat Data'!$B$5:$B$604,$B481,'3. Peat Data'!$F$5:$F$604,"&lt;="&amp;$F481))</f>
        <v/>
      </c>
      <c r="T481" s="18">
        <f>IF(AND($A481="",$B481="",$E481=""),"",IF(AND($B481&lt;&gt;"",COUNTIF('2. Core Log'!$A$5:$A$124,$B481)=0),"Core ID not in Core Log. ","")&amp;IF(AND($A481&lt;&gt;"",COUNTIF('1. Plot &amp; Site Log'!$A$5:$A$64,$A481)=0),"Plot ID not in Plot &amp; Site Log. ","")&amp;IF(AND(ISNUMBER($E481),ISNUMBER($F481),$F481&lt;=$E481),"Bottom depth is not below top depth. ","")&amp;IF($I481="","Say which bulk-density basis the lab reported. ","")&amp;IF(AND(ISNUMBER($J481),OR($J481&lt;QC_BD_MIN,$J481&gt;QC_BD_MAX)),"Bulk density outside "&amp;QC_BD_MIN&amp;"–"&amp;QC_BD_MAX&amp;" g/cm³ for peat. Above the top of that range usually means the mineral contact has been passed. ","")&amp;IF(AND(ISNUMBER($N481),$N481&gt;QC_CARBON_PCT_MAX),"Carbon above "&amp;QC_CARBON_PCT_MAX&amp;"% — check units; this may be organic matter rather than carbon. ","")&amp;IF(AND($L481&lt;&gt;"",$M481&lt;&gt;""),"Both LOI and measured carbon given — the measured value is used. ","")&amp;IF(AND($M481="",$L481&lt;&gt;"",OM_FACTOR_IS_LOCAL&lt;&gt;"Yes"),"Carbon derived from LOI using the default factor of "&amp;CARBON_FRACTION_OM&amp;", which has not been calibrated locally. See R1. Reference. ","")&amp;IF(AND(ISNUMBER($O481),$O481=0,ISNUMBER($E481)),"Section lies entirely below the reference depth — it counts to the full-profile stock only. ",""))</f>
        <v/>
      </c>
      <c r="U481" s="14" t="n"/>
    </row>
    <row r="482">
      <c r="A482" s="14" t="n"/>
      <c r="B482" s="14" t="n"/>
      <c r="C482" s="14" t="n"/>
      <c r="D482" s="14" t="n"/>
      <c r="E482" s="14" t="n"/>
      <c r="F482" s="14" t="n"/>
      <c r="G482" s="14">
        <f>IF(OR($E482="",$F482=""),"",$F482-$E482)</f>
        <v/>
      </c>
      <c r="H482" s="14" t="n"/>
      <c r="I482" s="14" t="n"/>
      <c r="J482" s="19" t="n"/>
      <c r="K482" s="19" t="n"/>
      <c r="L482" s="19" t="n"/>
      <c r="M482" s="19" t="n"/>
      <c r="N482" s="18">
        <f>IF($M482&lt;&gt;"",$M482,IF($L482&lt;&gt;"",$L482*CARBON_FRACTION_OM,""))</f>
        <v/>
      </c>
      <c r="O482" s="18">
        <f>IF(OR($E482="",$F482=""),"",MAX(0,MIN($F482,REFERENCE_DEPTH_CM)-MIN($E482,REFERENCE_DEPTH_CM)))</f>
        <v/>
      </c>
      <c r="P482" s="18">
        <f>IF(OR($J482="",$N482="",$G482=""),"",$J482*($N482/100)*$G482*10)</f>
        <v/>
      </c>
      <c r="Q482" s="18">
        <f>IF(OR($J482="",$N482="",$O482=""),"",$J482*($N482/100)*$O482*10)</f>
        <v/>
      </c>
      <c r="R482" s="18">
        <f>IF(OR(NOT(ISNUMBER($P482)),NOT(ISNUMBER($G482)),$G482=0),0,$P482/$G482)</f>
        <v/>
      </c>
      <c r="S482" s="18">
        <f>IF(OR($B482="",NOT(ISNUMBER($F482))),"",SUMIFS('3. Peat Data'!$P$5:$P$604,'3. Peat Data'!$B$5:$B$604,$B482,'3. Peat Data'!$F$5:$F$604,"&lt;="&amp;$F482))</f>
        <v/>
      </c>
      <c r="T482" s="18">
        <f>IF(AND($A482="",$B482="",$E482=""),"",IF(AND($B482&lt;&gt;"",COUNTIF('2. Core Log'!$A$5:$A$124,$B482)=0),"Core ID not in Core Log. ","")&amp;IF(AND($A482&lt;&gt;"",COUNTIF('1. Plot &amp; Site Log'!$A$5:$A$64,$A482)=0),"Plot ID not in Plot &amp; Site Log. ","")&amp;IF(AND(ISNUMBER($E482),ISNUMBER($F482),$F482&lt;=$E482),"Bottom depth is not below top depth. ","")&amp;IF($I482="","Say which bulk-density basis the lab reported. ","")&amp;IF(AND(ISNUMBER($J482),OR($J482&lt;QC_BD_MIN,$J482&gt;QC_BD_MAX)),"Bulk density outside "&amp;QC_BD_MIN&amp;"–"&amp;QC_BD_MAX&amp;" g/cm³ for peat. Above the top of that range usually means the mineral contact has been passed. ","")&amp;IF(AND(ISNUMBER($N482),$N482&gt;QC_CARBON_PCT_MAX),"Carbon above "&amp;QC_CARBON_PCT_MAX&amp;"% — check units; this may be organic matter rather than carbon. ","")&amp;IF(AND($L482&lt;&gt;"",$M482&lt;&gt;""),"Both LOI and measured carbon given — the measured value is used. ","")&amp;IF(AND($M482="",$L482&lt;&gt;"",OM_FACTOR_IS_LOCAL&lt;&gt;"Yes"),"Carbon derived from LOI using the default factor of "&amp;CARBON_FRACTION_OM&amp;", which has not been calibrated locally. See R1. Reference. ","")&amp;IF(AND(ISNUMBER($O482),$O482=0,ISNUMBER($E482)),"Section lies entirely below the reference depth — it counts to the full-profile stock only. ",""))</f>
        <v/>
      </c>
      <c r="U482" s="14" t="n"/>
    </row>
    <row r="483">
      <c r="A483" s="14" t="n"/>
      <c r="B483" s="14" t="n"/>
      <c r="C483" s="14" t="n"/>
      <c r="D483" s="14" t="n"/>
      <c r="E483" s="14" t="n"/>
      <c r="F483" s="14" t="n"/>
      <c r="G483" s="14">
        <f>IF(OR($E483="",$F483=""),"",$F483-$E483)</f>
        <v/>
      </c>
      <c r="H483" s="14" t="n"/>
      <c r="I483" s="14" t="n"/>
      <c r="J483" s="19" t="n"/>
      <c r="K483" s="19" t="n"/>
      <c r="L483" s="19" t="n"/>
      <c r="M483" s="19" t="n"/>
      <c r="N483" s="18">
        <f>IF($M483&lt;&gt;"",$M483,IF($L483&lt;&gt;"",$L483*CARBON_FRACTION_OM,""))</f>
        <v/>
      </c>
      <c r="O483" s="18">
        <f>IF(OR($E483="",$F483=""),"",MAX(0,MIN($F483,REFERENCE_DEPTH_CM)-MIN($E483,REFERENCE_DEPTH_CM)))</f>
        <v/>
      </c>
      <c r="P483" s="18">
        <f>IF(OR($J483="",$N483="",$G483=""),"",$J483*($N483/100)*$G483*10)</f>
        <v/>
      </c>
      <c r="Q483" s="18">
        <f>IF(OR($J483="",$N483="",$O483=""),"",$J483*($N483/100)*$O483*10)</f>
        <v/>
      </c>
      <c r="R483" s="18">
        <f>IF(OR(NOT(ISNUMBER($P483)),NOT(ISNUMBER($G483)),$G483=0),0,$P483/$G483)</f>
        <v/>
      </c>
      <c r="S483" s="18">
        <f>IF(OR($B483="",NOT(ISNUMBER($F483))),"",SUMIFS('3. Peat Data'!$P$5:$P$604,'3. Peat Data'!$B$5:$B$604,$B483,'3. Peat Data'!$F$5:$F$604,"&lt;="&amp;$F483))</f>
        <v/>
      </c>
      <c r="T483" s="18">
        <f>IF(AND($A483="",$B483="",$E483=""),"",IF(AND($B483&lt;&gt;"",COUNTIF('2. Core Log'!$A$5:$A$124,$B483)=0),"Core ID not in Core Log. ","")&amp;IF(AND($A483&lt;&gt;"",COUNTIF('1. Plot &amp; Site Log'!$A$5:$A$64,$A483)=0),"Plot ID not in Plot &amp; Site Log. ","")&amp;IF(AND(ISNUMBER($E483),ISNUMBER($F483),$F483&lt;=$E483),"Bottom depth is not below top depth. ","")&amp;IF($I483="","Say which bulk-density basis the lab reported. ","")&amp;IF(AND(ISNUMBER($J483),OR($J483&lt;QC_BD_MIN,$J483&gt;QC_BD_MAX)),"Bulk density outside "&amp;QC_BD_MIN&amp;"–"&amp;QC_BD_MAX&amp;" g/cm³ for peat. Above the top of that range usually means the mineral contact has been passed. ","")&amp;IF(AND(ISNUMBER($N483),$N483&gt;QC_CARBON_PCT_MAX),"Carbon above "&amp;QC_CARBON_PCT_MAX&amp;"% — check units; this may be organic matter rather than carbon. ","")&amp;IF(AND($L483&lt;&gt;"",$M483&lt;&gt;""),"Both LOI and measured carbon given — the measured value is used. ","")&amp;IF(AND($M483="",$L483&lt;&gt;"",OM_FACTOR_IS_LOCAL&lt;&gt;"Yes"),"Carbon derived from LOI using the default factor of "&amp;CARBON_FRACTION_OM&amp;", which has not been calibrated locally. See R1. Reference. ","")&amp;IF(AND(ISNUMBER($O483),$O483=0,ISNUMBER($E483)),"Section lies entirely below the reference depth — it counts to the full-profile stock only. ",""))</f>
        <v/>
      </c>
      <c r="U483" s="14" t="n"/>
    </row>
    <row r="484">
      <c r="A484" s="14" t="n"/>
      <c r="B484" s="14" t="n"/>
      <c r="C484" s="14" t="n"/>
      <c r="D484" s="14" t="n"/>
      <c r="E484" s="14" t="n"/>
      <c r="F484" s="14" t="n"/>
      <c r="G484" s="14">
        <f>IF(OR($E484="",$F484=""),"",$F484-$E484)</f>
        <v/>
      </c>
      <c r="H484" s="14" t="n"/>
      <c r="I484" s="14" t="n"/>
      <c r="J484" s="19" t="n"/>
      <c r="K484" s="19" t="n"/>
      <c r="L484" s="19" t="n"/>
      <c r="M484" s="19" t="n"/>
      <c r="N484" s="18">
        <f>IF($M484&lt;&gt;"",$M484,IF($L484&lt;&gt;"",$L484*CARBON_FRACTION_OM,""))</f>
        <v/>
      </c>
      <c r="O484" s="18">
        <f>IF(OR($E484="",$F484=""),"",MAX(0,MIN($F484,REFERENCE_DEPTH_CM)-MIN($E484,REFERENCE_DEPTH_CM)))</f>
        <v/>
      </c>
      <c r="P484" s="18">
        <f>IF(OR($J484="",$N484="",$G484=""),"",$J484*($N484/100)*$G484*10)</f>
        <v/>
      </c>
      <c r="Q484" s="18">
        <f>IF(OR($J484="",$N484="",$O484=""),"",$J484*($N484/100)*$O484*10)</f>
        <v/>
      </c>
      <c r="R484" s="18">
        <f>IF(OR(NOT(ISNUMBER($P484)),NOT(ISNUMBER($G484)),$G484=0),0,$P484/$G484)</f>
        <v/>
      </c>
      <c r="S484" s="18">
        <f>IF(OR($B484="",NOT(ISNUMBER($F484))),"",SUMIFS('3. Peat Data'!$P$5:$P$604,'3. Peat Data'!$B$5:$B$604,$B484,'3. Peat Data'!$F$5:$F$604,"&lt;="&amp;$F484))</f>
        <v/>
      </c>
      <c r="T484" s="18">
        <f>IF(AND($A484="",$B484="",$E484=""),"",IF(AND($B484&lt;&gt;"",COUNTIF('2. Core Log'!$A$5:$A$124,$B484)=0),"Core ID not in Core Log. ","")&amp;IF(AND($A484&lt;&gt;"",COUNTIF('1. Plot &amp; Site Log'!$A$5:$A$64,$A484)=0),"Plot ID not in Plot &amp; Site Log. ","")&amp;IF(AND(ISNUMBER($E484),ISNUMBER($F484),$F484&lt;=$E484),"Bottom depth is not below top depth. ","")&amp;IF($I484="","Say which bulk-density basis the lab reported. ","")&amp;IF(AND(ISNUMBER($J484),OR($J484&lt;QC_BD_MIN,$J484&gt;QC_BD_MAX)),"Bulk density outside "&amp;QC_BD_MIN&amp;"–"&amp;QC_BD_MAX&amp;" g/cm³ for peat. Above the top of that range usually means the mineral contact has been passed. ","")&amp;IF(AND(ISNUMBER($N484),$N484&gt;QC_CARBON_PCT_MAX),"Carbon above "&amp;QC_CARBON_PCT_MAX&amp;"% — check units; this may be organic matter rather than carbon. ","")&amp;IF(AND($L484&lt;&gt;"",$M484&lt;&gt;""),"Both LOI and measured carbon given — the measured value is used. ","")&amp;IF(AND($M484="",$L484&lt;&gt;"",OM_FACTOR_IS_LOCAL&lt;&gt;"Yes"),"Carbon derived from LOI using the default factor of "&amp;CARBON_FRACTION_OM&amp;", which has not been calibrated locally. See R1. Reference. ","")&amp;IF(AND(ISNUMBER($O484),$O484=0,ISNUMBER($E484)),"Section lies entirely below the reference depth — it counts to the full-profile stock only. ",""))</f>
        <v/>
      </c>
      <c r="U484" s="14" t="n"/>
    </row>
    <row r="485">
      <c r="A485" s="14" t="n"/>
      <c r="B485" s="14" t="n"/>
      <c r="C485" s="14" t="n"/>
      <c r="D485" s="14" t="n"/>
      <c r="E485" s="14" t="n"/>
      <c r="F485" s="14" t="n"/>
      <c r="G485" s="14">
        <f>IF(OR($E485="",$F485=""),"",$F485-$E485)</f>
        <v/>
      </c>
      <c r="H485" s="14" t="n"/>
      <c r="I485" s="14" t="n"/>
      <c r="J485" s="19" t="n"/>
      <c r="K485" s="19" t="n"/>
      <c r="L485" s="19" t="n"/>
      <c r="M485" s="19" t="n"/>
      <c r="N485" s="18">
        <f>IF($M485&lt;&gt;"",$M485,IF($L485&lt;&gt;"",$L485*CARBON_FRACTION_OM,""))</f>
        <v/>
      </c>
      <c r="O485" s="18">
        <f>IF(OR($E485="",$F485=""),"",MAX(0,MIN($F485,REFERENCE_DEPTH_CM)-MIN($E485,REFERENCE_DEPTH_CM)))</f>
        <v/>
      </c>
      <c r="P485" s="18">
        <f>IF(OR($J485="",$N485="",$G485=""),"",$J485*($N485/100)*$G485*10)</f>
        <v/>
      </c>
      <c r="Q485" s="18">
        <f>IF(OR($J485="",$N485="",$O485=""),"",$J485*($N485/100)*$O485*10)</f>
        <v/>
      </c>
      <c r="R485" s="18">
        <f>IF(OR(NOT(ISNUMBER($P485)),NOT(ISNUMBER($G485)),$G485=0),0,$P485/$G485)</f>
        <v/>
      </c>
      <c r="S485" s="18">
        <f>IF(OR($B485="",NOT(ISNUMBER($F485))),"",SUMIFS('3. Peat Data'!$P$5:$P$604,'3. Peat Data'!$B$5:$B$604,$B485,'3. Peat Data'!$F$5:$F$604,"&lt;="&amp;$F485))</f>
        <v/>
      </c>
      <c r="T485" s="18">
        <f>IF(AND($A485="",$B485="",$E485=""),"",IF(AND($B485&lt;&gt;"",COUNTIF('2. Core Log'!$A$5:$A$124,$B485)=0),"Core ID not in Core Log. ","")&amp;IF(AND($A485&lt;&gt;"",COUNTIF('1. Plot &amp; Site Log'!$A$5:$A$64,$A485)=0),"Plot ID not in Plot &amp; Site Log. ","")&amp;IF(AND(ISNUMBER($E485),ISNUMBER($F485),$F485&lt;=$E485),"Bottom depth is not below top depth. ","")&amp;IF($I485="","Say which bulk-density basis the lab reported. ","")&amp;IF(AND(ISNUMBER($J485),OR($J485&lt;QC_BD_MIN,$J485&gt;QC_BD_MAX)),"Bulk density outside "&amp;QC_BD_MIN&amp;"–"&amp;QC_BD_MAX&amp;" g/cm³ for peat. Above the top of that range usually means the mineral contact has been passed. ","")&amp;IF(AND(ISNUMBER($N485),$N485&gt;QC_CARBON_PCT_MAX),"Carbon above "&amp;QC_CARBON_PCT_MAX&amp;"% — check units; this may be organic matter rather than carbon. ","")&amp;IF(AND($L485&lt;&gt;"",$M485&lt;&gt;""),"Both LOI and measured carbon given — the measured value is used. ","")&amp;IF(AND($M485="",$L485&lt;&gt;"",OM_FACTOR_IS_LOCAL&lt;&gt;"Yes"),"Carbon derived from LOI using the default factor of "&amp;CARBON_FRACTION_OM&amp;", which has not been calibrated locally. See R1. Reference. ","")&amp;IF(AND(ISNUMBER($O485),$O485=0,ISNUMBER($E485)),"Section lies entirely below the reference depth — it counts to the full-profile stock only. ",""))</f>
        <v/>
      </c>
      <c r="U485" s="14" t="n"/>
    </row>
    <row r="486">
      <c r="A486" s="14" t="n"/>
      <c r="B486" s="14" t="n"/>
      <c r="C486" s="14" t="n"/>
      <c r="D486" s="14" t="n"/>
      <c r="E486" s="14" t="n"/>
      <c r="F486" s="14" t="n"/>
      <c r="G486" s="14">
        <f>IF(OR($E486="",$F486=""),"",$F486-$E486)</f>
        <v/>
      </c>
      <c r="H486" s="14" t="n"/>
      <c r="I486" s="14" t="n"/>
      <c r="J486" s="19" t="n"/>
      <c r="K486" s="19" t="n"/>
      <c r="L486" s="19" t="n"/>
      <c r="M486" s="19" t="n"/>
      <c r="N486" s="18">
        <f>IF($M486&lt;&gt;"",$M486,IF($L486&lt;&gt;"",$L486*CARBON_FRACTION_OM,""))</f>
        <v/>
      </c>
      <c r="O486" s="18">
        <f>IF(OR($E486="",$F486=""),"",MAX(0,MIN($F486,REFERENCE_DEPTH_CM)-MIN($E486,REFERENCE_DEPTH_CM)))</f>
        <v/>
      </c>
      <c r="P486" s="18">
        <f>IF(OR($J486="",$N486="",$G486=""),"",$J486*($N486/100)*$G486*10)</f>
        <v/>
      </c>
      <c r="Q486" s="18">
        <f>IF(OR($J486="",$N486="",$O486=""),"",$J486*($N486/100)*$O486*10)</f>
        <v/>
      </c>
      <c r="R486" s="18">
        <f>IF(OR(NOT(ISNUMBER($P486)),NOT(ISNUMBER($G486)),$G486=0),0,$P486/$G486)</f>
        <v/>
      </c>
      <c r="S486" s="18">
        <f>IF(OR($B486="",NOT(ISNUMBER($F486))),"",SUMIFS('3. Peat Data'!$P$5:$P$604,'3. Peat Data'!$B$5:$B$604,$B486,'3. Peat Data'!$F$5:$F$604,"&lt;="&amp;$F486))</f>
        <v/>
      </c>
      <c r="T486" s="18">
        <f>IF(AND($A486="",$B486="",$E486=""),"",IF(AND($B486&lt;&gt;"",COUNTIF('2. Core Log'!$A$5:$A$124,$B486)=0),"Core ID not in Core Log. ","")&amp;IF(AND($A486&lt;&gt;"",COUNTIF('1. Plot &amp; Site Log'!$A$5:$A$64,$A486)=0),"Plot ID not in Plot &amp; Site Log. ","")&amp;IF(AND(ISNUMBER($E486),ISNUMBER($F486),$F486&lt;=$E486),"Bottom depth is not below top depth. ","")&amp;IF($I486="","Say which bulk-density basis the lab reported. ","")&amp;IF(AND(ISNUMBER($J486),OR($J486&lt;QC_BD_MIN,$J486&gt;QC_BD_MAX)),"Bulk density outside "&amp;QC_BD_MIN&amp;"–"&amp;QC_BD_MAX&amp;" g/cm³ for peat. Above the top of that range usually means the mineral contact has been passed. ","")&amp;IF(AND(ISNUMBER($N486),$N486&gt;QC_CARBON_PCT_MAX),"Carbon above "&amp;QC_CARBON_PCT_MAX&amp;"% — check units; this may be organic matter rather than carbon. ","")&amp;IF(AND($L486&lt;&gt;"",$M486&lt;&gt;""),"Both LOI and measured carbon given — the measured value is used. ","")&amp;IF(AND($M486="",$L486&lt;&gt;"",OM_FACTOR_IS_LOCAL&lt;&gt;"Yes"),"Carbon derived from LOI using the default factor of "&amp;CARBON_FRACTION_OM&amp;", which has not been calibrated locally. See R1. Reference. ","")&amp;IF(AND(ISNUMBER($O486),$O486=0,ISNUMBER($E486)),"Section lies entirely below the reference depth — it counts to the full-profile stock only. ",""))</f>
        <v/>
      </c>
      <c r="U486" s="14" t="n"/>
    </row>
    <row r="487">
      <c r="A487" s="14" t="n"/>
      <c r="B487" s="14" t="n"/>
      <c r="C487" s="14" t="n"/>
      <c r="D487" s="14" t="n"/>
      <c r="E487" s="14" t="n"/>
      <c r="F487" s="14" t="n"/>
      <c r="G487" s="14">
        <f>IF(OR($E487="",$F487=""),"",$F487-$E487)</f>
        <v/>
      </c>
      <c r="H487" s="14" t="n"/>
      <c r="I487" s="14" t="n"/>
      <c r="J487" s="19" t="n"/>
      <c r="K487" s="19" t="n"/>
      <c r="L487" s="19" t="n"/>
      <c r="M487" s="19" t="n"/>
      <c r="N487" s="18">
        <f>IF($M487&lt;&gt;"",$M487,IF($L487&lt;&gt;"",$L487*CARBON_FRACTION_OM,""))</f>
        <v/>
      </c>
      <c r="O487" s="18">
        <f>IF(OR($E487="",$F487=""),"",MAX(0,MIN($F487,REFERENCE_DEPTH_CM)-MIN($E487,REFERENCE_DEPTH_CM)))</f>
        <v/>
      </c>
      <c r="P487" s="18">
        <f>IF(OR($J487="",$N487="",$G487=""),"",$J487*($N487/100)*$G487*10)</f>
        <v/>
      </c>
      <c r="Q487" s="18">
        <f>IF(OR($J487="",$N487="",$O487=""),"",$J487*($N487/100)*$O487*10)</f>
        <v/>
      </c>
      <c r="R487" s="18">
        <f>IF(OR(NOT(ISNUMBER($P487)),NOT(ISNUMBER($G487)),$G487=0),0,$P487/$G487)</f>
        <v/>
      </c>
      <c r="S487" s="18">
        <f>IF(OR($B487="",NOT(ISNUMBER($F487))),"",SUMIFS('3. Peat Data'!$P$5:$P$604,'3. Peat Data'!$B$5:$B$604,$B487,'3. Peat Data'!$F$5:$F$604,"&lt;="&amp;$F487))</f>
        <v/>
      </c>
      <c r="T487" s="18">
        <f>IF(AND($A487="",$B487="",$E487=""),"",IF(AND($B487&lt;&gt;"",COUNTIF('2. Core Log'!$A$5:$A$124,$B487)=0),"Core ID not in Core Log. ","")&amp;IF(AND($A487&lt;&gt;"",COUNTIF('1. Plot &amp; Site Log'!$A$5:$A$64,$A487)=0),"Plot ID not in Plot &amp; Site Log. ","")&amp;IF(AND(ISNUMBER($E487),ISNUMBER($F487),$F487&lt;=$E487),"Bottom depth is not below top depth. ","")&amp;IF($I487="","Say which bulk-density basis the lab reported. ","")&amp;IF(AND(ISNUMBER($J487),OR($J487&lt;QC_BD_MIN,$J487&gt;QC_BD_MAX)),"Bulk density outside "&amp;QC_BD_MIN&amp;"–"&amp;QC_BD_MAX&amp;" g/cm³ for peat. Above the top of that range usually means the mineral contact has been passed. ","")&amp;IF(AND(ISNUMBER($N487),$N487&gt;QC_CARBON_PCT_MAX),"Carbon above "&amp;QC_CARBON_PCT_MAX&amp;"% — check units; this may be organic matter rather than carbon. ","")&amp;IF(AND($L487&lt;&gt;"",$M487&lt;&gt;""),"Both LOI and measured carbon given — the measured value is used. ","")&amp;IF(AND($M487="",$L487&lt;&gt;"",OM_FACTOR_IS_LOCAL&lt;&gt;"Yes"),"Carbon derived from LOI using the default factor of "&amp;CARBON_FRACTION_OM&amp;", which has not been calibrated locally. See R1. Reference. ","")&amp;IF(AND(ISNUMBER($O487),$O487=0,ISNUMBER($E487)),"Section lies entirely below the reference depth — it counts to the full-profile stock only. ",""))</f>
        <v/>
      </c>
      <c r="U487" s="14" t="n"/>
    </row>
    <row r="488">
      <c r="A488" s="14" t="n"/>
      <c r="B488" s="14" t="n"/>
      <c r="C488" s="14" t="n"/>
      <c r="D488" s="14" t="n"/>
      <c r="E488" s="14" t="n"/>
      <c r="F488" s="14" t="n"/>
      <c r="G488" s="14">
        <f>IF(OR($E488="",$F488=""),"",$F488-$E488)</f>
        <v/>
      </c>
      <c r="H488" s="14" t="n"/>
      <c r="I488" s="14" t="n"/>
      <c r="J488" s="19" t="n"/>
      <c r="K488" s="19" t="n"/>
      <c r="L488" s="19" t="n"/>
      <c r="M488" s="19" t="n"/>
      <c r="N488" s="18">
        <f>IF($M488&lt;&gt;"",$M488,IF($L488&lt;&gt;"",$L488*CARBON_FRACTION_OM,""))</f>
        <v/>
      </c>
      <c r="O488" s="18">
        <f>IF(OR($E488="",$F488=""),"",MAX(0,MIN($F488,REFERENCE_DEPTH_CM)-MIN($E488,REFERENCE_DEPTH_CM)))</f>
        <v/>
      </c>
      <c r="P488" s="18">
        <f>IF(OR($J488="",$N488="",$G488=""),"",$J488*($N488/100)*$G488*10)</f>
        <v/>
      </c>
      <c r="Q488" s="18">
        <f>IF(OR($J488="",$N488="",$O488=""),"",$J488*($N488/100)*$O488*10)</f>
        <v/>
      </c>
      <c r="R488" s="18">
        <f>IF(OR(NOT(ISNUMBER($P488)),NOT(ISNUMBER($G488)),$G488=0),0,$P488/$G488)</f>
        <v/>
      </c>
      <c r="S488" s="18">
        <f>IF(OR($B488="",NOT(ISNUMBER($F488))),"",SUMIFS('3. Peat Data'!$P$5:$P$604,'3. Peat Data'!$B$5:$B$604,$B488,'3. Peat Data'!$F$5:$F$604,"&lt;="&amp;$F488))</f>
        <v/>
      </c>
      <c r="T488" s="18">
        <f>IF(AND($A488="",$B488="",$E488=""),"",IF(AND($B488&lt;&gt;"",COUNTIF('2. Core Log'!$A$5:$A$124,$B488)=0),"Core ID not in Core Log. ","")&amp;IF(AND($A488&lt;&gt;"",COUNTIF('1. Plot &amp; Site Log'!$A$5:$A$64,$A488)=0),"Plot ID not in Plot &amp; Site Log. ","")&amp;IF(AND(ISNUMBER($E488),ISNUMBER($F488),$F488&lt;=$E488),"Bottom depth is not below top depth. ","")&amp;IF($I488="","Say which bulk-density basis the lab reported. ","")&amp;IF(AND(ISNUMBER($J488),OR($J488&lt;QC_BD_MIN,$J488&gt;QC_BD_MAX)),"Bulk density outside "&amp;QC_BD_MIN&amp;"–"&amp;QC_BD_MAX&amp;" g/cm³ for peat. Above the top of that range usually means the mineral contact has been passed. ","")&amp;IF(AND(ISNUMBER($N488),$N488&gt;QC_CARBON_PCT_MAX),"Carbon above "&amp;QC_CARBON_PCT_MAX&amp;"% — check units; this may be organic matter rather than carbon. ","")&amp;IF(AND($L488&lt;&gt;"",$M488&lt;&gt;""),"Both LOI and measured carbon given — the measured value is used. ","")&amp;IF(AND($M488="",$L488&lt;&gt;"",OM_FACTOR_IS_LOCAL&lt;&gt;"Yes"),"Carbon derived from LOI using the default factor of "&amp;CARBON_FRACTION_OM&amp;", which has not been calibrated locally. See R1. Reference. ","")&amp;IF(AND(ISNUMBER($O488),$O488=0,ISNUMBER($E488)),"Section lies entirely below the reference depth — it counts to the full-profile stock only. ",""))</f>
        <v/>
      </c>
      <c r="U488" s="14" t="n"/>
    </row>
    <row r="489">
      <c r="A489" s="14" t="n"/>
      <c r="B489" s="14" t="n"/>
      <c r="C489" s="14" t="n"/>
      <c r="D489" s="14" t="n"/>
      <c r="E489" s="14" t="n"/>
      <c r="F489" s="14" t="n"/>
      <c r="G489" s="14">
        <f>IF(OR($E489="",$F489=""),"",$F489-$E489)</f>
        <v/>
      </c>
      <c r="H489" s="14" t="n"/>
      <c r="I489" s="14" t="n"/>
      <c r="J489" s="19" t="n"/>
      <c r="K489" s="19" t="n"/>
      <c r="L489" s="19" t="n"/>
      <c r="M489" s="19" t="n"/>
      <c r="N489" s="18">
        <f>IF($M489&lt;&gt;"",$M489,IF($L489&lt;&gt;"",$L489*CARBON_FRACTION_OM,""))</f>
        <v/>
      </c>
      <c r="O489" s="18">
        <f>IF(OR($E489="",$F489=""),"",MAX(0,MIN($F489,REFERENCE_DEPTH_CM)-MIN($E489,REFERENCE_DEPTH_CM)))</f>
        <v/>
      </c>
      <c r="P489" s="18">
        <f>IF(OR($J489="",$N489="",$G489=""),"",$J489*($N489/100)*$G489*10)</f>
        <v/>
      </c>
      <c r="Q489" s="18">
        <f>IF(OR($J489="",$N489="",$O489=""),"",$J489*($N489/100)*$O489*10)</f>
        <v/>
      </c>
      <c r="R489" s="18">
        <f>IF(OR(NOT(ISNUMBER($P489)),NOT(ISNUMBER($G489)),$G489=0),0,$P489/$G489)</f>
        <v/>
      </c>
      <c r="S489" s="18">
        <f>IF(OR($B489="",NOT(ISNUMBER($F489))),"",SUMIFS('3. Peat Data'!$P$5:$P$604,'3. Peat Data'!$B$5:$B$604,$B489,'3. Peat Data'!$F$5:$F$604,"&lt;="&amp;$F489))</f>
        <v/>
      </c>
      <c r="T489" s="18">
        <f>IF(AND($A489="",$B489="",$E489=""),"",IF(AND($B489&lt;&gt;"",COUNTIF('2. Core Log'!$A$5:$A$124,$B489)=0),"Core ID not in Core Log. ","")&amp;IF(AND($A489&lt;&gt;"",COUNTIF('1. Plot &amp; Site Log'!$A$5:$A$64,$A489)=0),"Plot ID not in Plot &amp; Site Log. ","")&amp;IF(AND(ISNUMBER($E489),ISNUMBER($F489),$F489&lt;=$E489),"Bottom depth is not below top depth. ","")&amp;IF($I489="","Say which bulk-density basis the lab reported. ","")&amp;IF(AND(ISNUMBER($J489),OR($J489&lt;QC_BD_MIN,$J489&gt;QC_BD_MAX)),"Bulk density outside "&amp;QC_BD_MIN&amp;"–"&amp;QC_BD_MAX&amp;" g/cm³ for peat. Above the top of that range usually means the mineral contact has been passed. ","")&amp;IF(AND(ISNUMBER($N489),$N489&gt;QC_CARBON_PCT_MAX),"Carbon above "&amp;QC_CARBON_PCT_MAX&amp;"% — check units; this may be organic matter rather than carbon. ","")&amp;IF(AND($L489&lt;&gt;"",$M489&lt;&gt;""),"Both LOI and measured carbon given — the measured value is used. ","")&amp;IF(AND($M489="",$L489&lt;&gt;"",OM_FACTOR_IS_LOCAL&lt;&gt;"Yes"),"Carbon derived from LOI using the default factor of "&amp;CARBON_FRACTION_OM&amp;", which has not been calibrated locally. See R1. Reference. ","")&amp;IF(AND(ISNUMBER($O489),$O489=0,ISNUMBER($E489)),"Section lies entirely below the reference depth — it counts to the full-profile stock only. ",""))</f>
        <v/>
      </c>
      <c r="U489" s="14" t="n"/>
    </row>
    <row r="490">
      <c r="A490" s="14" t="n"/>
      <c r="B490" s="14" t="n"/>
      <c r="C490" s="14" t="n"/>
      <c r="D490" s="14" t="n"/>
      <c r="E490" s="14" t="n"/>
      <c r="F490" s="14" t="n"/>
      <c r="G490" s="14">
        <f>IF(OR($E490="",$F490=""),"",$F490-$E490)</f>
        <v/>
      </c>
      <c r="H490" s="14" t="n"/>
      <c r="I490" s="14" t="n"/>
      <c r="J490" s="19" t="n"/>
      <c r="K490" s="19" t="n"/>
      <c r="L490" s="19" t="n"/>
      <c r="M490" s="19" t="n"/>
      <c r="N490" s="18">
        <f>IF($M490&lt;&gt;"",$M490,IF($L490&lt;&gt;"",$L490*CARBON_FRACTION_OM,""))</f>
        <v/>
      </c>
      <c r="O490" s="18">
        <f>IF(OR($E490="",$F490=""),"",MAX(0,MIN($F490,REFERENCE_DEPTH_CM)-MIN($E490,REFERENCE_DEPTH_CM)))</f>
        <v/>
      </c>
      <c r="P490" s="18">
        <f>IF(OR($J490="",$N490="",$G490=""),"",$J490*($N490/100)*$G490*10)</f>
        <v/>
      </c>
      <c r="Q490" s="18">
        <f>IF(OR($J490="",$N490="",$O490=""),"",$J490*($N490/100)*$O490*10)</f>
        <v/>
      </c>
      <c r="R490" s="18">
        <f>IF(OR(NOT(ISNUMBER($P490)),NOT(ISNUMBER($G490)),$G490=0),0,$P490/$G490)</f>
        <v/>
      </c>
      <c r="S490" s="18">
        <f>IF(OR($B490="",NOT(ISNUMBER($F490))),"",SUMIFS('3. Peat Data'!$P$5:$P$604,'3. Peat Data'!$B$5:$B$604,$B490,'3. Peat Data'!$F$5:$F$604,"&lt;="&amp;$F490))</f>
        <v/>
      </c>
      <c r="T490" s="18">
        <f>IF(AND($A490="",$B490="",$E490=""),"",IF(AND($B490&lt;&gt;"",COUNTIF('2. Core Log'!$A$5:$A$124,$B490)=0),"Core ID not in Core Log. ","")&amp;IF(AND($A490&lt;&gt;"",COUNTIF('1. Plot &amp; Site Log'!$A$5:$A$64,$A490)=0),"Plot ID not in Plot &amp; Site Log. ","")&amp;IF(AND(ISNUMBER($E490),ISNUMBER($F490),$F490&lt;=$E490),"Bottom depth is not below top depth. ","")&amp;IF($I490="","Say which bulk-density basis the lab reported. ","")&amp;IF(AND(ISNUMBER($J490),OR($J490&lt;QC_BD_MIN,$J490&gt;QC_BD_MAX)),"Bulk density outside "&amp;QC_BD_MIN&amp;"–"&amp;QC_BD_MAX&amp;" g/cm³ for peat. Above the top of that range usually means the mineral contact has been passed. ","")&amp;IF(AND(ISNUMBER($N490),$N490&gt;QC_CARBON_PCT_MAX),"Carbon above "&amp;QC_CARBON_PCT_MAX&amp;"% — check units; this may be organic matter rather than carbon. ","")&amp;IF(AND($L490&lt;&gt;"",$M490&lt;&gt;""),"Both LOI and measured carbon given — the measured value is used. ","")&amp;IF(AND($M490="",$L490&lt;&gt;"",OM_FACTOR_IS_LOCAL&lt;&gt;"Yes"),"Carbon derived from LOI using the default factor of "&amp;CARBON_FRACTION_OM&amp;", which has not been calibrated locally. See R1. Reference. ","")&amp;IF(AND(ISNUMBER($O490),$O490=0,ISNUMBER($E490)),"Section lies entirely below the reference depth — it counts to the full-profile stock only. ",""))</f>
        <v/>
      </c>
      <c r="U490" s="14" t="n"/>
    </row>
    <row r="491">
      <c r="A491" s="14" t="n"/>
      <c r="B491" s="14" t="n"/>
      <c r="C491" s="14" t="n"/>
      <c r="D491" s="14" t="n"/>
      <c r="E491" s="14" t="n"/>
      <c r="F491" s="14" t="n"/>
      <c r="G491" s="14">
        <f>IF(OR($E491="",$F491=""),"",$F491-$E491)</f>
        <v/>
      </c>
      <c r="H491" s="14" t="n"/>
      <c r="I491" s="14" t="n"/>
      <c r="J491" s="19" t="n"/>
      <c r="K491" s="19" t="n"/>
      <c r="L491" s="19" t="n"/>
      <c r="M491" s="19" t="n"/>
      <c r="N491" s="18">
        <f>IF($M491&lt;&gt;"",$M491,IF($L491&lt;&gt;"",$L491*CARBON_FRACTION_OM,""))</f>
        <v/>
      </c>
      <c r="O491" s="18">
        <f>IF(OR($E491="",$F491=""),"",MAX(0,MIN($F491,REFERENCE_DEPTH_CM)-MIN($E491,REFERENCE_DEPTH_CM)))</f>
        <v/>
      </c>
      <c r="P491" s="18">
        <f>IF(OR($J491="",$N491="",$G491=""),"",$J491*($N491/100)*$G491*10)</f>
        <v/>
      </c>
      <c r="Q491" s="18">
        <f>IF(OR($J491="",$N491="",$O491=""),"",$J491*($N491/100)*$O491*10)</f>
        <v/>
      </c>
      <c r="R491" s="18">
        <f>IF(OR(NOT(ISNUMBER($P491)),NOT(ISNUMBER($G491)),$G491=0),0,$P491/$G491)</f>
        <v/>
      </c>
      <c r="S491" s="18">
        <f>IF(OR($B491="",NOT(ISNUMBER($F491))),"",SUMIFS('3. Peat Data'!$P$5:$P$604,'3. Peat Data'!$B$5:$B$604,$B491,'3. Peat Data'!$F$5:$F$604,"&lt;="&amp;$F491))</f>
        <v/>
      </c>
      <c r="T491" s="18">
        <f>IF(AND($A491="",$B491="",$E491=""),"",IF(AND($B491&lt;&gt;"",COUNTIF('2. Core Log'!$A$5:$A$124,$B491)=0),"Core ID not in Core Log. ","")&amp;IF(AND($A491&lt;&gt;"",COUNTIF('1. Plot &amp; Site Log'!$A$5:$A$64,$A491)=0),"Plot ID not in Plot &amp; Site Log. ","")&amp;IF(AND(ISNUMBER($E491),ISNUMBER($F491),$F491&lt;=$E491),"Bottom depth is not below top depth. ","")&amp;IF($I491="","Say which bulk-density basis the lab reported. ","")&amp;IF(AND(ISNUMBER($J491),OR($J491&lt;QC_BD_MIN,$J491&gt;QC_BD_MAX)),"Bulk density outside "&amp;QC_BD_MIN&amp;"–"&amp;QC_BD_MAX&amp;" g/cm³ for peat. Above the top of that range usually means the mineral contact has been passed. ","")&amp;IF(AND(ISNUMBER($N491),$N491&gt;QC_CARBON_PCT_MAX),"Carbon above "&amp;QC_CARBON_PCT_MAX&amp;"% — check units; this may be organic matter rather than carbon. ","")&amp;IF(AND($L491&lt;&gt;"",$M491&lt;&gt;""),"Both LOI and measured carbon given — the measured value is used. ","")&amp;IF(AND($M491="",$L491&lt;&gt;"",OM_FACTOR_IS_LOCAL&lt;&gt;"Yes"),"Carbon derived from LOI using the default factor of "&amp;CARBON_FRACTION_OM&amp;", which has not been calibrated locally. See R1. Reference. ","")&amp;IF(AND(ISNUMBER($O491),$O491=0,ISNUMBER($E491)),"Section lies entirely below the reference depth — it counts to the full-profile stock only. ",""))</f>
        <v/>
      </c>
      <c r="U491" s="14" t="n"/>
    </row>
    <row r="492">
      <c r="A492" s="14" t="n"/>
      <c r="B492" s="14" t="n"/>
      <c r="C492" s="14" t="n"/>
      <c r="D492" s="14" t="n"/>
      <c r="E492" s="14" t="n"/>
      <c r="F492" s="14" t="n"/>
      <c r="G492" s="14">
        <f>IF(OR($E492="",$F492=""),"",$F492-$E492)</f>
        <v/>
      </c>
      <c r="H492" s="14" t="n"/>
      <c r="I492" s="14" t="n"/>
      <c r="J492" s="19" t="n"/>
      <c r="K492" s="19" t="n"/>
      <c r="L492" s="19" t="n"/>
      <c r="M492" s="19" t="n"/>
      <c r="N492" s="18">
        <f>IF($M492&lt;&gt;"",$M492,IF($L492&lt;&gt;"",$L492*CARBON_FRACTION_OM,""))</f>
        <v/>
      </c>
      <c r="O492" s="18">
        <f>IF(OR($E492="",$F492=""),"",MAX(0,MIN($F492,REFERENCE_DEPTH_CM)-MIN($E492,REFERENCE_DEPTH_CM)))</f>
        <v/>
      </c>
      <c r="P492" s="18">
        <f>IF(OR($J492="",$N492="",$G492=""),"",$J492*($N492/100)*$G492*10)</f>
        <v/>
      </c>
      <c r="Q492" s="18">
        <f>IF(OR($J492="",$N492="",$O492=""),"",$J492*($N492/100)*$O492*10)</f>
        <v/>
      </c>
      <c r="R492" s="18">
        <f>IF(OR(NOT(ISNUMBER($P492)),NOT(ISNUMBER($G492)),$G492=0),0,$P492/$G492)</f>
        <v/>
      </c>
      <c r="S492" s="18">
        <f>IF(OR($B492="",NOT(ISNUMBER($F492))),"",SUMIFS('3. Peat Data'!$P$5:$P$604,'3. Peat Data'!$B$5:$B$604,$B492,'3. Peat Data'!$F$5:$F$604,"&lt;="&amp;$F492))</f>
        <v/>
      </c>
      <c r="T492" s="18">
        <f>IF(AND($A492="",$B492="",$E492=""),"",IF(AND($B492&lt;&gt;"",COUNTIF('2. Core Log'!$A$5:$A$124,$B492)=0),"Core ID not in Core Log. ","")&amp;IF(AND($A492&lt;&gt;"",COUNTIF('1. Plot &amp; Site Log'!$A$5:$A$64,$A492)=0),"Plot ID not in Plot &amp; Site Log. ","")&amp;IF(AND(ISNUMBER($E492),ISNUMBER($F492),$F492&lt;=$E492),"Bottom depth is not below top depth. ","")&amp;IF($I492="","Say which bulk-density basis the lab reported. ","")&amp;IF(AND(ISNUMBER($J492),OR($J492&lt;QC_BD_MIN,$J492&gt;QC_BD_MAX)),"Bulk density outside "&amp;QC_BD_MIN&amp;"–"&amp;QC_BD_MAX&amp;" g/cm³ for peat. Above the top of that range usually means the mineral contact has been passed. ","")&amp;IF(AND(ISNUMBER($N492),$N492&gt;QC_CARBON_PCT_MAX),"Carbon above "&amp;QC_CARBON_PCT_MAX&amp;"% — check units; this may be organic matter rather than carbon. ","")&amp;IF(AND($L492&lt;&gt;"",$M492&lt;&gt;""),"Both LOI and measured carbon given — the measured value is used. ","")&amp;IF(AND($M492="",$L492&lt;&gt;"",OM_FACTOR_IS_LOCAL&lt;&gt;"Yes"),"Carbon derived from LOI using the default factor of "&amp;CARBON_FRACTION_OM&amp;", which has not been calibrated locally. See R1. Reference. ","")&amp;IF(AND(ISNUMBER($O492),$O492=0,ISNUMBER($E492)),"Section lies entirely below the reference depth — it counts to the full-profile stock only. ",""))</f>
        <v/>
      </c>
      <c r="U492" s="14" t="n"/>
    </row>
    <row r="493">
      <c r="A493" s="14" t="n"/>
      <c r="B493" s="14" t="n"/>
      <c r="C493" s="14" t="n"/>
      <c r="D493" s="14" t="n"/>
      <c r="E493" s="14" t="n"/>
      <c r="F493" s="14" t="n"/>
      <c r="G493" s="14">
        <f>IF(OR($E493="",$F493=""),"",$F493-$E493)</f>
        <v/>
      </c>
      <c r="H493" s="14" t="n"/>
      <c r="I493" s="14" t="n"/>
      <c r="J493" s="19" t="n"/>
      <c r="K493" s="19" t="n"/>
      <c r="L493" s="19" t="n"/>
      <c r="M493" s="19" t="n"/>
      <c r="N493" s="18">
        <f>IF($M493&lt;&gt;"",$M493,IF($L493&lt;&gt;"",$L493*CARBON_FRACTION_OM,""))</f>
        <v/>
      </c>
      <c r="O493" s="18">
        <f>IF(OR($E493="",$F493=""),"",MAX(0,MIN($F493,REFERENCE_DEPTH_CM)-MIN($E493,REFERENCE_DEPTH_CM)))</f>
        <v/>
      </c>
      <c r="P493" s="18">
        <f>IF(OR($J493="",$N493="",$G493=""),"",$J493*($N493/100)*$G493*10)</f>
        <v/>
      </c>
      <c r="Q493" s="18">
        <f>IF(OR($J493="",$N493="",$O493=""),"",$J493*($N493/100)*$O493*10)</f>
        <v/>
      </c>
      <c r="R493" s="18">
        <f>IF(OR(NOT(ISNUMBER($P493)),NOT(ISNUMBER($G493)),$G493=0),0,$P493/$G493)</f>
        <v/>
      </c>
      <c r="S493" s="18">
        <f>IF(OR($B493="",NOT(ISNUMBER($F493))),"",SUMIFS('3. Peat Data'!$P$5:$P$604,'3. Peat Data'!$B$5:$B$604,$B493,'3. Peat Data'!$F$5:$F$604,"&lt;="&amp;$F493))</f>
        <v/>
      </c>
      <c r="T493" s="18">
        <f>IF(AND($A493="",$B493="",$E493=""),"",IF(AND($B493&lt;&gt;"",COUNTIF('2. Core Log'!$A$5:$A$124,$B493)=0),"Core ID not in Core Log. ","")&amp;IF(AND($A493&lt;&gt;"",COUNTIF('1. Plot &amp; Site Log'!$A$5:$A$64,$A493)=0),"Plot ID not in Plot &amp; Site Log. ","")&amp;IF(AND(ISNUMBER($E493),ISNUMBER($F493),$F493&lt;=$E493),"Bottom depth is not below top depth. ","")&amp;IF($I493="","Say which bulk-density basis the lab reported. ","")&amp;IF(AND(ISNUMBER($J493),OR($J493&lt;QC_BD_MIN,$J493&gt;QC_BD_MAX)),"Bulk density outside "&amp;QC_BD_MIN&amp;"–"&amp;QC_BD_MAX&amp;" g/cm³ for peat. Above the top of that range usually means the mineral contact has been passed. ","")&amp;IF(AND(ISNUMBER($N493),$N493&gt;QC_CARBON_PCT_MAX),"Carbon above "&amp;QC_CARBON_PCT_MAX&amp;"% — check units; this may be organic matter rather than carbon. ","")&amp;IF(AND($L493&lt;&gt;"",$M493&lt;&gt;""),"Both LOI and measured carbon given — the measured value is used. ","")&amp;IF(AND($M493="",$L493&lt;&gt;"",OM_FACTOR_IS_LOCAL&lt;&gt;"Yes"),"Carbon derived from LOI using the default factor of "&amp;CARBON_FRACTION_OM&amp;", which has not been calibrated locally. See R1. Reference. ","")&amp;IF(AND(ISNUMBER($O493),$O493=0,ISNUMBER($E493)),"Section lies entirely below the reference depth — it counts to the full-profile stock only. ",""))</f>
        <v/>
      </c>
      <c r="U493" s="14" t="n"/>
    </row>
    <row r="494">
      <c r="A494" s="14" t="n"/>
      <c r="B494" s="14" t="n"/>
      <c r="C494" s="14" t="n"/>
      <c r="D494" s="14" t="n"/>
      <c r="E494" s="14" t="n"/>
      <c r="F494" s="14" t="n"/>
      <c r="G494" s="14">
        <f>IF(OR($E494="",$F494=""),"",$F494-$E494)</f>
        <v/>
      </c>
      <c r="H494" s="14" t="n"/>
      <c r="I494" s="14" t="n"/>
      <c r="J494" s="19" t="n"/>
      <c r="K494" s="19" t="n"/>
      <c r="L494" s="19" t="n"/>
      <c r="M494" s="19" t="n"/>
      <c r="N494" s="18">
        <f>IF($M494&lt;&gt;"",$M494,IF($L494&lt;&gt;"",$L494*CARBON_FRACTION_OM,""))</f>
        <v/>
      </c>
      <c r="O494" s="18">
        <f>IF(OR($E494="",$F494=""),"",MAX(0,MIN($F494,REFERENCE_DEPTH_CM)-MIN($E494,REFERENCE_DEPTH_CM)))</f>
        <v/>
      </c>
      <c r="P494" s="18">
        <f>IF(OR($J494="",$N494="",$G494=""),"",$J494*($N494/100)*$G494*10)</f>
        <v/>
      </c>
      <c r="Q494" s="18">
        <f>IF(OR($J494="",$N494="",$O494=""),"",$J494*($N494/100)*$O494*10)</f>
        <v/>
      </c>
      <c r="R494" s="18">
        <f>IF(OR(NOT(ISNUMBER($P494)),NOT(ISNUMBER($G494)),$G494=0),0,$P494/$G494)</f>
        <v/>
      </c>
      <c r="S494" s="18">
        <f>IF(OR($B494="",NOT(ISNUMBER($F494))),"",SUMIFS('3. Peat Data'!$P$5:$P$604,'3. Peat Data'!$B$5:$B$604,$B494,'3. Peat Data'!$F$5:$F$604,"&lt;="&amp;$F494))</f>
        <v/>
      </c>
      <c r="T494" s="18">
        <f>IF(AND($A494="",$B494="",$E494=""),"",IF(AND($B494&lt;&gt;"",COUNTIF('2. Core Log'!$A$5:$A$124,$B494)=0),"Core ID not in Core Log. ","")&amp;IF(AND($A494&lt;&gt;"",COUNTIF('1. Plot &amp; Site Log'!$A$5:$A$64,$A494)=0),"Plot ID not in Plot &amp; Site Log. ","")&amp;IF(AND(ISNUMBER($E494),ISNUMBER($F494),$F494&lt;=$E494),"Bottom depth is not below top depth. ","")&amp;IF($I494="","Say which bulk-density basis the lab reported. ","")&amp;IF(AND(ISNUMBER($J494),OR($J494&lt;QC_BD_MIN,$J494&gt;QC_BD_MAX)),"Bulk density outside "&amp;QC_BD_MIN&amp;"–"&amp;QC_BD_MAX&amp;" g/cm³ for peat. Above the top of that range usually means the mineral contact has been passed. ","")&amp;IF(AND(ISNUMBER($N494),$N494&gt;QC_CARBON_PCT_MAX),"Carbon above "&amp;QC_CARBON_PCT_MAX&amp;"% — check units; this may be organic matter rather than carbon. ","")&amp;IF(AND($L494&lt;&gt;"",$M494&lt;&gt;""),"Both LOI and measured carbon given — the measured value is used. ","")&amp;IF(AND($M494="",$L494&lt;&gt;"",OM_FACTOR_IS_LOCAL&lt;&gt;"Yes"),"Carbon derived from LOI using the default factor of "&amp;CARBON_FRACTION_OM&amp;", which has not been calibrated locally. See R1. Reference. ","")&amp;IF(AND(ISNUMBER($O494),$O494=0,ISNUMBER($E494)),"Section lies entirely below the reference depth — it counts to the full-profile stock only. ",""))</f>
        <v/>
      </c>
      <c r="U494" s="14" t="n"/>
    </row>
    <row r="495">
      <c r="A495" s="14" t="n"/>
      <c r="B495" s="14" t="n"/>
      <c r="C495" s="14" t="n"/>
      <c r="D495" s="14" t="n"/>
      <c r="E495" s="14" t="n"/>
      <c r="F495" s="14" t="n"/>
      <c r="G495" s="14">
        <f>IF(OR($E495="",$F495=""),"",$F495-$E495)</f>
        <v/>
      </c>
      <c r="H495" s="14" t="n"/>
      <c r="I495" s="14" t="n"/>
      <c r="J495" s="19" t="n"/>
      <c r="K495" s="19" t="n"/>
      <c r="L495" s="19" t="n"/>
      <c r="M495" s="19" t="n"/>
      <c r="N495" s="18">
        <f>IF($M495&lt;&gt;"",$M495,IF($L495&lt;&gt;"",$L495*CARBON_FRACTION_OM,""))</f>
        <v/>
      </c>
      <c r="O495" s="18">
        <f>IF(OR($E495="",$F495=""),"",MAX(0,MIN($F495,REFERENCE_DEPTH_CM)-MIN($E495,REFERENCE_DEPTH_CM)))</f>
        <v/>
      </c>
      <c r="P495" s="18">
        <f>IF(OR($J495="",$N495="",$G495=""),"",$J495*($N495/100)*$G495*10)</f>
        <v/>
      </c>
      <c r="Q495" s="18">
        <f>IF(OR($J495="",$N495="",$O495=""),"",$J495*($N495/100)*$O495*10)</f>
        <v/>
      </c>
      <c r="R495" s="18">
        <f>IF(OR(NOT(ISNUMBER($P495)),NOT(ISNUMBER($G495)),$G495=0),0,$P495/$G495)</f>
        <v/>
      </c>
      <c r="S495" s="18">
        <f>IF(OR($B495="",NOT(ISNUMBER($F495))),"",SUMIFS('3. Peat Data'!$P$5:$P$604,'3. Peat Data'!$B$5:$B$604,$B495,'3. Peat Data'!$F$5:$F$604,"&lt;="&amp;$F495))</f>
        <v/>
      </c>
      <c r="T495" s="18">
        <f>IF(AND($A495="",$B495="",$E495=""),"",IF(AND($B495&lt;&gt;"",COUNTIF('2. Core Log'!$A$5:$A$124,$B495)=0),"Core ID not in Core Log. ","")&amp;IF(AND($A495&lt;&gt;"",COUNTIF('1. Plot &amp; Site Log'!$A$5:$A$64,$A495)=0),"Plot ID not in Plot &amp; Site Log. ","")&amp;IF(AND(ISNUMBER($E495),ISNUMBER($F495),$F495&lt;=$E495),"Bottom depth is not below top depth. ","")&amp;IF($I495="","Say which bulk-density basis the lab reported. ","")&amp;IF(AND(ISNUMBER($J495),OR($J495&lt;QC_BD_MIN,$J495&gt;QC_BD_MAX)),"Bulk density outside "&amp;QC_BD_MIN&amp;"–"&amp;QC_BD_MAX&amp;" g/cm³ for peat. Above the top of that range usually means the mineral contact has been passed. ","")&amp;IF(AND(ISNUMBER($N495),$N495&gt;QC_CARBON_PCT_MAX),"Carbon above "&amp;QC_CARBON_PCT_MAX&amp;"% — check units; this may be organic matter rather than carbon. ","")&amp;IF(AND($L495&lt;&gt;"",$M495&lt;&gt;""),"Both LOI and measured carbon given — the measured value is used. ","")&amp;IF(AND($M495="",$L495&lt;&gt;"",OM_FACTOR_IS_LOCAL&lt;&gt;"Yes"),"Carbon derived from LOI using the default factor of "&amp;CARBON_FRACTION_OM&amp;", which has not been calibrated locally. See R1. Reference. ","")&amp;IF(AND(ISNUMBER($O495),$O495=0,ISNUMBER($E495)),"Section lies entirely below the reference depth — it counts to the full-profile stock only. ",""))</f>
        <v/>
      </c>
      <c r="U495" s="14" t="n"/>
    </row>
    <row r="496">
      <c r="A496" s="14" t="n"/>
      <c r="B496" s="14" t="n"/>
      <c r="C496" s="14" t="n"/>
      <c r="D496" s="14" t="n"/>
      <c r="E496" s="14" t="n"/>
      <c r="F496" s="14" t="n"/>
      <c r="G496" s="14">
        <f>IF(OR($E496="",$F496=""),"",$F496-$E496)</f>
        <v/>
      </c>
      <c r="H496" s="14" t="n"/>
      <c r="I496" s="14" t="n"/>
      <c r="J496" s="19" t="n"/>
      <c r="K496" s="19" t="n"/>
      <c r="L496" s="19" t="n"/>
      <c r="M496" s="19" t="n"/>
      <c r="N496" s="18">
        <f>IF($M496&lt;&gt;"",$M496,IF($L496&lt;&gt;"",$L496*CARBON_FRACTION_OM,""))</f>
        <v/>
      </c>
      <c r="O496" s="18">
        <f>IF(OR($E496="",$F496=""),"",MAX(0,MIN($F496,REFERENCE_DEPTH_CM)-MIN($E496,REFERENCE_DEPTH_CM)))</f>
        <v/>
      </c>
      <c r="P496" s="18">
        <f>IF(OR($J496="",$N496="",$G496=""),"",$J496*($N496/100)*$G496*10)</f>
        <v/>
      </c>
      <c r="Q496" s="18">
        <f>IF(OR($J496="",$N496="",$O496=""),"",$J496*($N496/100)*$O496*10)</f>
        <v/>
      </c>
      <c r="R496" s="18">
        <f>IF(OR(NOT(ISNUMBER($P496)),NOT(ISNUMBER($G496)),$G496=0),0,$P496/$G496)</f>
        <v/>
      </c>
      <c r="S496" s="18">
        <f>IF(OR($B496="",NOT(ISNUMBER($F496))),"",SUMIFS('3. Peat Data'!$P$5:$P$604,'3. Peat Data'!$B$5:$B$604,$B496,'3. Peat Data'!$F$5:$F$604,"&lt;="&amp;$F496))</f>
        <v/>
      </c>
      <c r="T496" s="18">
        <f>IF(AND($A496="",$B496="",$E496=""),"",IF(AND($B496&lt;&gt;"",COUNTIF('2. Core Log'!$A$5:$A$124,$B496)=0),"Core ID not in Core Log. ","")&amp;IF(AND($A496&lt;&gt;"",COUNTIF('1. Plot &amp; Site Log'!$A$5:$A$64,$A496)=0),"Plot ID not in Plot &amp; Site Log. ","")&amp;IF(AND(ISNUMBER($E496),ISNUMBER($F496),$F496&lt;=$E496),"Bottom depth is not below top depth. ","")&amp;IF($I496="","Say which bulk-density basis the lab reported. ","")&amp;IF(AND(ISNUMBER($J496),OR($J496&lt;QC_BD_MIN,$J496&gt;QC_BD_MAX)),"Bulk density outside "&amp;QC_BD_MIN&amp;"–"&amp;QC_BD_MAX&amp;" g/cm³ for peat. Above the top of that range usually means the mineral contact has been passed. ","")&amp;IF(AND(ISNUMBER($N496),$N496&gt;QC_CARBON_PCT_MAX),"Carbon above "&amp;QC_CARBON_PCT_MAX&amp;"% — check units; this may be organic matter rather than carbon. ","")&amp;IF(AND($L496&lt;&gt;"",$M496&lt;&gt;""),"Both LOI and measured carbon given — the measured value is used. ","")&amp;IF(AND($M496="",$L496&lt;&gt;"",OM_FACTOR_IS_LOCAL&lt;&gt;"Yes"),"Carbon derived from LOI using the default factor of "&amp;CARBON_FRACTION_OM&amp;", which has not been calibrated locally. See R1. Reference. ","")&amp;IF(AND(ISNUMBER($O496),$O496=0,ISNUMBER($E496)),"Section lies entirely below the reference depth — it counts to the full-profile stock only. ",""))</f>
        <v/>
      </c>
      <c r="U496" s="14" t="n"/>
    </row>
    <row r="497">
      <c r="A497" s="14" t="n"/>
      <c r="B497" s="14" t="n"/>
      <c r="C497" s="14" t="n"/>
      <c r="D497" s="14" t="n"/>
      <c r="E497" s="14" t="n"/>
      <c r="F497" s="14" t="n"/>
      <c r="G497" s="14">
        <f>IF(OR($E497="",$F497=""),"",$F497-$E497)</f>
        <v/>
      </c>
      <c r="H497" s="14" t="n"/>
      <c r="I497" s="14" t="n"/>
      <c r="J497" s="19" t="n"/>
      <c r="K497" s="19" t="n"/>
      <c r="L497" s="19" t="n"/>
      <c r="M497" s="19" t="n"/>
      <c r="N497" s="18">
        <f>IF($M497&lt;&gt;"",$M497,IF($L497&lt;&gt;"",$L497*CARBON_FRACTION_OM,""))</f>
        <v/>
      </c>
      <c r="O497" s="18">
        <f>IF(OR($E497="",$F497=""),"",MAX(0,MIN($F497,REFERENCE_DEPTH_CM)-MIN($E497,REFERENCE_DEPTH_CM)))</f>
        <v/>
      </c>
      <c r="P497" s="18">
        <f>IF(OR($J497="",$N497="",$G497=""),"",$J497*($N497/100)*$G497*10)</f>
        <v/>
      </c>
      <c r="Q497" s="18">
        <f>IF(OR($J497="",$N497="",$O497=""),"",$J497*($N497/100)*$O497*10)</f>
        <v/>
      </c>
      <c r="R497" s="18">
        <f>IF(OR(NOT(ISNUMBER($P497)),NOT(ISNUMBER($G497)),$G497=0),0,$P497/$G497)</f>
        <v/>
      </c>
      <c r="S497" s="18">
        <f>IF(OR($B497="",NOT(ISNUMBER($F497))),"",SUMIFS('3. Peat Data'!$P$5:$P$604,'3. Peat Data'!$B$5:$B$604,$B497,'3. Peat Data'!$F$5:$F$604,"&lt;="&amp;$F497))</f>
        <v/>
      </c>
      <c r="T497" s="18">
        <f>IF(AND($A497="",$B497="",$E497=""),"",IF(AND($B497&lt;&gt;"",COUNTIF('2. Core Log'!$A$5:$A$124,$B497)=0),"Core ID not in Core Log. ","")&amp;IF(AND($A497&lt;&gt;"",COUNTIF('1. Plot &amp; Site Log'!$A$5:$A$64,$A497)=0),"Plot ID not in Plot &amp; Site Log. ","")&amp;IF(AND(ISNUMBER($E497),ISNUMBER($F497),$F497&lt;=$E497),"Bottom depth is not below top depth. ","")&amp;IF($I497="","Say which bulk-density basis the lab reported. ","")&amp;IF(AND(ISNUMBER($J497),OR($J497&lt;QC_BD_MIN,$J497&gt;QC_BD_MAX)),"Bulk density outside "&amp;QC_BD_MIN&amp;"–"&amp;QC_BD_MAX&amp;" g/cm³ for peat. Above the top of that range usually means the mineral contact has been passed. ","")&amp;IF(AND(ISNUMBER($N497),$N497&gt;QC_CARBON_PCT_MAX),"Carbon above "&amp;QC_CARBON_PCT_MAX&amp;"% — check units; this may be organic matter rather than carbon. ","")&amp;IF(AND($L497&lt;&gt;"",$M497&lt;&gt;""),"Both LOI and measured carbon given — the measured value is used. ","")&amp;IF(AND($M497="",$L497&lt;&gt;"",OM_FACTOR_IS_LOCAL&lt;&gt;"Yes"),"Carbon derived from LOI using the default factor of "&amp;CARBON_FRACTION_OM&amp;", which has not been calibrated locally. See R1. Reference. ","")&amp;IF(AND(ISNUMBER($O497),$O497=0,ISNUMBER($E497)),"Section lies entirely below the reference depth — it counts to the full-profile stock only. ",""))</f>
        <v/>
      </c>
      <c r="U497" s="14" t="n"/>
    </row>
    <row r="498">
      <c r="A498" s="14" t="n"/>
      <c r="B498" s="14" t="n"/>
      <c r="C498" s="14" t="n"/>
      <c r="D498" s="14" t="n"/>
      <c r="E498" s="14" t="n"/>
      <c r="F498" s="14" t="n"/>
      <c r="G498" s="14">
        <f>IF(OR($E498="",$F498=""),"",$F498-$E498)</f>
        <v/>
      </c>
      <c r="H498" s="14" t="n"/>
      <c r="I498" s="14" t="n"/>
      <c r="J498" s="19" t="n"/>
      <c r="K498" s="19" t="n"/>
      <c r="L498" s="19" t="n"/>
      <c r="M498" s="19" t="n"/>
      <c r="N498" s="18">
        <f>IF($M498&lt;&gt;"",$M498,IF($L498&lt;&gt;"",$L498*CARBON_FRACTION_OM,""))</f>
        <v/>
      </c>
      <c r="O498" s="18">
        <f>IF(OR($E498="",$F498=""),"",MAX(0,MIN($F498,REFERENCE_DEPTH_CM)-MIN($E498,REFERENCE_DEPTH_CM)))</f>
        <v/>
      </c>
      <c r="P498" s="18">
        <f>IF(OR($J498="",$N498="",$G498=""),"",$J498*($N498/100)*$G498*10)</f>
        <v/>
      </c>
      <c r="Q498" s="18">
        <f>IF(OR($J498="",$N498="",$O498=""),"",$J498*($N498/100)*$O498*10)</f>
        <v/>
      </c>
      <c r="R498" s="18">
        <f>IF(OR(NOT(ISNUMBER($P498)),NOT(ISNUMBER($G498)),$G498=0),0,$P498/$G498)</f>
        <v/>
      </c>
      <c r="S498" s="18">
        <f>IF(OR($B498="",NOT(ISNUMBER($F498))),"",SUMIFS('3. Peat Data'!$P$5:$P$604,'3. Peat Data'!$B$5:$B$604,$B498,'3. Peat Data'!$F$5:$F$604,"&lt;="&amp;$F498))</f>
        <v/>
      </c>
      <c r="T498" s="18">
        <f>IF(AND($A498="",$B498="",$E498=""),"",IF(AND($B498&lt;&gt;"",COUNTIF('2. Core Log'!$A$5:$A$124,$B498)=0),"Core ID not in Core Log. ","")&amp;IF(AND($A498&lt;&gt;"",COUNTIF('1. Plot &amp; Site Log'!$A$5:$A$64,$A498)=0),"Plot ID not in Plot &amp; Site Log. ","")&amp;IF(AND(ISNUMBER($E498),ISNUMBER($F498),$F498&lt;=$E498),"Bottom depth is not below top depth. ","")&amp;IF($I498="","Say which bulk-density basis the lab reported. ","")&amp;IF(AND(ISNUMBER($J498),OR($J498&lt;QC_BD_MIN,$J498&gt;QC_BD_MAX)),"Bulk density outside "&amp;QC_BD_MIN&amp;"–"&amp;QC_BD_MAX&amp;" g/cm³ for peat. Above the top of that range usually means the mineral contact has been passed. ","")&amp;IF(AND(ISNUMBER($N498),$N498&gt;QC_CARBON_PCT_MAX),"Carbon above "&amp;QC_CARBON_PCT_MAX&amp;"% — check units; this may be organic matter rather than carbon. ","")&amp;IF(AND($L498&lt;&gt;"",$M498&lt;&gt;""),"Both LOI and measured carbon given — the measured value is used. ","")&amp;IF(AND($M498="",$L498&lt;&gt;"",OM_FACTOR_IS_LOCAL&lt;&gt;"Yes"),"Carbon derived from LOI using the default factor of "&amp;CARBON_FRACTION_OM&amp;", which has not been calibrated locally. See R1. Reference. ","")&amp;IF(AND(ISNUMBER($O498),$O498=0,ISNUMBER($E498)),"Section lies entirely below the reference depth — it counts to the full-profile stock only. ",""))</f>
        <v/>
      </c>
      <c r="U498" s="14" t="n"/>
    </row>
    <row r="499">
      <c r="A499" s="14" t="n"/>
      <c r="B499" s="14" t="n"/>
      <c r="C499" s="14" t="n"/>
      <c r="D499" s="14" t="n"/>
      <c r="E499" s="14" t="n"/>
      <c r="F499" s="14" t="n"/>
      <c r="G499" s="14">
        <f>IF(OR($E499="",$F499=""),"",$F499-$E499)</f>
        <v/>
      </c>
      <c r="H499" s="14" t="n"/>
      <c r="I499" s="14" t="n"/>
      <c r="J499" s="19" t="n"/>
      <c r="K499" s="19" t="n"/>
      <c r="L499" s="19" t="n"/>
      <c r="M499" s="19" t="n"/>
      <c r="N499" s="18">
        <f>IF($M499&lt;&gt;"",$M499,IF($L499&lt;&gt;"",$L499*CARBON_FRACTION_OM,""))</f>
        <v/>
      </c>
      <c r="O499" s="18">
        <f>IF(OR($E499="",$F499=""),"",MAX(0,MIN($F499,REFERENCE_DEPTH_CM)-MIN($E499,REFERENCE_DEPTH_CM)))</f>
        <v/>
      </c>
      <c r="P499" s="18">
        <f>IF(OR($J499="",$N499="",$G499=""),"",$J499*($N499/100)*$G499*10)</f>
        <v/>
      </c>
      <c r="Q499" s="18">
        <f>IF(OR($J499="",$N499="",$O499=""),"",$J499*($N499/100)*$O499*10)</f>
        <v/>
      </c>
      <c r="R499" s="18">
        <f>IF(OR(NOT(ISNUMBER($P499)),NOT(ISNUMBER($G499)),$G499=0),0,$P499/$G499)</f>
        <v/>
      </c>
      <c r="S499" s="18">
        <f>IF(OR($B499="",NOT(ISNUMBER($F499))),"",SUMIFS('3. Peat Data'!$P$5:$P$604,'3. Peat Data'!$B$5:$B$604,$B499,'3. Peat Data'!$F$5:$F$604,"&lt;="&amp;$F499))</f>
        <v/>
      </c>
      <c r="T499" s="18">
        <f>IF(AND($A499="",$B499="",$E499=""),"",IF(AND($B499&lt;&gt;"",COUNTIF('2. Core Log'!$A$5:$A$124,$B499)=0),"Core ID not in Core Log. ","")&amp;IF(AND($A499&lt;&gt;"",COUNTIF('1. Plot &amp; Site Log'!$A$5:$A$64,$A499)=0),"Plot ID not in Plot &amp; Site Log. ","")&amp;IF(AND(ISNUMBER($E499),ISNUMBER($F499),$F499&lt;=$E499),"Bottom depth is not below top depth. ","")&amp;IF($I499="","Say which bulk-density basis the lab reported. ","")&amp;IF(AND(ISNUMBER($J499),OR($J499&lt;QC_BD_MIN,$J499&gt;QC_BD_MAX)),"Bulk density outside "&amp;QC_BD_MIN&amp;"–"&amp;QC_BD_MAX&amp;" g/cm³ for peat. Above the top of that range usually means the mineral contact has been passed. ","")&amp;IF(AND(ISNUMBER($N499),$N499&gt;QC_CARBON_PCT_MAX),"Carbon above "&amp;QC_CARBON_PCT_MAX&amp;"% — check units; this may be organic matter rather than carbon. ","")&amp;IF(AND($L499&lt;&gt;"",$M499&lt;&gt;""),"Both LOI and measured carbon given — the measured value is used. ","")&amp;IF(AND($M499="",$L499&lt;&gt;"",OM_FACTOR_IS_LOCAL&lt;&gt;"Yes"),"Carbon derived from LOI using the default factor of "&amp;CARBON_FRACTION_OM&amp;", which has not been calibrated locally. See R1. Reference. ","")&amp;IF(AND(ISNUMBER($O499),$O499=0,ISNUMBER($E499)),"Section lies entirely below the reference depth — it counts to the full-profile stock only. ",""))</f>
        <v/>
      </c>
      <c r="U499" s="14" t="n"/>
    </row>
    <row r="500">
      <c r="A500" s="14" t="n"/>
      <c r="B500" s="14" t="n"/>
      <c r="C500" s="14" t="n"/>
      <c r="D500" s="14" t="n"/>
      <c r="E500" s="14" t="n"/>
      <c r="F500" s="14" t="n"/>
      <c r="G500" s="14">
        <f>IF(OR($E500="",$F500=""),"",$F500-$E500)</f>
        <v/>
      </c>
      <c r="H500" s="14" t="n"/>
      <c r="I500" s="14" t="n"/>
      <c r="J500" s="19" t="n"/>
      <c r="K500" s="19" t="n"/>
      <c r="L500" s="19" t="n"/>
      <c r="M500" s="19" t="n"/>
      <c r="N500" s="18">
        <f>IF($M500&lt;&gt;"",$M500,IF($L500&lt;&gt;"",$L500*CARBON_FRACTION_OM,""))</f>
        <v/>
      </c>
      <c r="O500" s="18">
        <f>IF(OR($E500="",$F500=""),"",MAX(0,MIN($F500,REFERENCE_DEPTH_CM)-MIN($E500,REFERENCE_DEPTH_CM)))</f>
        <v/>
      </c>
      <c r="P500" s="18">
        <f>IF(OR($J500="",$N500="",$G500=""),"",$J500*($N500/100)*$G500*10)</f>
        <v/>
      </c>
      <c r="Q500" s="18">
        <f>IF(OR($J500="",$N500="",$O500=""),"",$J500*($N500/100)*$O500*10)</f>
        <v/>
      </c>
      <c r="R500" s="18">
        <f>IF(OR(NOT(ISNUMBER($P500)),NOT(ISNUMBER($G500)),$G500=0),0,$P500/$G500)</f>
        <v/>
      </c>
      <c r="S500" s="18">
        <f>IF(OR($B500="",NOT(ISNUMBER($F500))),"",SUMIFS('3. Peat Data'!$P$5:$P$604,'3. Peat Data'!$B$5:$B$604,$B500,'3. Peat Data'!$F$5:$F$604,"&lt;="&amp;$F500))</f>
        <v/>
      </c>
      <c r="T500" s="18">
        <f>IF(AND($A500="",$B500="",$E500=""),"",IF(AND($B500&lt;&gt;"",COUNTIF('2. Core Log'!$A$5:$A$124,$B500)=0),"Core ID not in Core Log. ","")&amp;IF(AND($A500&lt;&gt;"",COUNTIF('1. Plot &amp; Site Log'!$A$5:$A$64,$A500)=0),"Plot ID not in Plot &amp; Site Log. ","")&amp;IF(AND(ISNUMBER($E500),ISNUMBER($F500),$F500&lt;=$E500),"Bottom depth is not below top depth. ","")&amp;IF($I500="","Say which bulk-density basis the lab reported. ","")&amp;IF(AND(ISNUMBER($J500),OR($J500&lt;QC_BD_MIN,$J500&gt;QC_BD_MAX)),"Bulk density outside "&amp;QC_BD_MIN&amp;"–"&amp;QC_BD_MAX&amp;" g/cm³ for peat. Above the top of that range usually means the mineral contact has been passed. ","")&amp;IF(AND(ISNUMBER($N500),$N500&gt;QC_CARBON_PCT_MAX),"Carbon above "&amp;QC_CARBON_PCT_MAX&amp;"% — check units; this may be organic matter rather than carbon. ","")&amp;IF(AND($L500&lt;&gt;"",$M500&lt;&gt;""),"Both LOI and measured carbon given — the measured value is used. ","")&amp;IF(AND($M500="",$L500&lt;&gt;"",OM_FACTOR_IS_LOCAL&lt;&gt;"Yes"),"Carbon derived from LOI using the default factor of "&amp;CARBON_FRACTION_OM&amp;", which has not been calibrated locally. See R1. Reference. ","")&amp;IF(AND(ISNUMBER($O500),$O500=0,ISNUMBER($E500)),"Section lies entirely below the reference depth — it counts to the full-profile stock only. ",""))</f>
        <v/>
      </c>
      <c r="U500" s="14" t="n"/>
    </row>
    <row r="501">
      <c r="A501" s="14" t="n"/>
      <c r="B501" s="14" t="n"/>
      <c r="C501" s="14" t="n"/>
      <c r="D501" s="14" t="n"/>
      <c r="E501" s="14" t="n"/>
      <c r="F501" s="14" t="n"/>
      <c r="G501" s="14">
        <f>IF(OR($E501="",$F501=""),"",$F501-$E501)</f>
        <v/>
      </c>
      <c r="H501" s="14" t="n"/>
      <c r="I501" s="14" t="n"/>
      <c r="J501" s="19" t="n"/>
      <c r="K501" s="19" t="n"/>
      <c r="L501" s="19" t="n"/>
      <c r="M501" s="19" t="n"/>
      <c r="N501" s="18">
        <f>IF($M501&lt;&gt;"",$M501,IF($L501&lt;&gt;"",$L501*CARBON_FRACTION_OM,""))</f>
        <v/>
      </c>
      <c r="O501" s="18">
        <f>IF(OR($E501="",$F501=""),"",MAX(0,MIN($F501,REFERENCE_DEPTH_CM)-MIN($E501,REFERENCE_DEPTH_CM)))</f>
        <v/>
      </c>
      <c r="P501" s="18">
        <f>IF(OR($J501="",$N501="",$G501=""),"",$J501*($N501/100)*$G501*10)</f>
        <v/>
      </c>
      <c r="Q501" s="18">
        <f>IF(OR($J501="",$N501="",$O501=""),"",$J501*($N501/100)*$O501*10)</f>
        <v/>
      </c>
      <c r="R501" s="18">
        <f>IF(OR(NOT(ISNUMBER($P501)),NOT(ISNUMBER($G501)),$G501=0),0,$P501/$G501)</f>
        <v/>
      </c>
      <c r="S501" s="18">
        <f>IF(OR($B501="",NOT(ISNUMBER($F501))),"",SUMIFS('3. Peat Data'!$P$5:$P$604,'3. Peat Data'!$B$5:$B$604,$B501,'3. Peat Data'!$F$5:$F$604,"&lt;="&amp;$F501))</f>
        <v/>
      </c>
      <c r="T501" s="18">
        <f>IF(AND($A501="",$B501="",$E501=""),"",IF(AND($B501&lt;&gt;"",COUNTIF('2. Core Log'!$A$5:$A$124,$B501)=0),"Core ID not in Core Log. ","")&amp;IF(AND($A501&lt;&gt;"",COUNTIF('1. Plot &amp; Site Log'!$A$5:$A$64,$A501)=0),"Plot ID not in Plot &amp; Site Log. ","")&amp;IF(AND(ISNUMBER($E501),ISNUMBER($F501),$F501&lt;=$E501),"Bottom depth is not below top depth. ","")&amp;IF($I501="","Say which bulk-density basis the lab reported. ","")&amp;IF(AND(ISNUMBER($J501),OR($J501&lt;QC_BD_MIN,$J501&gt;QC_BD_MAX)),"Bulk density outside "&amp;QC_BD_MIN&amp;"–"&amp;QC_BD_MAX&amp;" g/cm³ for peat. Above the top of that range usually means the mineral contact has been passed. ","")&amp;IF(AND(ISNUMBER($N501),$N501&gt;QC_CARBON_PCT_MAX),"Carbon above "&amp;QC_CARBON_PCT_MAX&amp;"% — check units; this may be organic matter rather than carbon. ","")&amp;IF(AND($L501&lt;&gt;"",$M501&lt;&gt;""),"Both LOI and measured carbon given — the measured value is used. ","")&amp;IF(AND($M501="",$L501&lt;&gt;"",OM_FACTOR_IS_LOCAL&lt;&gt;"Yes"),"Carbon derived from LOI using the default factor of "&amp;CARBON_FRACTION_OM&amp;", which has not been calibrated locally. See R1. Reference. ","")&amp;IF(AND(ISNUMBER($O501),$O501=0,ISNUMBER($E501)),"Section lies entirely below the reference depth — it counts to the full-profile stock only. ",""))</f>
        <v/>
      </c>
      <c r="U501" s="14" t="n"/>
    </row>
    <row r="502">
      <c r="A502" s="14" t="n"/>
      <c r="B502" s="14" t="n"/>
      <c r="C502" s="14" t="n"/>
      <c r="D502" s="14" t="n"/>
      <c r="E502" s="14" t="n"/>
      <c r="F502" s="14" t="n"/>
      <c r="G502" s="14">
        <f>IF(OR($E502="",$F502=""),"",$F502-$E502)</f>
        <v/>
      </c>
      <c r="H502" s="14" t="n"/>
      <c r="I502" s="14" t="n"/>
      <c r="J502" s="19" t="n"/>
      <c r="K502" s="19" t="n"/>
      <c r="L502" s="19" t="n"/>
      <c r="M502" s="19" t="n"/>
      <c r="N502" s="18">
        <f>IF($M502&lt;&gt;"",$M502,IF($L502&lt;&gt;"",$L502*CARBON_FRACTION_OM,""))</f>
        <v/>
      </c>
      <c r="O502" s="18">
        <f>IF(OR($E502="",$F502=""),"",MAX(0,MIN($F502,REFERENCE_DEPTH_CM)-MIN($E502,REFERENCE_DEPTH_CM)))</f>
        <v/>
      </c>
      <c r="P502" s="18">
        <f>IF(OR($J502="",$N502="",$G502=""),"",$J502*($N502/100)*$G502*10)</f>
        <v/>
      </c>
      <c r="Q502" s="18">
        <f>IF(OR($J502="",$N502="",$O502=""),"",$J502*($N502/100)*$O502*10)</f>
        <v/>
      </c>
      <c r="R502" s="18">
        <f>IF(OR(NOT(ISNUMBER($P502)),NOT(ISNUMBER($G502)),$G502=0),0,$P502/$G502)</f>
        <v/>
      </c>
      <c r="S502" s="18">
        <f>IF(OR($B502="",NOT(ISNUMBER($F502))),"",SUMIFS('3. Peat Data'!$P$5:$P$604,'3. Peat Data'!$B$5:$B$604,$B502,'3. Peat Data'!$F$5:$F$604,"&lt;="&amp;$F502))</f>
        <v/>
      </c>
      <c r="T502" s="18">
        <f>IF(AND($A502="",$B502="",$E502=""),"",IF(AND($B502&lt;&gt;"",COUNTIF('2. Core Log'!$A$5:$A$124,$B502)=0),"Core ID not in Core Log. ","")&amp;IF(AND($A502&lt;&gt;"",COUNTIF('1. Plot &amp; Site Log'!$A$5:$A$64,$A502)=0),"Plot ID not in Plot &amp; Site Log. ","")&amp;IF(AND(ISNUMBER($E502),ISNUMBER($F502),$F502&lt;=$E502),"Bottom depth is not below top depth. ","")&amp;IF($I502="","Say which bulk-density basis the lab reported. ","")&amp;IF(AND(ISNUMBER($J502),OR($J502&lt;QC_BD_MIN,$J502&gt;QC_BD_MAX)),"Bulk density outside "&amp;QC_BD_MIN&amp;"–"&amp;QC_BD_MAX&amp;" g/cm³ for peat. Above the top of that range usually means the mineral contact has been passed. ","")&amp;IF(AND(ISNUMBER($N502),$N502&gt;QC_CARBON_PCT_MAX),"Carbon above "&amp;QC_CARBON_PCT_MAX&amp;"% — check units; this may be organic matter rather than carbon. ","")&amp;IF(AND($L502&lt;&gt;"",$M502&lt;&gt;""),"Both LOI and measured carbon given — the measured value is used. ","")&amp;IF(AND($M502="",$L502&lt;&gt;"",OM_FACTOR_IS_LOCAL&lt;&gt;"Yes"),"Carbon derived from LOI using the default factor of "&amp;CARBON_FRACTION_OM&amp;", which has not been calibrated locally. See R1. Reference. ","")&amp;IF(AND(ISNUMBER($O502),$O502=0,ISNUMBER($E502)),"Section lies entirely below the reference depth — it counts to the full-profile stock only. ",""))</f>
        <v/>
      </c>
      <c r="U502" s="14" t="n"/>
    </row>
    <row r="503">
      <c r="A503" s="14" t="n"/>
      <c r="B503" s="14" t="n"/>
      <c r="C503" s="14" t="n"/>
      <c r="D503" s="14" t="n"/>
      <c r="E503" s="14" t="n"/>
      <c r="F503" s="14" t="n"/>
      <c r="G503" s="14">
        <f>IF(OR($E503="",$F503=""),"",$F503-$E503)</f>
        <v/>
      </c>
      <c r="H503" s="14" t="n"/>
      <c r="I503" s="14" t="n"/>
      <c r="J503" s="19" t="n"/>
      <c r="K503" s="19" t="n"/>
      <c r="L503" s="19" t="n"/>
      <c r="M503" s="19" t="n"/>
      <c r="N503" s="18">
        <f>IF($M503&lt;&gt;"",$M503,IF($L503&lt;&gt;"",$L503*CARBON_FRACTION_OM,""))</f>
        <v/>
      </c>
      <c r="O503" s="18">
        <f>IF(OR($E503="",$F503=""),"",MAX(0,MIN($F503,REFERENCE_DEPTH_CM)-MIN($E503,REFERENCE_DEPTH_CM)))</f>
        <v/>
      </c>
      <c r="P503" s="18">
        <f>IF(OR($J503="",$N503="",$G503=""),"",$J503*($N503/100)*$G503*10)</f>
        <v/>
      </c>
      <c r="Q503" s="18">
        <f>IF(OR($J503="",$N503="",$O503=""),"",$J503*($N503/100)*$O503*10)</f>
        <v/>
      </c>
      <c r="R503" s="18">
        <f>IF(OR(NOT(ISNUMBER($P503)),NOT(ISNUMBER($G503)),$G503=0),0,$P503/$G503)</f>
        <v/>
      </c>
      <c r="S503" s="18">
        <f>IF(OR($B503="",NOT(ISNUMBER($F503))),"",SUMIFS('3. Peat Data'!$P$5:$P$604,'3. Peat Data'!$B$5:$B$604,$B503,'3. Peat Data'!$F$5:$F$604,"&lt;="&amp;$F503))</f>
        <v/>
      </c>
      <c r="T503" s="18">
        <f>IF(AND($A503="",$B503="",$E503=""),"",IF(AND($B503&lt;&gt;"",COUNTIF('2. Core Log'!$A$5:$A$124,$B503)=0),"Core ID not in Core Log. ","")&amp;IF(AND($A503&lt;&gt;"",COUNTIF('1. Plot &amp; Site Log'!$A$5:$A$64,$A503)=0),"Plot ID not in Plot &amp; Site Log. ","")&amp;IF(AND(ISNUMBER($E503),ISNUMBER($F503),$F503&lt;=$E503),"Bottom depth is not below top depth. ","")&amp;IF($I503="","Say which bulk-density basis the lab reported. ","")&amp;IF(AND(ISNUMBER($J503),OR($J503&lt;QC_BD_MIN,$J503&gt;QC_BD_MAX)),"Bulk density outside "&amp;QC_BD_MIN&amp;"–"&amp;QC_BD_MAX&amp;" g/cm³ for peat. Above the top of that range usually means the mineral contact has been passed. ","")&amp;IF(AND(ISNUMBER($N503),$N503&gt;QC_CARBON_PCT_MAX),"Carbon above "&amp;QC_CARBON_PCT_MAX&amp;"% — check units; this may be organic matter rather than carbon. ","")&amp;IF(AND($L503&lt;&gt;"",$M503&lt;&gt;""),"Both LOI and measured carbon given — the measured value is used. ","")&amp;IF(AND($M503="",$L503&lt;&gt;"",OM_FACTOR_IS_LOCAL&lt;&gt;"Yes"),"Carbon derived from LOI using the default factor of "&amp;CARBON_FRACTION_OM&amp;", which has not been calibrated locally. See R1. Reference. ","")&amp;IF(AND(ISNUMBER($O503),$O503=0,ISNUMBER($E503)),"Section lies entirely below the reference depth — it counts to the full-profile stock only. ",""))</f>
        <v/>
      </c>
      <c r="U503" s="14" t="n"/>
    </row>
    <row r="504">
      <c r="A504" s="14" t="n"/>
      <c r="B504" s="14" t="n"/>
      <c r="C504" s="14" t="n"/>
      <c r="D504" s="14" t="n"/>
      <c r="E504" s="14" t="n"/>
      <c r="F504" s="14" t="n"/>
      <c r="G504" s="14">
        <f>IF(OR($E504="",$F504=""),"",$F504-$E504)</f>
        <v/>
      </c>
      <c r="H504" s="14" t="n"/>
      <c r="I504" s="14" t="n"/>
      <c r="J504" s="19" t="n"/>
      <c r="K504" s="19" t="n"/>
      <c r="L504" s="19" t="n"/>
      <c r="M504" s="19" t="n"/>
      <c r="N504" s="18">
        <f>IF($M504&lt;&gt;"",$M504,IF($L504&lt;&gt;"",$L504*CARBON_FRACTION_OM,""))</f>
        <v/>
      </c>
      <c r="O504" s="18">
        <f>IF(OR($E504="",$F504=""),"",MAX(0,MIN($F504,REFERENCE_DEPTH_CM)-MIN($E504,REFERENCE_DEPTH_CM)))</f>
        <v/>
      </c>
      <c r="P504" s="18">
        <f>IF(OR($J504="",$N504="",$G504=""),"",$J504*($N504/100)*$G504*10)</f>
        <v/>
      </c>
      <c r="Q504" s="18">
        <f>IF(OR($J504="",$N504="",$O504=""),"",$J504*($N504/100)*$O504*10)</f>
        <v/>
      </c>
      <c r="R504" s="18">
        <f>IF(OR(NOT(ISNUMBER($P504)),NOT(ISNUMBER($G504)),$G504=0),0,$P504/$G504)</f>
        <v/>
      </c>
      <c r="S504" s="18">
        <f>IF(OR($B504="",NOT(ISNUMBER($F504))),"",SUMIFS('3. Peat Data'!$P$5:$P$604,'3. Peat Data'!$B$5:$B$604,$B504,'3. Peat Data'!$F$5:$F$604,"&lt;="&amp;$F504))</f>
        <v/>
      </c>
      <c r="T504" s="18">
        <f>IF(AND($A504="",$B504="",$E504=""),"",IF(AND($B504&lt;&gt;"",COUNTIF('2. Core Log'!$A$5:$A$124,$B504)=0),"Core ID not in Core Log. ","")&amp;IF(AND($A504&lt;&gt;"",COUNTIF('1. Plot &amp; Site Log'!$A$5:$A$64,$A504)=0),"Plot ID not in Plot &amp; Site Log. ","")&amp;IF(AND(ISNUMBER($E504),ISNUMBER($F504),$F504&lt;=$E504),"Bottom depth is not below top depth. ","")&amp;IF($I504="","Say which bulk-density basis the lab reported. ","")&amp;IF(AND(ISNUMBER($J504),OR($J504&lt;QC_BD_MIN,$J504&gt;QC_BD_MAX)),"Bulk density outside "&amp;QC_BD_MIN&amp;"–"&amp;QC_BD_MAX&amp;" g/cm³ for peat. Above the top of that range usually means the mineral contact has been passed. ","")&amp;IF(AND(ISNUMBER($N504),$N504&gt;QC_CARBON_PCT_MAX),"Carbon above "&amp;QC_CARBON_PCT_MAX&amp;"% — check units; this may be organic matter rather than carbon. ","")&amp;IF(AND($L504&lt;&gt;"",$M504&lt;&gt;""),"Both LOI and measured carbon given — the measured value is used. ","")&amp;IF(AND($M504="",$L504&lt;&gt;"",OM_FACTOR_IS_LOCAL&lt;&gt;"Yes"),"Carbon derived from LOI using the default factor of "&amp;CARBON_FRACTION_OM&amp;", which has not been calibrated locally. See R1. Reference. ","")&amp;IF(AND(ISNUMBER($O504),$O504=0,ISNUMBER($E504)),"Section lies entirely below the reference depth — it counts to the full-profile stock only. ",""))</f>
        <v/>
      </c>
      <c r="U504" s="14" t="n"/>
    </row>
    <row r="505">
      <c r="A505" s="14" t="n"/>
      <c r="B505" s="14" t="n"/>
      <c r="C505" s="14" t="n"/>
      <c r="D505" s="14" t="n"/>
      <c r="E505" s="14" t="n"/>
      <c r="F505" s="14" t="n"/>
      <c r="G505" s="14">
        <f>IF(OR($E505="",$F505=""),"",$F505-$E505)</f>
        <v/>
      </c>
      <c r="H505" s="14" t="n"/>
      <c r="I505" s="14" t="n"/>
      <c r="J505" s="19" t="n"/>
      <c r="K505" s="19" t="n"/>
      <c r="L505" s="19" t="n"/>
      <c r="M505" s="19" t="n"/>
      <c r="N505" s="18">
        <f>IF($M505&lt;&gt;"",$M505,IF($L505&lt;&gt;"",$L505*CARBON_FRACTION_OM,""))</f>
        <v/>
      </c>
      <c r="O505" s="18">
        <f>IF(OR($E505="",$F505=""),"",MAX(0,MIN($F505,REFERENCE_DEPTH_CM)-MIN($E505,REFERENCE_DEPTH_CM)))</f>
        <v/>
      </c>
      <c r="P505" s="18">
        <f>IF(OR($J505="",$N505="",$G505=""),"",$J505*($N505/100)*$G505*10)</f>
        <v/>
      </c>
      <c r="Q505" s="18">
        <f>IF(OR($J505="",$N505="",$O505=""),"",$J505*($N505/100)*$O505*10)</f>
        <v/>
      </c>
      <c r="R505" s="18">
        <f>IF(OR(NOT(ISNUMBER($P505)),NOT(ISNUMBER($G505)),$G505=0),0,$P505/$G505)</f>
        <v/>
      </c>
      <c r="S505" s="18">
        <f>IF(OR($B505="",NOT(ISNUMBER($F505))),"",SUMIFS('3. Peat Data'!$P$5:$P$604,'3. Peat Data'!$B$5:$B$604,$B505,'3. Peat Data'!$F$5:$F$604,"&lt;="&amp;$F505))</f>
        <v/>
      </c>
      <c r="T505" s="18">
        <f>IF(AND($A505="",$B505="",$E505=""),"",IF(AND($B505&lt;&gt;"",COUNTIF('2. Core Log'!$A$5:$A$124,$B505)=0),"Core ID not in Core Log. ","")&amp;IF(AND($A505&lt;&gt;"",COUNTIF('1. Plot &amp; Site Log'!$A$5:$A$64,$A505)=0),"Plot ID not in Plot &amp; Site Log. ","")&amp;IF(AND(ISNUMBER($E505),ISNUMBER($F505),$F505&lt;=$E505),"Bottom depth is not below top depth. ","")&amp;IF($I505="","Say which bulk-density basis the lab reported. ","")&amp;IF(AND(ISNUMBER($J505),OR($J505&lt;QC_BD_MIN,$J505&gt;QC_BD_MAX)),"Bulk density outside "&amp;QC_BD_MIN&amp;"–"&amp;QC_BD_MAX&amp;" g/cm³ for peat. Above the top of that range usually means the mineral contact has been passed. ","")&amp;IF(AND(ISNUMBER($N505),$N505&gt;QC_CARBON_PCT_MAX),"Carbon above "&amp;QC_CARBON_PCT_MAX&amp;"% — check units; this may be organic matter rather than carbon. ","")&amp;IF(AND($L505&lt;&gt;"",$M505&lt;&gt;""),"Both LOI and measured carbon given — the measured value is used. ","")&amp;IF(AND($M505="",$L505&lt;&gt;"",OM_FACTOR_IS_LOCAL&lt;&gt;"Yes"),"Carbon derived from LOI using the default factor of "&amp;CARBON_FRACTION_OM&amp;", which has not been calibrated locally. See R1. Reference. ","")&amp;IF(AND(ISNUMBER($O505),$O505=0,ISNUMBER($E505)),"Section lies entirely below the reference depth — it counts to the full-profile stock only. ",""))</f>
        <v/>
      </c>
      <c r="U505" s="14" t="n"/>
    </row>
    <row r="506">
      <c r="A506" s="14" t="n"/>
      <c r="B506" s="14" t="n"/>
      <c r="C506" s="14" t="n"/>
      <c r="D506" s="14" t="n"/>
      <c r="E506" s="14" t="n"/>
      <c r="F506" s="14" t="n"/>
      <c r="G506" s="14">
        <f>IF(OR($E506="",$F506=""),"",$F506-$E506)</f>
        <v/>
      </c>
      <c r="H506" s="14" t="n"/>
      <c r="I506" s="14" t="n"/>
      <c r="J506" s="19" t="n"/>
      <c r="K506" s="19" t="n"/>
      <c r="L506" s="19" t="n"/>
      <c r="M506" s="19" t="n"/>
      <c r="N506" s="18">
        <f>IF($M506&lt;&gt;"",$M506,IF($L506&lt;&gt;"",$L506*CARBON_FRACTION_OM,""))</f>
        <v/>
      </c>
      <c r="O506" s="18">
        <f>IF(OR($E506="",$F506=""),"",MAX(0,MIN($F506,REFERENCE_DEPTH_CM)-MIN($E506,REFERENCE_DEPTH_CM)))</f>
        <v/>
      </c>
      <c r="P506" s="18">
        <f>IF(OR($J506="",$N506="",$G506=""),"",$J506*($N506/100)*$G506*10)</f>
        <v/>
      </c>
      <c r="Q506" s="18">
        <f>IF(OR($J506="",$N506="",$O506=""),"",$J506*($N506/100)*$O506*10)</f>
        <v/>
      </c>
      <c r="R506" s="18">
        <f>IF(OR(NOT(ISNUMBER($P506)),NOT(ISNUMBER($G506)),$G506=0),0,$P506/$G506)</f>
        <v/>
      </c>
      <c r="S506" s="18">
        <f>IF(OR($B506="",NOT(ISNUMBER($F506))),"",SUMIFS('3. Peat Data'!$P$5:$P$604,'3. Peat Data'!$B$5:$B$604,$B506,'3. Peat Data'!$F$5:$F$604,"&lt;="&amp;$F506))</f>
        <v/>
      </c>
      <c r="T506" s="18">
        <f>IF(AND($A506="",$B506="",$E506=""),"",IF(AND($B506&lt;&gt;"",COUNTIF('2. Core Log'!$A$5:$A$124,$B506)=0),"Core ID not in Core Log. ","")&amp;IF(AND($A506&lt;&gt;"",COUNTIF('1. Plot &amp; Site Log'!$A$5:$A$64,$A506)=0),"Plot ID not in Plot &amp; Site Log. ","")&amp;IF(AND(ISNUMBER($E506),ISNUMBER($F506),$F506&lt;=$E506),"Bottom depth is not below top depth. ","")&amp;IF($I506="","Say which bulk-density basis the lab reported. ","")&amp;IF(AND(ISNUMBER($J506),OR($J506&lt;QC_BD_MIN,$J506&gt;QC_BD_MAX)),"Bulk density outside "&amp;QC_BD_MIN&amp;"–"&amp;QC_BD_MAX&amp;" g/cm³ for peat. Above the top of that range usually means the mineral contact has been passed. ","")&amp;IF(AND(ISNUMBER($N506),$N506&gt;QC_CARBON_PCT_MAX),"Carbon above "&amp;QC_CARBON_PCT_MAX&amp;"% — check units; this may be organic matter rather than carbon. ","")&amp;IF(AND($L506&lt;&gt;"",$M506&lt;&gt;""),"Both LOI and measured carbon given — the measured value is used. ","")&amp;IF(AND($M506="",$L506&lt;&gt;"",OM_FACTOR_IS_LOCAL&lt;&gt;"Yes"),"Carbon derived from LOI using the default factor of "&amp;CARBON_FRACTION_OM&amp;", which has not been calibrated locally. See R1. Reference. ","")&amp;IF(AND(ISNUMBER($O506),$O506=0,ISNUMBER($E506)),"Section lies entirely below the reference depth — it counts to the full-profile stock only. ",""))</f>
        <v/>
      </c>
      <c r="U506" s="14" t="n"/>
    </row>
    <row r="507">
      <c r="A507" s="14" t="n"/>
      <c r="B507" s="14" t="n"/>
      <c r="C507" s="14" t="n"/>
      <c r="D507" s="14" t="n"/>
      <c r="E507" s="14" t="n"/>
      <c r="F507" s="14" t="n"/>
      <c r="G507" s="14">
        <f>IF(OR($E507="",$F507=""),"",$F507-$E507)</f>
        <v/>
      </c>
      <c r="H507" s="14" t="n"/>
      <c r="I507" s="14" t="n"/>
      <c r="J507" s="19" t="n"/>
      <c r="K507" s="19" t="n"/>
      <c r="L507" s="19" t="n"/>
      <c r="M507" s="19" t="n"/>
      <c r="N507" s="18">
        <f>IF($M507&lt;&gt;"",$M507,IF($L507&lt;&gt;"",$L507*CARBON_FRACTION_OM,""))</f>
        <v/>
      </c>
      <c r="O507" s="18">
        <f>IF(OR($E507="",$F507=""),"",MAX(0,MIN($F507,REFERENCE_DEPTH_CM)-MIN($E507,REFERENCE_DEPTH_CM)))</f>
        <v/>
      </c>
      <c r="P507" s="18">
        <f>IF(OR($J507="",$N507="",$G507=""),"",$J507*($N507/100)*$G507*10)</f>
        <v/>
      </c>
      <c r="Q507" s="18">
        <f>IF(OR($J507="",$N507="",$O507=""),"",$J507*($N507/100)*$O507*10)</f>
        <v/>
      </c>
      <c r="R507" s="18">
        <f>IF(OR(NOT(ISNUMBER($P507)),NOT(ISNUMBER($G507)),$G507=0),0,$P507/$G507)</f>
        <v/>
      </c>
      <c r="S507" s="18">
        <f>IF(OR($B507="",NOT(ISNUMBER($F507))),"",SUMIFS('3. Peat Data'!$P$5:$P$604,'3. Peat Data'!$B$5:$B$604,$B507,'3. Peat Data'!$F$5:$F$604,"&lt;="&amp;$F507))</f>
        <v/>
      </c>
      <c r="T507" s="18">
        <f>IF(AND($A507="",$B507="",$E507=""),"",IF(AND($B507&lt;&gt;"",COUNTIF('2. Core Log'!$A$5:$A$124,$B507)=0),"Core ID not in Core Log. ","")&amp;IF(AND($A507&lt;&gt;"",COUNTIF('1. Plot &amp; Site Log'!$A$5:$A$64,$A507)=0),"Plot ID not in Plot &amp; Site Log. ","")&amp;IF(AND(ISNUMBER($E507),ISNUMBER($F507),$F507&lt;=$E507),"Bottom depth is not below top depth. ","")&amp;IF($I507="","Say which bulk-density basis the lab reported. ","")&amp;IF(AND(ISNUMBER($J507),OR($J507&lt;QC_BD_MIN,$J507&gt;QC_BD_MAX)),"Bulk density outside "&amp;QC_BD_MIN&amp;"–"&amp;QC_BD_MAX&amp;" g/cm³ for peat. Above the top of that range usually means the mineral contact has been passed. ","")&amp;IF(AND(ISNUMBER($N507),$N507&gt;QC_CARBON_PCT_MAX),"Carbon above "&amp;QC_CARBON_PCT_MAX&amp;"% — check units; this may be organic matter rather than carbon. ","")&amp;IF(AND($L507&lt;&gt;"",$M507&lt;&gt;""),"Both LOI and measured carbon given — the measured value is used. ","")&amp;IF(AND($M507="",$L507&lt;&gt;"",OM_FACTOR_IS_LOCAL&lt;&gt;"Yes"),"Carbon derived from LOI using the default factor of "&amp;CARBON_FRACTION_OM&amp;", which has not been calibrated locally. See R1. Reference. ","")&amp;IF(AND(ISNUMBER($O507),$O507=0,ISNUMBER($E507)),"Section lies entirely below the reference depth — it counts to the full-profile stock only. ",""))</f>
        <v/>
      </c>
      <c r="U507" s="14" t="n"/>
    </row>
    <row r="508">
      <c r="A508" s="14" t="n"/>
      <c r="B508" s="14" t="n"/>
      <c r="C508" s="14" t="n"/>
      <c r="D508" s="14" t="n"/>
      <c r="E508" s="14" t="n"/>
      <c r="F508" s="14" t="n"/>
      <c r="G508" s="14">
        <f>IF(OR($E508="",$F508=""),"",$F508-$E508)</f>
        <v/>
      </c>
      <c r="H508" s="14" t="n"/>
      <c r="I508" s="14" t="n"/>
      <c r="J508" s="19" t="n"/>
      <c r="K508" s="19" t="n"/>
      <c r="L508" s="19" t="n"/>
      <c r="M508" s="19" t="n"/>
      <c r="N508" s="18">
        <f>IF($M508&lt;&gt;"",$M508,IF($L508&lt;&gt;"",$L508*CARBON_FRACTION_OM,""))</f>
        <v/>
      </c>
      <c r="O508" s="18">
        <f>IF(OR($E508="",$F508=""),"",MAX(0,MIN($F508,REFERENCE_DEPTH_CM)-MIN($E508,REFERENCE_DEPTH_CM)))</f>
        <v/>
      </c>
      <c r="P508" s="18">
        <f>IF(OR($J508="",$N508="",$G508=""),"",$J508*($N508/100)*$G508*10)</f>
        <v/>
      </c>
      <c r="Q508" s="18">
        <f>IF(OR($J508="",$N508="",$O508=""),"",$J508*($N508/100)*$O508*10)</f>
        <v/>
      </c>
      <c r="R508" s="18">
        <f>IF(OR(NOT(ISNUMBER($P508)),NOT(ISNUMBER($G508)),$G508=0),0,$P508/$G508)</f>
        <v/>
      </c>
      <c r="S508" s="18">
        <f>IF(OR($B508="",NOT(ISNUMBER($F508))),"",SUMIFS('3. Peat Data'!$P$5:$P$604,'3. Peat Data'!$B$5:$B$604,$B508,'3. Peat Data'!$F$5:$F$604,"&lt;="&amp;$F508))</f>
        <v/>
      </c>
      <c r="T508" s="18">
        <f>IF(AND($A508="",$B508="",$E508=""),"",IF(AND($B508&lt;&gt;"",COUNTIF('2. Core Log'!$A$5:$A$124,$B508)=0),"Core ID not in Core Log. ","")&amp;IF(AND($A508&lt;&gt;"",COUNTIF('1. Plot &amp; Site Log'!$A$5:$A$64,$A508)=0),"Plot ID not in Plot &amp; Site Log. ","")&amp;IF(AND(ISNUMBER($E508),ISNUMBER($F508),$F508&lt;=$E508),"Bottom depth is not below top depth. ","")&amp;IF($I508="","Say which bulk-density basis the lab reported. ","")&amp;IF(AND(ISNUMBER($J508),OR($J508&lt;QC_BD_MIN,$J508&gt;QC_BD_MAX)),"Bulk density outside "&amp;QC_BD_MIN&amp;"–"&amp;QC_BD_MAX&amp;" g/cm³ for peat. Above the top of that range usually means the mineral contact has been passed. ","")&amp;IF(AND(ISNUMBER($N508),$N508&gt;QC_CARBON_PCT_MAX),"Carbon above "&amp;QC_CARBON_PCT_MAX&amp;"% — check units; this may be organic matter rather than carbon. ","")&amp;IF(AND($L508&lt;&gt;"",$M508&lt;&gt;""),"Both LOI and measured carbon given — the measured value is used. ","")&amp;IF(AND($M508="",$L508&lt;&gt;"",OM_FACTOR_IS_LOCAL&lt;&gt;"Yes"),"Carbon derived from LOI using the default factor of "&amp;CARBON_FRACTION_OM&amp;", which has not been calibrated locally. See R1. Reference. ","")&amp;IF(AND(ISNUMBER($O508),$O508=0,ISNUMBER($E508)),"Section lies entirely below the reference depth — it counts to the full-profile stock only. ",""))</f>
        <v/>
      </c>
      <c r="U508" s="14" t="n"/>
    </row>
    <row r="509">
      <c r="A509" s="14" t="n"/>
      <c r="B509" s="14" t="n"/>
      <c r="C509" s="14" t="n"/>
      <c r="D509" s="14" t="n"/>
      <c r="E509" s="14" t="n"/>
      <c r="F509" s="14" t="n"/>
      <c r="G509" s="14">
        <f>IF(OR($E509="",$F509=""),"",$F509-$E509)</f>
        <v/>
      </c>
      <c r="H509" s="14" t="n"/>
      <c r="I509" s="14" t="n"/>
      <c r="J509" s="19" t="n"/>
      <c r="K509" s="19" t="n"/>
      <c r="L509" s="19" t="n"/>
      <c r="M509" s="19" t="n"/>
      <c r="N509" s="18">
        <f>IF($M509&lt;&gt;"",$M509,IF($L509&lt;&gt;"",$L509*CARBON_FRACTION_OM,""))</f>
        <v/>
      </c>
      <c r="O509" s="18">
        <f>IF(OR($E509="",$F509=""),"",MAX(0,MIN($F509,REFERENCE_DEPTH_CM)-MIN($E509,REFERENCE_DEPTH_CM)))</f>
        <v/>
      </c>
      <c r="P509" s="18">
        <f>IF(OR($J509="",$N509="",$G509=""),"",$J509*($N509/100)*$G509*10)</f>
        <v/>
      </c>
      <c r="Q509" s="18">
        <f>IF(OR($J509="",$N509="",$O509=""),"",$J509*($N509/100)*$O509*10)</f>
        <v/>
      </c>
      <c r="R509" s="18">
        <f>IF(OR(NOT(ISNUMBER($P509)),NOT(ISNUMBER($G509)),$G509=0),0,$P509/$G509)</f>
        <v/>
      </c>
      <c r="S509" s="18">
        <f>IF(OR($B509="",NOT(ISNUMBER($F509))),"",SUMIFS('3. Peat Data'!$P$5:$P$604,'3. Peat Data'!$B$5:$B$604,$B509,'3. Peat Data'!$F$5:$F$604,"&lt;="&amp;$F509))</f>
        <v/>
      </c>
      <c r="T509" s="18">
        <f>IF(AND($A509="",$B509="",$E509=""),"",IF(AND($B509&lt;&gt;"",COUNTIF('2. Core Log'!$A$5:$A$124,$B509)=0),"Core ID not in Core Log. ","")&amp;IF(AND($A509&lt;&gt;"",COUNTIF('1. Plot &amp; Site Log'!$A$5:$A$64,$A509)=0),"Plot ID not in Plot &amp; Site Log. ","")&amp;IF(AND(ISNUMBER($E509),ISNUMBER($F509),$F509&lt;=$E509),"Bottom depth is not below top depth. ","")&amp;IF($I509="","Say which bulk-density basis the lab reported. ","")&amp;IF(AND(ISNUMBER($J509),OR($J509&lt;QC_BD_MIN,$J509&gt;QC_BD_MAX)),"Bulk density outside "&amp;QC_BD_MIN&amp;"–"&amp;QC_BD_MAX&amp;" g/cm³ for peat. Above the top of that range usually means the mineral contact has been passed. ","")&amp;IF(AND(ISNUMBER($N509),$N509&gt;QC_CARBON_PCT_MAX),"Carbon above "&amp;QC_CARBON_PCT_MAX&amp;"% — check units; this may be organic matter rather than carbon. ","")&amp;IF(AND($L509&lt;&gt;"",$M509&lt;&gt;""),"Both LOI and measured carbon given — the measured value is used. ","")&amp;IF(AND($M509="",$L509&lt;&gt;"",OM_FACTOR_IS_LOCAL&lt;&gt;"Yes"),"Carbon derived from LOI using the default factor of "&amp;CARBON_FRACTION_OM&amp;", which has not been calibrated locally. See R1. Reference. ","")&amp;IF(AND(ISNUMBER($O509),$O509=0,ISNUMBER($E509)),"Section lies entirely below the reference depth — it counts to the full-profile stock only. ",""))</f>
        <v/>
      </c>
      <c r="U509" s="14" t="n"/>
    </row>
    <row r="510">
      <c r="A510" s="14" t="n"/>
      <c r="B510" s="14" t="n"/>
      <c r="C510" s="14" t="n"/>
      <c r="D510" s="14" t="n"/>
      <c r="E510" s="14" t="n"/>
      <c r="F510" s="14" t="n"/>
      <c r="G510" s="14">
        <f>IF(OR($E510="",$F510=""),"",$F510-$E510)</f>
        <v/>
      </c>
      <c r="H510" s="14" t="n"/>
      <c r="I510" s="14" t="n"/>
      <c r="J510" s="19" t="n"/>
      <c r="K510" s="19" t="n"/>
      <c r="L510" s="19" t="n"/>
      <c r="M510" s="19" t="n"/>
      <c r="N510" s="18">
        <f>IF($M510&lt;&gt;"",$M510,IF($L510&lt;&gt;"",$L510*CARBON_FRACTION_OM,""))</f>
        <v/>
      </c>
      <c r="O510" s="18">
        <f>IF(OR($E510="",$F510=""),"",MAX(0,MIN($F510,REFERENCE_DEPTH_CM)-MIN($E510,REFERENCE_DEPTH_CM)))</f>
        <v/>
      </c>
      <c r="P510" s="18">
        <f>IF(OR($J510="",$N510="",$G510=""),"",$J510*($N510/100)*$G510*10)</f>
        <v/>
      </c>
      <c r="Q510" s="18">
        <f>IF(OR($J510="",$N510="",$O510=""),"",$J510*($N510/100)*$O510*10)</f>
        <v/>
      </c>
      <c r="R510" s="18">
        <f>IF(OR(NOT(ISNUMBER($P510)),NOT(ISNUMBER($G510)),$G510=0),0,$P510/$G510)</f>
        <v/>
      </c>
      <c r="S510" s="18">
        <f>IF(OR($B510="",NOT(ISNUMBER($F510))),"",SUMIFS('3. Peat Data'!$P$5:$P$604,'3. Peat Data'!$B$5:$B$604,$B510,'3. Peat Data'!$F$5:$F$604,"&lt;="&amp;$F510))</f>
        <v/>
      </c>
      <c r="T510" s="18">
        <f>IF(AND($A510="",$B510="",$E510=""),"",IF(AND($B510&lt;&gt;"",COUNTIF('2. Core Log'!$A$5:$A$124,$B510)=0),"Core ID not in Core Log. ","")&amp;IF(AND($A510&lt;&gt;"",COUNTIF('1. Plot &amp; Site Log'!$A$5:$A$64,$A510)=0),"Plot ID not in Plot &amp; Site Log. ","")&amp;IF(AND(ISNUMBER($E510),ISNUMBER($F510),$F510&lt;=$E510),"Bottom depth is not below top depth. ","")&amp;IF($I510="","Say which bulk-density basis the lab reported. ","")&amp;IF(AND(ISNUMBER($J510),OR($J510&lt;QC_BD_MIN,$J510&gt;QC_BD_MAX)),"Bulk density outside "&amp;QC_BD_MIN&amp;"–"&amp;QC_BD_MAX&amp;" g/cm³ for peat. Above the top of that range usually means the mineral contact has been passed. ","")&amp;IF(AND(ISNUMBER($N510),$N510&gt;QC_CARBON_PCT_MAX),"Carbon above "&amp;QC_CARBON_PCT_MAX&amp;"% — check units; this may be organic matter rather than carbon. ","")&amp;IF(AND($L510&lt;&gt;"",$M510&lt;&gt;""),"Both LOI and measured carbon given — the measured value is used. ","")&amp;IF(AND($M510="",$L510&lt;&gt;"",OM_FACTOR_IS_LOCAL&lt;&gt;"Yes"),"Carbon derived from LOI using the default factor of "&amp;CARBON_FRACTION_OM&amp;", which has not been calibrated locally. See R1. Reference. ","")&amp;IF(AND(ISNUMBER($O510),$O510=0,ISNUMBER($E510)),"Section lies entirely below the reference depth — it counts to the full-profile stock only. ",""))</f>
        <v/>
      </c>
      <c r="U510" s="14" t="n"/>
    </row>
    <row r="511">
      <c r="A511" s="14" t="n"/>
      <c r="B511" s="14" t="n"/>
      <c r="C511" s="14" t="n"/>
      <c r="D511" s="14" t="n"/>
      <c r="E511" s="14" t="n"/>
      <c r="F511" s="14" t="n"/>
      <c r="G511" s="14">
        <f>IF(OR($E511="",$F511=""),"",$F511-$E511)</f>
        <v/>
      </c>
      <c r="H511" s="14" t="n"/>
      <c r="I511" s="14" t="n"/>
      <c r="J511" s="19" t="n"/>
      <c r="K511" s="19" t="n"/>
      <c r="L511" s="19" t="n"/>
      <c r="M511" s="19" t="n"/>
      <c r="N511" s="18">
        <f>IF($M511&lt;&gt;"",$M511,IF($L511&lt;&gt;"",$L511*CARBON_FRACTION_OM,""))</f>
        <v/>
      </c>
      <c r="O511" s="18">
        <f>IF(OR($E511="",$F511=""),"",MAX(0,MIN($F511,REFERENCE_DEPTH_CM)-MIN($E511,REFERENCE_DEPTH_CM)))</f>
        <v/>
      </c>
      <c r="P511" s="18">
        <f>IF(OR($J511="",$N511="",$G511=""),"",$J511*($N511/100)*$G511*10)</f>
        <v/>
      </c>
      <c r="Q511" s="18">
        <f>IF(OR($J511="",$N511="",$O511=""),"",$J511*($N511/100)*$O511*10)</f>
        <v/>
      </c>
      <c r="R511" s="18">
        <f>IF(OR(NOT(ISNUMBER($P511)),NOT(ISNUMBER($G511)),$G511=0),0,$P511/$G511)</f>
        <v/>
      </c>
      <c r="S511" s="18">
        <f>IF(OR($B511="",NOT(ISNUMBER($F511))),"",SUMIFS('3. Peat Data'!$P$5:$P$604,'3. Peat Data'!$B$5:$B$604,$B511,'3. Peat Data'!$F$5:$F$604,"&lt;="&amp;$F511))</f>
        <v/>
      </c>
      <c r="T511" s="18">
        <f>IF(AND($A511="",$B511="",$E511=""),"",IF(AND($B511&lt;&gt;"",COUNTIF('2. Core Log'!$A$5:$A$124,$B511)=0),"Core ID not in Core Log. ","")&amp;IF(AND($A511&lt;&gt;"",COUNTIF('1. Plot &amp; Site Log'!$A$5:$A$64,$A511)=0),"Plot ID not in Plot &amp; Site Log. ","")&amp;IF(AND(ISNUMBER($E511),ISNUMBER($F511),$F511&lt;=$E511),"Bottom depth is not below top depth. ","")&amp;IF($I511="","Say which bulk-density basis the lab reported. ","")&amp;IF(AND(ISNUMBER($J511),OR($J511&lt;QC_BD_MIN,$J511&gt;QC_BD_MAX)),"Bulk density outside "&amp;QC_BD_MIN&amp;"–"&amp;QC_BD_MAX&amp;" g/cm³ for peat. Above the top of that range usually means the mineral contact has been passed. ","")&amp;IF(AND(ISNUMBER($N511),$N511&gt;QC_CARBON_PCT_MAX),"Carbon above "&amp;QC_CARBON_PCT_MAX&amp;"% — check units; this may be organic matter rather than carbon. ","")&amp;IF(AND($L511&lt;&gt;"",$M511&lt;&gt;""),"Both LOI and measured carbon given — the measured value is used. ","")&amp;IF(AND($M511="",$L511&lt;&gt;"",OM_FACTOR_IS_LOCAL&lt;&gt;"Yes"),"Carbon derived from LOI using the default factor of "&amp;CARBON_FRACTION_OM&amp;", which has not been calibrated locally. See R1. Reference. ","")&amp;IF(AND(ISNUMBER($O511),$O511=0,ISNUMBER($E511)),"Section lies entirely below the reference depth — it counts to the full-profile stock only. ",""))</f>
        <v/>
      </c>
      <c r="U511" s="14" t="n"/>
    </row>
    <row r="512">
      <c r="A512" s="14" t="n"/>
      <c r="B512" s="14" t="n"/>
      <c r="C512" s="14" t="n"/>
      <c r="D512" s="14" t="n"/>
      <c r="E512" s="14" t="n"/>
      <c r="F512" s="14" t="n"/>
      <c r="G512" s="14">
        <f>IF(OR($E512="",$F512=""),"",$F512-$E512)</f>
        <v/>
      </c>
      <c r="H512" s="14" t="n"/>
      <c r="I512" s="14" t="n"/>
      <c r="J512" s="19" t="n"/>
      <c r="K512" s="19" t="n"/>
      <c r="L512" s="19" t="n"/>
      <c r="M512" s="19" t="n"/>
      <c r="N512" s="18">
        <f>IF($M512&lt;&gt;"",$M512,IF($L512&lt;&gt;"",$L512*CARBON_FRACTION_OM,""))</f>
        <v/>
      </c>
      <c r="O512" s="18">
        <f>IF(OR($E512="",$F512=""),"",MAX(0,MIN($F512,REFERENCE_DEPTH_CM)-MIN($E512,REFERENCE_DEPTH_CM)))</f>
        <v/>
      </c>
      <c r="P512" s="18">
        <f>IF(OR($J512="",$N512="",$G512=""),"",$J512*($N512/100)*$G512*10)</f>
        <v/>
      </c>
      <c r="Q512" s="18">
        <f>IF(OR($J512="",$N512="",$O512=""),"",$J512*($N512/100)*$O512*10)</f>
        <v/>
      </c>
      <c r="R512" s="18">
        <f>IF(OR(NOT(ISNUMBER($P512)),NOT(ISNUMBER($G512)),$G512=0),0,$P512/$G512)</f>
        <v/>
      </c>
      <c r="S512" s="18">
        <f>IF(OR($B512="",NOT(ISNUMBER($F512))),"",SUMIFS('3. Peat Data'!$P$5:$P$604,'3. Peat Data'!$B$5:$B$604,$B512,'3. Peat Data'!$F$5:$F$604,"&lt;="&amp;$F512))</f>
        <v/>
      </c>
      <c r="T512" s="18">
        <f>IF(AND($A512="",$B512="",$E512=""),"",IF(AND($B512&lt;&gt;"",COUNTIF('2. Core Log'!$A$5:$A$124,$B512)=0),"Core ID not in Core Log. ","")&amp;IF(AND($A512&lt;&gt;"",COUNTIF('1. Plot &amp; Site Log'!$A$5:$A$64,$A512)=0),"Plot ID not in Plot &amp; Site Log. ","")&amp;IF(AND(ISNUMBER($E512),ISNUMBER($F512),$F512&lt;=$E512),"Bottom depth is not below top depth. ","")&amp;IF($I512="","Say which bulk-density basis the lab reported. ","")&amp;IF(AND(ISNUMBER($J512),OR($J512&lt;QC_BD_MIN,$J512&gt;QC_BD_MAX)),"Bulk density outside "&amp;QC_BD_MIN&amp;"–"&amp;QC_BD_MAX&amp;" g/cm³ for peat. Above the top of that range usually means the mineral contact has been passed. ","")&amp;IF(AND(ISNUMBER($N512),$N512&gt;QC_CARBON_PCT_MAX),"Carbon above "&amp;QC_CARBON_PCT_MAX&amp;"% — check units; this may be organic matter rather than carbon. ","")&amp;IF(AND($L512&lt;&gt;"",$M512&lt;&gt;""),"Both LOI and measured carbon given — the measured value is used. ","")&amp;IF(AND($M512="",$L512&lt;&gt;"",OM_FACTOR_IS_LOCAL&lt;&gt;"Yes"),"Carbon derived from LOI using the default factor of "&amp;CARBON_FRACTION_OM&amp;", which has not been calibrated locally. See R1. Reference. ","")&amp;IF(AND(ISNUMBER($O512),$O512=0,ISNUMBER($E512)),"Section lies entirely below the reference depth — it counts to the full-profile stock only. ",""))</f>
        <v/>
      </c>
      <c r="U512" s="14" t="n"/>
    </row>
    <row r="513">
      <c r="A513" s="14" t="n"/>
      <c r="B513" s="14" t="n"/>
      <c r="C513" s="14" t="n"/>
      <c r="D513" s="14" t="n"/>
      <c r="E513" s="14" t="n"/>
      <c r="F513" s="14" t="n"/>
      <c r="G513" s="14">
        <f>IF(OR($E513="",$F513=""),"",$F513-$E513)</f>
        <v/>
      </c>
      <c r="H513" s="14" t="n"/>
      <c r="I513" s="14" t="n"/>
      <c r="J513" s="19" t="n"/>
      <c r="K513" s="19" t="n"/>
      <c r="L513" s="19" t="n"/>
      <c r="M513" s="19" t="n"/>
      <c r="N513" s="18">
        <f>IF($M513&lt;&gt;"",$M513,IF($L513&lt;&gt;"",$L513*CARBON_FRACTION_OM,""))</f>
        <v/>
      </c>
      <c r="O513" s="18">
        <f>IF(OR($E513="",$F513=""),"",MAX(0,MIN($F513,REFERENCE_DEPTH_CM)-MIN($E513,REFERENCE_DEPTH_CM)))</f>
        <v/>
      </c>
      <c r="P513" s="18">
        <f>IF(OR($J513="",$N513="",$G513=""),"",$J513*($N513/100)*$G513*10)</f>
        <v/>
      </c>
      <c r="Q513" s="18">
        <f>IF(OR($J513="",$N513="",$O513=""),"",$J513*($N513/100)*$O513*10)</f>
        <v/>
      </c>
      <c r="R513" s="18">
        <f>IF(OR(NOT(ISNUMBER($P513)),NOT(ISNUMBER($G513)),$G513=0),0,$P513/$G513)</f>
        <v/>
      </c>
      <c r="S513" s="18">
        <f>IF(OR($B513="",NOT(ISNUMBER($F513))),"",SUMIFS('3. Peat Data'!$P$5:$P$604,'3. Peat Data'!$B$5:$B$604,$B513,'3. Peat Data'!$F$5:$F$604,"&lt;="&amp;$F513))</f>
        <v/>
      </c>
      <c r="T513" s="18">
        <f>IF(AND($A513="",$B513="",$E513=""),"",IF(AND($B513&lt;&gt;"",COUNTIF('2. Core Log'!$A$5:$A$124,$B513)=0),"Core ID not in Core Log. ","")&amp;IF(AND($A513&lt;&gt;"",COUNTIF('1. Plot &amp; Site Log'!$A$5:$A$64,$A513)=0),"Plot ID not in Plot &amp; Site Log. ","")&amp;IF(AND(ISNUMBER($E513),ISNUMBER($F513),$F513&lt;=$E513),"Bottom depth is not below top depth. ","")&amp;IF($I513="","Say which bulk-density basis the lab reported. ","")&amp;IF(AND(ISNUMBER($J513),OR($J513&lt;QC_BD_MIN,$J513&gt;QC_BD_MAX)),"Bulk density outside "&amp;QC_BD_MIN&amp;"–"&amp;QC_BD_MAX&amp;" g/cm³ for peat. Above the top of that range usually means the mineral contact has been passed. ","")&amp;IF(AND(ISNUMBER($N513),$N513&gt;QC_CARBON_PCT_MAX),"Carbon above "&amp;QC_CARBON_PCT_MAX&amp;"% — check units; this may be organic matter rather than carbon. ","")&amp;IF(AND($L513&lt;&gt;"",$M513&lt;&gt;""),"Both LOI and measured carbon given — the measured value is used. ","")&amp;IF(AND($M513="",$L513&lt;&gt;"",OM_FACTOR_IS_LOCAL&lt;&gt;"Yes"),"Carbon derived from LOI using the default factor of "&amp;CARBON_FRACTION_OM&amp;", which has not been calibrated locally. See R1. Reference. ","")&amp;IF(AND(ISNUMBER($O513),$O513=0,ISNUMBER($E513)),"Section lies entirely below the reference depth — it counts to the full-profile stock only. ",""))</f>
        <v/>
      </c>
      <c r="U513" s="14" t="n"/>
    </row>
    <row r="514">
      <c r="A514" s="14" t="n"/>
      <c r="B514" s="14" t="n"/>
      <c r="C514" s="14" t="n"/>
      <c r="D514" s="14" t="n"/>
      <c r="E514" s="14" t="n"/>
      <c r="F514" s="14" t="n"/>
      <c r="G514" s="14">
        <f>IF(OR($E514="",$F514=""),"",$F514-$E514)</f>
        <v/>
      </c>
      <c r="H514" s="14" t="n"/>
      <c r="I514" s="14" t="n"/>
      <c r="J514" s="19" t="n"/>
      <c r="K514" s="19" t="n"/>
      <c r="L514" s="19" t="n"/>
      <c r="M514" s="19" t="n"/>
      <c r="N514" s="18">
        <f>IF($M514&lt;&gt;"",$M514,IF($L514&lt;&gt;"",$L514*CARBON_FRACTION_OM,""))</f>
        <v/>
      </c>
      <c r="O514" s="18">
        <f>IF(OR($E514="",$F514=""),"",MAX(0,MIN($F514,REFERENCE_DEPTH_CM)-MIN($E514,REFERENCE_DEPTH_CM)))</f>
        <v/>
      </c>
      <c r="P514" s="18">
        <f>IF(OR($J514="",$N514="",$G514=""),"",$J514*($N514/100)*$G514*10)</f>
        <v/>
      </c>
      <c r="Q514" s="18">
        <f>IF(OR($J514="",$N514="",$O514=""),"",$J514*($N514/100)*$O514*10)</f>
        <v/>
      </c>
      <c r="R514" s="18">
        <f>IF(OR(NOT(ISNUMBER($P514)),NOT(ISNUMBER($G514)),$G514=0),0,$P514/$G514)</f>
        <v/>
      </c>
      <c r="S514" s="18">
        <f>IF(OR($B514="",NOT(ISNUMBER($F514))),"",SUMIFS('3. Peat Data'!$P$5:$P$604,'3. Peat Data'!$B$5:$B$604,$B514,'3. Peat Data'!$F$5:$F$604,"&lt;="&amp;$F514))</f>
        <v/>
      </c>
      <c r="T514" s="18">
        <f>IF(AND($A514="",$B514="",$E514=""),"",IF(AND($B514&lt;&gt;"",COUNTIF('2. Core Log'!$A$5:$A$124,$B514)=0),"Core ID not in Core Log. ","")&amp;IF(AND($A514&lt;&gt;"",COUNTIF('1. Plot &amp; Site Log'!$A$5:$A$64,$A514)=0),"Plot ID not in Plot &amp; Site Log. ","")&amp;IF(AND(ISNUMBER($E514),ISNUMBER($F514),$F514&lt;=$E514),"Bottom depth is not below top depth. ","")&amp;IF($I514="","Say which bulk-density basis the lab reported. ","")&amp;IF(AND(ISNUMBER($J514),OR($J514&lt;QC_BD_MIN,$J514&gt;QC_BD_MAX)),"Bulk density outside "&amp;QC_BD_MIN&amp;"–"&amp;QC_BD_MAX&amp;" g/cm³ for peat. Above the top of that range usually means the mineral contact has been passed. ","")&amp;IF(AND(ISNUMBER($N514),$N514&gt;QC_CARBON_PCT_MAX),"Carbon above "&amp;QC_CARBON_PCT_MAX&amp;"% — check units; this may be organic matter rather than carbon. ","")&amp;IF(AND($L514&lt;&gt;"",$M514&lt;&gt;""),"Both LOI and measured carbon given — the measured value is used. ","")&amp;IF(AND($M514="",$L514&lt;&gt;"",OM_FACTOR_IS_LOCAL&lt;&gt;"Yes"),"Carbon derived from LOI using the default factor of "&amp;CARBON_FRACTION_OM&amp;", which has not been calibrated locally. See R1. Reference. ","")&amp;IF(AND(ISNUMBER($O514),$O514=0,ISNUMBER($E514)),"Section lies entirely below the reference depth — it counts to the full-profile stock only. ",""))</f>
        <v/>
      </c>
      <c r="U514" s="14" t="n"/>
    </row>
    <row r="515">
      <c r="A515" s="14" t="n"/>
      <c r="B515" s="14" t="n"/>
      <c r="C515" s="14" t="n"/>
      <c r="D515" s="14" t="n"/>
      <c r="E515" s="14" t="n"/>
      <c r="F515" s="14" t="n"/>
      <c r="G515" s="14">
        <f>IF(OR($E515="",$F515=""),"",$F515-$E515)</f>
        <v/>
      </c>
      <c r="H515" s="14" t="n"/>
      <c r="I515" s="14" t="n"/>
      <c r="J515" s="19" t="n"/>
      <c r="K515" s="19" t="n"/>
      <c r="L515" s="19" t="n"/>
      <c r="M515" s="19" t="n"/>
      <c r="N515" s="18">
        <f>IF($M515&lt;&gt;"",$M515,IF($L515&lt;&gt;"",$L515*CARBON_FRACTION_OM,""))</f>
        <v/>
      </c>
      <c r="O515" s="18">
        <f>IF(OR($E515="",$F515=""),"",MAX(0,MIN($F515,REFERENCE_DEPTH_CM)-MIN($E515,REFERENCE_DEPTH_CM)))</f>
        <v/>
      </c>
      <c r="P515" s="18">
        <f>IF(OR($J515="",$N515="",$G515=""),"",$J515*($N515/100)*$G515*10)</f>
        <v/>
      </c>
      <c r="Q515" s="18">
        <f>IF(OR($J515="",$N515="",$O515=""),"",$J515*($N515/100)*$O515*10)</f>
        <v/>
      </c>
      <c r="R515" s="18">
        <f>IF(OR(NOT(ISNUMBER($P515)),NOT(ISNUMBER($G515)),$G515=0),0,$P515/$G515)</f>
        <v/>
      </c>
      <c r="S515" s="18">
        <f>IF(OR($B515="",NOT(ISNUMBER($F515))),"",SUMIFS('3. Peat Data'!$P$5:$P$604,'3. Peat Data'!$B$5:$B$604,$B515,'3. Peat Data'!$F$5:$F$604,"&lt;="&amp;$F515))</f>
        <v/>
      </c>
      <c r="T515" s="18">
        <f>IF(AND($A515="",$B515="",$E515=""),"",IF(AND($B515&lt;&gt;"",COUNTIF('2. Core Log'!$A$5:$A$124,$B515)=0),"Core ID not in Core Log. ","")&amp;IF(AND($A515&lt;&gt;"",COUNTIF('1. Plot &amp; Site Log'!$A$5:$A$64,$A515)=0),"Plot ID not in Plot &amp; Site Log. ","")&amp;IF(AND(ISNUMBER($E515),ISNUMBER($F515),$F515&lt;=$E515),"Bottom depth is not below top depth. ","")&amp;IF($I515="","Say which bulk-density basis the lab reported. ","")&amp;IF(AND(ISNUMBER($J515),OR($J515&lt;QC_BD_MIN,$J515&gt;QC_BD_MAX)),"Bulk density outside "&amp;QC_BD_MIN&amp;"–"&amp;QC_BD_MAX&amp;" g/cm³ for peat. Above the top of that range usually means the mineral contact has been passed. ","")&amp;IF(AND(ISNUMBER($N515),$N515&gt;QC_CARBON_PCT_MAX),"Carbon above "&amp;QC_CARBON_PCT_MAX&amp;"% — check units; this may be organic matter rather than carbon. ","")&amp;IF(AND($L515&lt;&gt;"",$M515&lt;&gt;""),"Both LOI and measured carbon given — the measured value is used. ","")&amp;IF(AND($M515="",$L515&lt;&gt;"",OM_FACTOR_IS_LOCAL&lt;&gt;"Yes"),"Carbon derived from LOI using the default factor of "&amp;CARBON_FRACTION_OM&amp;", which has not been calibrated locally. See R1. Reference. ","")&amp;IF(AND(ISNUMBER($O515),$O515=0,ISNUMBER($E515)),"Section lies entirely below the reference depth — it counts to the full-profile stock only. ",""))</f>
        <v/>
      </c>
      <c r="U515" s="14" t="n"/>
    </row>
    <row r="516">
      <c r="A516" s="14" t="n"/>
      <c r="B516" s="14" t="n"/>
      <c r="C516" s="14" t="n"/>
      <c r="D516" s="14" t="n"/>
      <c r="E516" s="14" t="n"/>
      <c r="F516" s="14" t="n"/>
      <c r="G516" s="14">
        <f>IF(OR($E516="",$F516=""),"",$F516-$E516)</f>
        <v/>
      </c>
      <c r="H516" s="14" t="n"/>
      <c r="I516" s="14" t="n"/>
      <c r="J516" s="19" t="n"/>
      <c r="K516" s="19" t="n"/>
      <c r="L516" s="19" t="n"/>
      <c r="M516" s="19" t="n"/>
      <c r="N516" s="18">
        <f>IF($M516&lt;&gt;"",$M516,IF($L516&lt;&gt;"",$L516*CARBON_FRACTION_OM,""))</f>
        <v/>
      </c>
      <c r="O516" s="18">
        <f>IF(OR($E516="",$F516=""),"",MAX(0,MIN($F516,REFERENCE_DEPTH_CM)-MIN($E516,REFERENCE_DEPTH_CM)))</f>
        <v/>
      </c>
      <c r="P516" s="18">
        <f>IF(OR($J516="",$N516="",$G516=""),"",$J516*($N516/100)*$G516*10)</f>
        <v/>
      </c>
      <c r="Q516" s="18">
        <f>IF(OR($J516="",$N516="",$O516=""),"",$J516*($N516/100)*$O516*10)</f>
        <v/>
      </c>
      <c r="R516" s="18">
        <f>IF(OR(NOT(ISNUMBER($P516)),NOT(ISNUMBER($G516)),$G516=0),0,$P516/$G516)</f>
        <v/>
      </c>
      <c r="S516" s="18">
        <f>IF(OR($B516="",NOT(ISNUMBER($F516))),"",SUMIFS('3. Peat Data'!$P$5:$P$604,'3. Peat Data'!$B$5:$B$604,$B516,'3. Peat Data'!$F$5:$F$604,"&lt;="&amp;$F516))</f>
        <v/>
      </c>
      <c r="T516" s="18">
        <f>IF(AND($A516="",$B516="",$E516=""),"",IF(AND($B516&lt;&gt;"",COUNTIF('2. Core Log'!$A$5:$A$124,$B516)=0),"Core ID not in Core Log. ","")&amp;IF(AND($A516&lt;&gt;"",COUNTIF('1. Plot &amp; Site Log'!$A$5:$A$64,$A516)=0),"Plot ID not in Plot &amp; Site Log. ","")&amp;IF(AND(ISNUMBER($E516),ISNUMBER($F516),$F516&lt;=$E516),"Bottom depth is not below top depth. ","")&amp;IF($I516="","Say which bulk-density basis the lab reported. ","")&amp;IF(AND(ISNUMBER($J516),OR($J516&lt;QC_BD_MIN,$J516&gt;QC_BD_MAX)),"Bulk density outside "&amp;QC_BD_MIN&amp;"–"&amp;QC_BD_MAX&amp;" g/cm³ for peat. Above the top of that range usually means the mineral contact has been passed. ","")&amp;IF(AND(ISNUMBER($N516),$N516&gt;QC_CARBON_PCT_MAX),"Carbon above "&amp;QC_CARBON_PCT_MAX&amp;"% — check units; this may be organic matter rather than carbon. ","")&amp;IF(AND($L516&lt;&gt;"",$M516&lt;&gt;""),"Both LOI and measured carbon given — the measured value is used. ","")&amp;IF(AND($M516="",$L516&lt;&gt;"",OM_FACTOR_IS_LOCAL&lt;&gt;"Yes"),"Carbon derived from LOI using the default factor of "&amp;CARBON_FRACTION_OM&amp;", which has not been calibrated locally. See R1. Reference. ","")&amp;IF(AND(ISNUMBER($O516),$O516=0,ISNUMBER($E516)),"Section lies entirely below the reference depth — it counts to the full-profile stock only. ",""))</f>
        <v/>
      </c>
      <c r="U516" s="14" t="n"/>
    </row>
    <row r="517">
      <c r="A517" s="14" t="n"/>
      <c r="B517" s="14" t="n"/>
      <c r="C517" s="14" t="n"/>
      <c r="D517" s="14" t="n"/>
      <c r="E517" s="14" t="n"/>
      <c r="F517" s="14" t="n"/>
      <c r="G517" s="14">
        <f>IF(OR($E517="",$F517=""),"",$F517-$E517)</f>
        <v/>
      </c>
      <c r="H517" s="14" t="n"/>
      <c r="I517" s="14" t="n"/>
      <c r="J517" s="19" t="n"/>
      <c r="K517" s="19" t="n"/>
      <c r="L517" s="19" t="n"/>
      <c r="M517" s="19" t="n"/>
      <c r="N517" s="18">
        <f>IF($M517&lt;&gt;"",$M517,IF($L517&lt;&gt;"",$L517*CARBON_FRACTION_OM,""))</f>
        <v/>
      </c>
      <c r="O517" s="18">
        <f>IF(OR($E517="",$F517=""),"",MAX(0,MIN($F517,REFERENCE_DEPTH_CM)-MIN($E517,REFERENCE_DEPTH_CM)))</f>
        <v/>
      </c>
      <c r="P517" s="18">
        <f>IF(OR($J517="",$N517="",$G517=""),"",$J517*($N517/100)*$G517*10)</f>
        <v/>
      </c>
      <c r="Q517" s="18">
        <f>IF(OR($J517="",$N517="",$O517=""),"",$J517*($N517/100)*$O517*10)</f>
        <v/>
      </c>
      <c r="R517" s="18">
        <f>IF(OR(NOT(ISNUMBER($P517)),NOT(ISNUMBER($G517)),$G517=0),0,$P517/$G517)</f>
        <v/>
      </c>
      <c r="S517" s="18">
        <f>IF(OR($B517="",NOT(ISNUMBER($F517))),"",SUMIFS('3. Peat Data'!$P$5:$P$604,'3. Peat Data'!$B$5:$B$604,$B517,'3. Peat Data'!$F$5:$F$604,"&lt;="&amp;$F517))</f>
        <v/>
      </c>
      <c r="T517" s="18">
        <f>IF(AND($A517="",$B517="",$E517=""),"",IF(AND($B517&lt;&gt;"",COUNTIF('2. Core Log'!$A$5:$A$124,$B517)=0),"Core ID not in Core Log. ","")&amp;IF(AND($A517&lt;&gt;"",COUNTIF('1. Plot &amp; Site Log'!$A$5:$A$64,$A517)=0),"Plot ID not in Plot &amp; Site Log. ","")&amp;IF(AND(ISNUMBER($E517),ISNUMBER($F517),$F517&lt;=$E517),"Bottom depth is not below top depth. ","")&amp;IF($I517="","Say which bulk-density basis the lab reported. ","")&amp;IF(AND(ISNUMBER($J517),OR($J517&lt;QC_BD_MIN,$J517&gt;QC_BD_MAX)),"Bulk density outside "&amp;QC_BD_MIN&amp;"–"&amp;QC_BD_MAX&amp;" g/cm³ for peat. Above the top of that range usually means the mineral contact has been passed. ","")&amp;IF(AND(ISNUMBER($N517),$N517&gt;QC_CARBON_PCT_MAX),"Carbon above "&amp;QC_CARBON_PCT_MAX&amp;"% — check units; this may be organic matter rather than carbon. ","")&amp;IF(AND($L517&lt;&gt;"",$M517&lt;&gt;""),"Both LOI and measured carbon given — the measured value is used. ","")&amp;IF(AND($M517="",$L517&lt;&gt;"",OM_FACTOR_IS_LOCAL&lt;&gt;"Yes"),"Carbon derived from LOI using the default factor of "&amp;CARBON_FRACTION_OM&amp;", which has not been calibrated locally. See R1. Reference. ","")&amp;IF(AND(ISNUMBER($O517),$O517=0,ISNUMBER($E517)),"Section lies entirely below the reference depth — it counts to the full-profile stock only. ",""))</f>
        <v/>
      </c>
      <c r="U517" s="14" t="n"/>
    </row>
    <row r="518">
      <c r="A518" s="14" t="n"/>
      <c r="B518" s="14" t="n"/>
      <c r="C518" s="14" t="n"/>
      <c r="D518" s="14" t="n"/>
      <c r="E518" s="14" t="n"/>
      <c r="F518" s="14" t="n"/>
      <c r="G518" s="14">
        <f>IF(OR($E518="",$F518=""),"",$F518-$E518)</f>
        <v/>
      </c>
      <c r="H518" s="14" t="n"/>
      <c r="I518" s="14" t="n"/>
      <c r="J518" s="19" t="n"/>
      <c r="K518" s="19" t="n"/>
      <c r="L518" s="19" t="n"/>
      <c r="M518" s="19" t="n"/>
      <c r="N518" s="18">
        <f>IF($M518&lt;&gt;"",$M518,IF($L518&lt;&gt;"",$L518*CARBON_FRACTION_OM,""))</f>
        <v/>
      </c>
      <c r="O518" s="18">
        <f>IF(OR($E518="",$F518=""),"",MAX(0,MIN($F518,REFERENCE_DEPTH_CM)-MIN($E518,REFERENCE_DEPTH_CM)))</f>
        <v/>
      </c>
      <c r="P518" s="18">
        <f>IF(OR($J518="",$N518="",$G518=""),"",$J518*($N518/100)*$G518*10)</f>
        <v/>
      </c>
      <c r="Q518" s="18">
        <f>IF(OR($J518="",$N518="",$O518=""),"",$J518*($N518/100)*$O518*10)</f>
        <v/>
      </c>
      <c r="R518" s="18">
        <f>IF(OR(NOT(ISNUMBER($P518)),NOT(ISNUMBER($G518)),$G518=0),0,$P518/$G518)</f>
        <v/>
      </c>
      <c r="S518" s="18">
        <f>IF(OR($B518="",NOT(ISNUMBER($F518))),"",SUMIFS('3. Peat Data'!$P$5:$P$604,'3. Peat Data'!$B$5:$B$604,$B518,'3. Peat Data'!$F$5:$F$604,"&lt;="&amp;$F518))</f>
        <v/>
      </c>
      <c r="T518" s="18">
        <f>IF(AND($A518="",$B518="",$E518=""),"",IF(AND($B518&lt;&gt;"",COUNTIF('2. Core Log'!$A$5:$A$124,$B518)=0),"Core ID not in Core Log. ","")&amp;IF(AND($A518&lt;&gt;"",COUNTIF('1. Plot &amp; Site Log'!$A$5:$A$64,$A518)=0),"Plot ID not in Plot &amp; Site Log. ","")&amp;IF(AND(ISNUMBER($E518),ISNUMBER($F518),$F518&lt;=$E518),"Bottom depth is not below top depth. ","")&amp;IF($I518="","Say which bulk-density basis the lab reported. ","")&amp;IF(AND(ISNUMBER($J518),OR($J518&lt;QC_BD_MIN,$J518&gt;QC_BD_MAX)),"Bulk density outside "&amp;QC_BD_MIN&amp;"–"&amp;QC_BD_MAX&amp;" g/cm³ for peat. Above the top of that range usually means the mineral contact has been passed. ","")&amp;IF(AND(ISNUMBER($N518),$N518&gt;QC_CARBON_PCT_MAX),"Carbon above "&amp;QC_CARBON_PCT_MAX&amp;"% — check units; this may be organic matter rather than carbon. ","")&amp;IF(AND($L518&lt;&gt;"",$M518&lt;&gt;""),"Both LOI and measured carbon given — the measured value is used. ","")&amp;IF(AND($M518="",$L518&lt;&gt;"",OM_FACTOR_IS_LOCAL&lt;&gt;"Yes"),"Carbon derived from LOI using the default factor of "&amp;CARBON_FRACTION_OM&amp;", which has not been calibrated locally. See R1. Reference. ","")&amp;IF(AND(ISNUMBER($O518),$O518=0,ISNUMBER($E518)),"Section lies entirely below the reference depth — it counts to the full-profile stock only. ",""))</f>
        <v/>
      </c>
      <c r="U518" s="14" t="n"/>
    </row>
    <row r="519">
      <c r="A519" s="14" t="n"/>
      <c r="B519" s="14" t="n"/>
      <c r="C519" s="14" t="n"/>
      <c r="D519" s="14" t="n"/>
      <c r="E519" s="14" t="n"/>
      <c r="F519" s="14" t="n"/>
      <c r="G519" s="14">
        <f>IF(OR($E519="",$F519=""),"",$F519-$E519)</f>
        <v/>
      </c>
      <c r="H519" s="14" t="n"/>
      <c r="I519" s="14" t="n"/>
      <c r="J519" s="19" t="n"/>
      <c r="K519" s="19" t="n"/>
      <c r="L519" s="19" t="n"/>
      <c r="M519" s="19" t="n"/>
      <c r="N519" s="18">
        <f>IF($M519&lt;&gt;"",$M519,IF($L519&lt;&gt;"",$L519*CARBON_FRACTION_OM,""))</f>
        <v/>
      </c>
      <c r="O519" s="18">
        <f>IF(OR($E519="",$F519=""),"",MAX(0,MIN($F519,REFERENCE_DEPTH_CM)-MIN($E519,REFERENCE_DEPTH_CM)))</f>
        <v/>
      </c>
      <c r="P519" s="18">
        <f>IF(OR($J519="",$N519="",$G519=""),"",$J519*($N519/100)*$G519*10)</f>
        <v/>
      </c>
      <c r="Q519" s="18">
        <f>IF(OR($J519="",$N519="",$O519=""),"",$J519*($N519/100)*$O519*10)</f>
        <v/>
      </c>
      <c r="R519" s="18">
        <f>IF(OR(NOT(ISNUMBER($P519)),NOT(ISNUMBER($G519)),$G519=0),0,$P519/$G519)</f>
        <v/>
      </c>
      <c r="S519" s="18">
        <f>IF(OR($B519="",NOT(ISNUMBER($F519))),"",SUMIFS('3. Peat Data'!$P$5:$P$604,'3. Peat Data'!$B$5:$B$604,$B519,'3. Peat Data'!$F$5:$F$604,"&lt;="&amp;$F519))</f>
        <v/>
      </c>
      <c r="T519" s="18">
        <f>IF(AND($A519="",$B519="",$E519=""),"",IF(AND($B519&lt;&gt;"",COUNTIF('2. Core Log'!$A$5:$A$124,$B519)=0),"Core ID not in Core Log. ","")&amp;IF(AND($A519&lt;&gt;"",COUNTIF('1. Plot &amp; Site Log'!$A$5:$A$64,$A519)=0),"Plot ID not in Plot &amp; Site Log. ","")&amp;IF(AND(ISNUMBER($E519),ISNUMBER($F519),$F519&lt;=$E519),"Bottom depth is not below top depth. ","")&amp;IF($I519="","Say which bulk-density basis the lab reported. ","")&amp;IF(AND(ISNUMBER($J519),OR($J519&lt;QC_BD_MIN,$J519&gt;QC_BD_MAX)),"Bulk density outside "&amp;QC_BD_MIN&amp;"–"&amp;QC_BD_MAX&amp;" g/cm³ for peat. Above the top of that range usually means the mineral contact has been passed. ","")&amp;IF(AND(ISNUMBER($N519),$N519&gt;QC_CARBON_PCT_MAX),"Carbon above "&amp;QC_CARBON_PCT_MAX&amp;"% — check units; this may be organic matter rather than carbon. ","")&amp;IF(AND($L519&lt;&gt;"",$M519&lt;&gt;""),"Both LOI and measured carbon given — the measured value is used. ","")&amp;IF(AND($M519="",$L519&lt;&gt;"",OM_FACTOR_IS_LOCAL&lt;&gt;"Yes"),"Carbon derived from LOI using the default factor of "&amp;CARBON_FRACTION_OM&amp;", which has not been calibrated locally. See R1. Reference. ","")&amp;IF(AND(ISNUMBER($O519),$O519=0,ISNUMBER($E519)),"Section lies entirely below the reference depth — it counts to the full-profile stock only. ",""))</f>
        <v/>
      </c>
      <c r="U519" s="14" t="n"/>
    </row>
    <row r="520">
      <c r="A520" s="14" t="n"/>
      <c r="B520" s="14" t="n"/>
      <c r="C520" s="14" t="n"/>
      <c r="D520" s="14" t="n"/>
      <c r="E520" s="14" t="n"/>
      <c r="F520" s="14" t="n"/>
      <c r="G520" s="14">
        <f>IF(OR($E520="",$F520=""),"",$F520-$E520)</f>
        <v/>
      </c>
      <c r="H520" s="14" t="n"/>
      <c r="I520" s="14" t="n"/>
      <c r="J520" s="19" t="n"/>
      <c r="K520" s="19" t="n"/>
      <c r="L520" s="19" t="n"/>
      <c r="M520" s="19" t="n"/>
      <c r="N520" s="18">
        <f>IF($M520&lt;&gt;"",$M520,IF($L520&lt;&gt;"",$L520*CARBON_FRACTION_OM,""))</f>
        <v/>
      </c>
      <c r="O520" s="18">
        <f>IF(OR($E520="",$F520=""),"",MAX(0,MIN($F520,REFERENCE_DEPTH_CM)-MIN($E520,REFERENCE_DEPTH_CM)))</f>
        <v/>
      </c>
      <c r="P520" s="18">
        <f>IF(OR($J520="",$N520="",$G520=""),"",$J520*($N520/100)*$G520*10)</f>
        <v/>
      </c>
      <c r="Q520" s="18">
        <f>IF(OR($J520="",$N520="",$O520=""),"",$J520*($N520/100)*$O520*10)</f>
        <v/>
      </c>
      <c r="R520" s="18">
        <f>IF(OR(NOT(ISNUMBER($P520)),NOT(ISNUMBER($G520)),$G520=0),0,$P520/$G520)</f>
        <v/>
      </c>
      <c r="S520" s="18">
        <f>IF(OR($B520="",NOT(ISNUMBER($F520))),"",SUMIFS('3. Peat Data'!$P$5:$P$604,'3. Peat Data'!$B$5:$B$604,$B520,'3. Peat Data'!$F$5:$F$604,"&lt;="&amp;$F520))</f>
        <v/>
      </c>
      <c r="T520" s="18">
        <f>IF(AND($A520="",$B520="",$E520=""),"",IF(AND($B520&lt;&gt;"",COUNTIF('2. Core Log'!$A$5:$A$124,$B520)=0),"Core ID not in Core Log. ","")&amp;IF(AND($A520&lt;&gt;"",COUNTIF('1. Plot &amp; Site Log'!$A$5:$A$64,$A520)=0),"Plot ID not in Plot &amp; Site Log. ","")&amp;IF(AND(ISNUMBER($E520),ISNUMBER($F520),$F520&lt;=$E520),"Bottom depth is not below top depth. ","")&amp;IF($I520="","Say which bulk-density basis the lab reported. ","")&amp;IF(AND(ISNUMBER($J520),OR($J520&lt;QC_BD_MIN,$J520&gt;QC_BD_MAX)),"Bulk density outside "&amp;QC_BD_MIN&amp;"–"&amp;QC_BD_MAX&amp;" g/cm³ for peat. Above the top of that range usually means the mineral contact has been passed. ","")&amp;IF(AND(ISNUMBER($N520),$N520&gt;QC_CARBON_PCT_MAX),"Carbon above "&amp;QC_CARBON_PCT_MAX&amp;"% — check units; this may be organic matter rather than carbon. ","")&amp;IF(AND($L520&lt;&gt;"",$M520&lt;&gt;""),"Both LOI and measured carbon given — the measured value is used. ","")&amp;IF(AND($M520="",$L520&lt;&gt;"",OM_FACTOR_IS_LOCAL&lt;&gt;"Yes"),"Carbon derived from LOI using the default factor of "&amp;CARBON_FRACTION_OM&amp;", which has not been calibrated locally. See R1. Reference. ","")&amp;IF(AND(ISNUMBER($O520),$O520=0,ISNUMBER($E520)),"Section lies entirely below the reference depth — it counts to the full-profile stock only. ",""))</f>
        <v/>
      </c>
      <c r="U520" s="14" t="n"/>
    </row>
    <row r="521">
      <c r="A521" s="14" t="n"/>
      <c r="B521" s="14" t="n"/>
      <c r="C521" s="14" t="n"/>
      <c r="D521" s="14" t="n"/>
      <c r="E521" s="14" t="n"/>
      <c r="F521" s="14" t="n"/>
      <c r="G521" s="14">
        <f>IF(OR($E521="",$F521=""),"",$F521-$E521)</f>
        <v/>
      </c>
      <c r="H521" s="14" t="n"/>
      <c r="I521" s="14" t="n"/>
      <c r="J521" s="19" t="n"/>
      <c r="K521" s="19" t="n"/>
      <c r="L521" s="19" t="n"/>
      <c r="M521" s="19" t="n"/>
      <c r="N521" s="18">
        <f>IF($M521&lt;&gt;"",$M521,IF($L521&lt;&gt;"",$L521*CARBON_FRACTION_OM,""))</f>
        <v/>
      </c>
      <c r="O521" s="18">
        <f>IF(OR($E521="",$F521=""),"",MAX(0,MIN($F521,REFERENCE_DEPTH_CM)-MIN($E521,REFERENCE_DEPTH_CM)))</f>
        <v/>
      </c>
      <c r="P521" s="18">
        <f>IF(OR($J521="",$N521="",$G521=""),"",$J521*($N521/100)*$G521*10)</f>
        <v/>
      </c>
      <c r="Q521" s="18">
        <f>IF(OR($J521="",$N521="",$O521=""),"",$J521*($N521/100)*$O521*10)</f>
        <v/>
      </c>
      <c r="R521" s="18">
        <f>IF(OR(NOT(ISNUMBER($P521)),NOT(ISNUMBER($G521)),$G521=0),0,$P521/$G521)</f>
        <v/>
      </c>
      <c r="S521" s="18">
        <f>IF(OR($B521="",NOT(ISNUMBER($F521))),"",SUMIFS('3. Peat Data'!$P$5:$P$604,'3. Peat Data'!$B$5:$B$604,$B521,'3. Peat Data'!$F$5:$F$604,"&lt;="&amp;$F521))</f>
        <v/>
      </c>
      <c r="T521" s="18">
        <f>IF(AND($A521="",$B521="",$E521=""),"",IF(AND($B521&lt;&gt;"",COUNTIF('2. Core Log'!$A$5:$A$124,$B521)=0),"Core ID not in Core Log. ","")&amp;IF(AND($A521&lt;&gt;"",COUNTIF('1. Plot &amp; Site Log'!$A$5:$A$64,$A521)=0),"Plot ID not in Plot &amp; Site Log. ","")&amp;IF(AND(ISNUMBER($E521),ISNUMBER($F521),$F521&lt;=$E521),"Bottom depth is not below top depth. ","")&amp;IF($I521="","Say which bulk-density basis the lab reported. ","")&amp;IF(AND(ISNUMBER($J521),OR($J521&lt;QC_BD_MIN,$J521&gt;QC_BD_MAX)),"Bulk density outside "&amp;QC_BD_MIN&amp;"–"&amp;QC_BD_MAX&amp;" g/cm³ for peat. Above the top of that range usually means the mineral contact has been passed. ","")&amp;IF(AND(ISNUMBER($N521),$N521&gt;QC_CARBON_PCT_MAX),"Carbon above "&amp;QC_CARBON_PCT_MAX&amp;"% — check units; this may be organic matter rather than carbon. ","")&amp;IF(AND($L521&lt;&gt;"",$M521&lt;&gt;""),"Both LOI and measured carbon given — the measured value is used. ","")&amp;IF(AND($M521="",$L521&lt;&gt;"",OM_FACTOR_IS_LOCAL&lt;&gt;"Yes"),"Carbon derived from LOI using the default factor of "&amp;CARBON_FRACTION_OM&amp;", which has not been calibrated locally. See R1. Reference. ","")&amp;IF(AND(ISNUMBER($O521),$O521=0,ISNUMBER($E521)),"Section lies entirely below the reference depth — it counts to the full-profile stock only. ",""))</f>
        <v/>
      </c>
      <c r="U521" s="14" t="n"/>
    </row>
    <row r="522">
      <c r="A522" s="14" t="n"/>
      <c r="B522" s="14" t="n"/>
      <c r="C522" s="14" t="n"/>
      <c r="D522" s="14" t="n"/>
      <c r="E522" s="14" t="n"/>
      <c r="F522" s="14" t="n"/>
      <c r="G522" s="14">
        <f>IF(OR($E522="",$F522=""),"",$F522-$E522)</f>
        <v/>
      </c>
      <c r="H522" s="14" t="n"/>
      <c r="I522" s="14" t="n"/>
      <c r="J522" s="19" t="n"/>
      <c r="K522" s="19" t="n"/>
      <c r="L522" s="19" t="n"/>
      <c r="M522" s="19" t="n"/>
      <c r="N522" s="18">
        <f>IF($M522&lt;&gt;"",$M522,IF($L522&lt;&gt;"",$L522*CARBON_FRACTION_OM,""))</f>
        <v/>
      </c>
      <c r="O522" s="18">
        <f>IF(OR($E522="",$F522=""),"",MAX(0,MIN($F522,REFERENCE_DEPTH_CM)-MIN($E522,REFERENCE_DEPTH_CM)))</f>
        <v/>
      </c>
      <c r="P522" s="18">
        <f>IF(OR($J522="",$N522="",$G522=""),"",$J522*($N522/100)*$G522*10)</f>
        <v/>
      </c>
      <c r="Q522" s="18">
        <f>IF(OR($J522="",$N522="",$O522=""),"",$J522*($N522/100)*$O522*10)</f>
        <v/>
      </c>
      <c r="R522" s="18">
        <f>IF(OR(NOT(ISNUMBER($P522)),NOT(ISNUMBER($G522)),$G522=0),0,$P522/$G522)</f>
        <v/>
      </c>
      <c r="S522" s="18">
        <f>IF(OR($B522="",NOT(ISNUMBER($F522))),"",SUMIFS('3. Peat Data'!$P$5:$P$604,'3. Peat Data'!$B$5:$B$604,$B522,'3. Peat Data'!$F$5:$F$604,"&lt;="&amp;$F522))</f>
        <v/>
      </c>
      <c r="T522" s="18">
        <f>IF(AND($A522="",$B522="",$E522=""),"",IF(AND($B522&lt;&gt;"",COUNTIF('2. Core Log'!$A$5:$A$124,$B522)=0),"Core ID not in Core Log. ","")&amp;IF(AND($A522&lt;&gt;"",COUNTIF('1. Plot &amp; Site Log'!$A$5:$A$64,$A522)=0),"Plot ID not in Plot &amp; Site Log. ","")&amp;IF(AND(ISNUMBER($E522),ISNUMBER($F522),$F522&lt;=$E522),"Bottom depth is not below top depth. ","")&amp;IF($I522="","Say which bulk-density basis the lab reported. ","")&amp;IF(AND(ISNUMBER($J522),OR($J522&lt;QC_BD_MIN,$J522&gt;QC_BD_MAX)),"Bulk density outside "&amp;QC_BD_MIN&amp;"–"&amp;QC_BD_MAX&amp;" g/cm³ for peat. Above the top of that range usually means the mineral contact has been passed. ","")&amp;IF(AND(ISNUMBER($N522),$N522&gt;QC_CARBON_PCT_MAX),"Carbon above "&amp;QC_CARBON_PCT_MAX&amp;"% — check units; this may be organic matter rather than carbon. ","")&amp;IF(AND($L522&lt;&gt;"",$M522&lt;&gt;""),"Both LOI and measured carbon given — the measured value is used. ","")&amp;IF(AND($M522="",$L522&lt;&gt;"",OM_FACTOR_IS_LOCAL&lt;&gt;"Yes"),"Carbon derived from LOI using the default factor of "&amp;CARBON_FRACTION_OM&amp;", which has not been calibrated locally. See R1. Reference. ","")&amp;IF(AND(ISNUMBER($O522),$O522=0,ISNUMBER($E522)),"Section lies entirely below the reference depth — it counts to the full-profile stock only. ",""))</f>
        <v/>
      </c>
      <c r="U522" s="14" t="n"/>
    </row>
    <row r="523">
      <c r="A523" s="14" t="n"/>
      <c r="B523" s="14" t="n"/>
      <c r="C523" s="14" t="n"/>
      <c r="D523" s="14" t="n"/>
      <c r="E523" s="14" t="n"/>
      <c r="F523" s="14" t="n"/>
      <c r="G523" s="14">
        <f>IF(OR($E523="",$F523=""),"",$F523-$E523)</f>
        <v/>
      </c>
      <c r="H523" s="14" t="n"/>
      <c r="I523" s="14" t="n"/>
      <c r="J523" s="19" t="n"/>
      <c r="K523" s="19" t="n"/>
      <c r="L523" s="19" t="n"/>
      <c r="M523" s="19" t="n"/>
      <c r="N523" s="18">
        <f>IF($M523&lt;&gt;"",$M523,IF($L523&lt;&gt;"",$L523*CARBON_FRACTION_OM,""))</f>
        <v/>
      </c>
      <c r="O523" s="18">
        <f>IF(OR($E523="",$F523=""),"",MAX(0,MIN($F523,REFERENCE_DEPTH_CM)-MIN($E523,REFERENCE_DEPTH_CM)))</f>
        <v/>
      </c>
      <c r="P523" s="18">
        <f>IF(OR($J523="",$N523="",$G523=""),"",$J523*($N523/100)*$G523*10)</f>
        <v/>
      </c>
      <c r="Q523" s="18">
        <f>IF(OR($J523="",$N523="",$O523=""),"",$J523*($N523/100)*$O523*10)</f>
        <v/>
      </c>
      <c r="R523" s="18">
        <f>IF(OR(NOT(ISNUMBER($P523)),NOT(ISNUMBER($G523)),$G523=0),0,$P523/$G523)</f>
        <v/>
      </c>
      <c r="S523" s="18">
        <f>IF(OR($B523="",NOT(ISNUMBER($F523))),"",SUMIFS('3. Peat Data'!$P$5:$P$604,'3. Peat Data'!$B$5:$B$604,$B523,'3. Peat Data'!$F$5:$F$604,"&lt;="&amp;$F523))</f>
        <v/>
      </c>
      <c r="T523" s="18">
        <f>IF(AND($A523="",$B523="",$E523=""),"",IF(AND($B523&lt;&gt;"",COUNTIF('2. Core Log'!$A$5:$A$124,$B523)=0),"Core ID not in Core Log. ","")&amp;IF(AND($A523&lt;&gt;"",COUNTIF('1. Plot &amp; Site Log'!$A$5:$A$64,$A523)=0),"Plot ID not in Plot &amp; Site Log. ","")&amp;IF(AND(ISNUMBER($E523),ISNUMBER($F523),$F523&lt;=$E523),"Bottom depth is not below top depth. ","")&amp;IF($I523="","Say which bulk-density basis the lab reported. ","")&amp;IF(AND(ISNUMBER($J523),OR($J523&lt;QC_BD_MIN,$J523&gt;QC_BD_MAX)),"Bulk density outside "&amp;QC_BD_MIN&amp;"–"&amp;QC_BD_MAX&amp;" g/cm³ for peat. Above the top of that range usually means the mineral contact has been passed. ","")&amp;IF(AND(ISNUMBER($N523),$N523&gt;QC_CARBON_PCT_MAX),"Carbon above "&amp;QC_CARBON_PCT_MAX&amp;"% — check units; this may be organic matter rather than carbon. ","")&amp;IF(AND($L523&lt;&gt;"",$M523&lt;&gt;""),"Both LOI and measured carbon given — the measured value is used. ","")&amp;IF(AND($M523="",$L523&lt;&gt;"",OM_FACTOR_IS_LOCAL&lt;&gt;"Yes"),"Carbon derived from LOI using the default factor of "&amp;CARBON_FRACTION_OM&amp;", which has not been calibrated locally. See R1. Reference. ","")&amp;IF(AND(ISNUMBER($O523),$O523=0,ISNUMBER($E523)),"Section lies entirely below the reference depth — it counts to the full-profile stock only. ",""))</f>
        <v/>
      </c>
      <c r="U523" s="14" t="n"/>
    </row>
    <row r="524">
      <c r="A524" s="14" t="n"/>
      <c r="B524" s="14" t="n"/>
      <c r="C524" s="14" t="n"/>
      <c r="D524" s="14" t="n"/>
      <c r="E524" s="14" t="n"/>
      <c r="F524" s="14" t="n"/>
      <c r="G524" s="14">
        <f>IF(OR($E524="",$F524=""),"",$F524-$E524)</f>
        <v/>
      </c>
      <c r="H524" s="14" t="n"/>
      <c r="I524" s="14" t="n"/>
      <c r="J524" s="19" t="n"/>
      <c r="K524" s="19" t="n"/>
      <c r="L524" s="19" t="n"/>
      <c r="M524" s="19" t="n"/>
      <c r="N524" s="18">
        <f>IF($M524&lt;&gt;"",$M524,IF($L524&lt;&gt;"",$L524*CARBON_FRACTION_OM,""))</f>
        <v/>
      </c>
      <c r="O524" s="18">
        <f>IF(OR($E524="",$F524=""),"",MAX(0,MIN($F524,REFERENCE_DEPTH_CM)-MIN($E524,REFERENCE_DEPTH_CM)))</f>
        <v/>
      </c>
      <c r="P524" s="18">
        <f>IF(OR($J524="",$N524="",$G524=""),"",$J524*($N524/100)*$G524*10)</f>
        <v/>
      </c>
      <c r="Q524" s="18">
        <f>IF(OR($J524="",$N524="",$O524=""),"",$J524*($N524/100)*$O524*10)</f>
        <v/>
      </c>
      <c r="R524" s="18">
        <f>IF(OR(NOT(ISNUMBER($P524)),NOT(ISNUMBER($G524)),$G524=0),0,$P524/$G524)</f>
        <v/>
      </c>
      <c r="S524" s="18">
        <f>IF(OR($B524="",NOT(ISNUMBER($F524))),"",SUMIFS('3. Peat Data'!$P$5:$P$604,'3. Peat Data'!$B$5:$B$604,$B524,'3. Peat Data'!$F$5:$F$604,"&lt;="&amp;$F524))</f>
        <v/>
      </c>
      <c r="T524" s="18">
        <f>IF(AND($A524="",$B524="",$E524=""),"",IF(AND($B524&lt;&gt;"",COUNTIF('2. Core Log'!$A$5:$A$124,$B524)=0),"Core ID not in Core Log. ","")&amp;IF(AND($A524&lt;&gt;"",COUNTIF('1. Plot &amp; Site Log'!$A$5:$A$64,$A524)=0),"Plot ID not in Plot &amp; Site Log. ","")&amp;IF(AND(ISNUMBER($E524),ISNUMBER($F524),$F524&lt;=$E524),"Bottom depth is not below top depth. ","")&amp;IF($I524="","Say which bulk-density basis the lab reported. ","")&amp;IF(AND(ISNUMBER($J524),OR($J524&lt;QC_BD_MIN,$J524&gt;QC_BD_MAX)),"Bulk density outside "&amp;QC_BD_MIN&amp;"–"&amp;QC_BD_MAX&amp;" g/cm³ for peat. Above the top of that range usually means the mineral contact has been passed. ","")&amp;IF(AND(ISNUMBER($N524),$N524&gt;QC_CARBON_PCT_MAX),"Carbon above "&amp;QC_CARBON_PCT_MAX&amp;"% — check units; this may be organic matter rather than carbon. ","")&amp;IF(AND($L524&lt;&gt;"",$M524&lt;&gt;""),"Both LOI and measured carbon given — the measured value is used. ","")&amp;IF(AND($M524="",$L524&lt;&gt;"",OM_FACTOR_IS_LOCAL&lt;&gt;"Yes"),"Carbon derived from LOI using the default factor of "&amp;CARBON_FRACTION_OM&amp;", which has not been calibrated locally. See R1. Reference. ","")&amp;IF(AND(ISNUMBER($O524),$O524=0,ISNUMBER($E524)),"Section lies entirely below the reference depth — it counts to the full-profile stock only. ",""))</f>
        <v/>
      </c>
      <c r="U524" s="14" t="n"/>
    </row>
    <row r="525">
      <c r="A525" s="14" t="n"/>
      <c r="B525" s="14" t="n"/>
      <c r="C525" s="14" t="n"/>
      <c r="D525" s="14" t="n"/>
      <c r="E525" s="14" t="n"/>
      <c r="F525" s="14" t="n"/>
      <c r="G525" s="14">
        <f>IF(OR($E525="",$F525=""),"",$F525-$E525)</f>
        <v/>
      </c>
      <c r="H525" s="14" t="n"/>
      <c r="I525" s="14" t="n"/>
      <c r="J525" s="19" t="n"/>
      <c r="K525" s="19" t="n"/>
      <c r="L525" s="19" t="n"/>
      <c r="M525" s="19" t="n"/>
      <c r="N525" s="18">
        <f>IF($M525&lt;&gt;"",$M525,IF($L525&lt;&gt;"",$L525*CARBON_FRACTION_OM,""))</f>
        <v/>
      </c>
      <c r="O525" s="18">
        <f>IF(OR($E525="",$F525=""),"",MAX(0,MIN($F525,REFERENCE_DEPTH_CM)-MIN($E525,REFERENCE_DEPTH_CM)))</f>
        <v/>
      </c>
      <c r="P525" s="18">
        <f>IF(OR($J525="",$N525="",$G525=""),"",$J525*($N525/100)*$G525*10)</f>
        <v/>
      </c>
      <c r="Q525" s="18">
        <f>IF(OR($J525="",$N525="",$O525=""),"",$J525*($N525/100)*$O525*10)</f>
        <v/>
      </c>
      <c r="R525" s="18">
        <f>IF(OR(NOT(ISNUMBER($P525)),NOT(ISNUMBER($G525)),$G525=0),0,$P525/$G525)</f>
        <v/>
      </c>
      <c r="S525" s="18">
        <f>IF(OR($B525="",NOT(ISNUMBER($F525))),"",SUMIFS('3. Peat Data'!$P$5:$P$604,'3. Peat Data'!$B$5:$B$604,$B525,'3. Peat Data'!$F$5:$F$604,"&lt;="&amp;$F525))</f>
        <v/>
      </c>
      <c r="T525" s="18">
        <f>IF(AND($A525="",$B525="",$E525=""),"",IF(AND($B525&lt;&gt;"",COUNTIF('2. Core Log'!$A$5:$A$124,$B525)=0),"Core ID not in Core Log. ","")&amp;IF(AND($A525&lt;&gt;"",COUNTIF('1. Plot &amp; Site Log'!$A$5:$A$64,$A525)=0),"Plot ID not in Plot &amp; Site Log. ","")&amp;IF(AND(ISNUMBER($E525),ISNUMBER($F525),$F525&lt;=$E525),"Bottom depth is not below top depth. ","")&amp;IF($I525="","Say which bulk-density basis the lab reported. ","")&amp;IF(AND(ISNUMBER($J525),OR($J525&lt;QC_BD_MIN,$J525&gt;QC_BD_MAX)),"Bulk density outside "&amp;QC_BD_MIN&amp;"–"&amp;QC_BD_MAX&amp;" g/cm³ for peat. Above the top of that range usually means the mineral contact has been passed. ","")&amp;IF(AND(ISNUMBER($N525),$N525&gt;QC_CARBON_PCT_MAX),"Carbon above "&amp;QC_CARBON_PCT_MAX&amp;"% — check units; this may be organic matter rather than carbon. ","")&amp;IF(AND($L525&lt;&gt;"",$M525&lt;&gt;""),"Both LOI and measured carbon given — the measured value is used. ","")&amp;IF(AND($M525="",$L525&lt;&gt;"",OM_FACTOR_IS_LOCAL&lt;&gt;"Yes"),"Carbon derived from LOI using the default factor of "&amp;CARBON_FRACTION_OM&amp;", which has not been calibrated locally. See R1. Reference. ","")&amp;IF(AND(ISNUMBER($O525),$O525=0,ISNUMBER($E525)),"Section lies entirely below the reference depth — it counts to the full-profile stock only. ",""))</f>
        <v/>
      </c>
      <c r="U525" s="14" t="n"/>
    </row>
    <row r="526">
      <c r="A526" s="14" t="n"/>
      <c r="B526" s="14" t="n"/>
      <c r="C526" s="14" t="n"/>
      <c r="D526" s="14" t="n"/>
      <c r="E526" s="14" t="n"/>
      <c r="F526" s="14" t="n"/>
      <c r="G526" s="14">
        <f>IF(OR($E526="",$F526=""),"",$F526-$E526)</f>
        <v/>
      </c>
      <c r="H526" s="14" t="n"/>
      <c r="I526" s="14" t="n"/>
      <c r="J526" s="19" t="n"/>
      <c r="K526" s="19" t="n"/>
      <c r="L526" s="19" t="n"/>
      <c r="M526" s="19" t="n"/>
      <c r="N526" s="18">
        <f>IF($M526&lt;&gt;"",$M526,IF($L526&lt;&gt;"",$L526*CARBON_FRACTION_OM,""))</f>
        <v/>
      </c>
      <c r="O526" s="18">
        <f>IF(OR($E526="",$F526=""),"",MAX(0,MIN($F526,REFERENCE_DEPTH_CM)-MIN($E526,REFERENCE_DEPTH_CM)))</f>
        <v/>
      </c>
      <c r="P526" s="18">
        <f>IF(OR($J526="",$N526="",$G526=""),"",$J526*($N526/100)*$G526*10)</f>
        <v/>
      </c>
      <c r="Q526" s="18">
        <f>IF(OR($J526="",$N526="",$O526=""),"",$J526*($N526/100)*$O526*10)</f>
        <v/>
      </c>
      <c r="R526" s="18">
        <f>IF(OR(NOT(ISNUMBER($P526)),NOT(ISNUMBER($G526)),$G526=0),0,$P526/$G526)</f>
        <v/>
      </c>
      <c r="S526" s="18">
        <f>IF(OR($B526="",NOT(ISNUMBER($F526))),"",SUMIFS('3. Peat Data'!$P$5:$P$604,'3. Peat Data'!$B$5:$B$604,$B526,'3. Peat Data'!$F$5:$F$604,"&lt;="&amp;$F526))</f>
        <v/>
      </c>
      <c r="T526" s="18">
        <f>IF(AND($A526="",$B526="",$E526=""),"",IF(AND($B526&lt;&gt;"",COUNTIF('2. Core Log'!$A$5:$A$124,$B526)=0),"Core ID not in Core Log. ","")&amp;IF(AND($A526&lt;&gt;"",COUNTIF('1. Plot &amp; Site Log'!$A$5:$A$64,$A526)=0),"Plot ID not in Plot &amp; Site Log. ","")&amp;IF(AND(ISNUMBER($E526),ISNUMBER($F526),$F526&lt;=$E526),"Bottom depth is not below top depth. ","")&amp;IF($I526="","Say which bulk-density basis the lab reported. ","")&amp;IF(AND(ISNUMBER($J526),OR($J526&lt;QC_BD_MIN,$J526&gt;QC_BD_MAX)),"Bulk density outside "&amp;QC_BD_MIN&amp;"–"&amp;QC_BD_MAX&amp;" g/cm³ for peat. Above the top of that range usually means the mineral contact has been passed. ","")&amp;IF(AND(ISNUMBER($N526),$N526&gt;QC_CARBON_PCT_MAX),"Carbon above "&amp;QC_CARBON_PCT_MAX&amp;"% — check units; this may be organic matter rather than carbon. ","")&amp;IF(AND($L526&lt;&gt;"",$M526&lt;&gt;""),"Both LOI and measured carbon given — the measured value is used. ","")&amp;IF(AND($M526="",$L526&lt;&gt;"",OM_FACTOR_IS_LOCAL&lt;&gt;"Yes"),"Carbon derived from LOI using the default factor of "&amp;CARBON_FRACTION_OM&amp;", which has not been calibrated locally. See R1. Reference. ","")&amp;IF(AND(ISNUMBER($O526),$O526=0,ISNUMBER($E526)),"Section lies entirely below the reference depth — it counts to the full-profile stock only. ",""))</f>
        <v/>
      </c>
      <c r="U526" s="14" t="n"/>
    </row>
    <row r="527">
      <c r="A527" s="14" t="n"/>
      <c r="B527" s="14" t="n"/>
      <c r="C527" s="14" t="n"/>
      <c r="D527" s="14" t="n"/>
      <c r="E527" s="14" t="n"/>
      <c r="F527" s="14" t="n"/>
      <c r="G527" s="14">
        <f>IF(OR($E527="",$F527=""),"",$F527-$E527)</f>
        <v/>
      </c>
      <c r="H527" s="14" t="n"/>
      <c r="I527" s="14" t="n"/>
      <c r="J527" s="19" t="n"/>
      <c r="K527" s="19" t="n"/>
      <c r="L527" s="19" t="n"/>
      <c r="M527" s="19" t="n"/>
      <c r="N527" s="18">
        <f>IF($M527&lt;&gt;"",$M527,IF($L527&lt;&gt;"",$L527*CARBON_FRACTION_OM,""))</f>
        <v/>
      </c>
      <c r="O527" s="18">
        <f>IF(OR($E527="",$F527=""),"",MAX(0,MIN($F527,REFERENCE_DEPTH_CM)-MIN($E527,REFERENCE_DEPTH_CM)))</f>
        <v/>
      </c>
      <c r="P527" s="18">
        <f>IF(OR($J527="",$N527="",$G527=""),"",$J527*($N527/100)*$G527*10)</f>
        <v/>
      </c>
      <c r="Q527" s="18">
        <f>IF(OR($J527="",$N527="",$O527=""),"",$J527*($N527/100)*$O527*10)</f>
        <v/>
      </c>
      <c r="R527" s="18">
        <f>IF(OR(NOT(ISNUMBER($P527)),NOT(ISNUMBER($G527)),$G527=0),0,$P527/$G527)</f>
        <v/>
      </c>
      <c r="S527" s="18">
        <f>IF(OR($B527="",NOT(ISNUMBER($F527))),"",SUMIFS('3. Peat Data'!$P$5:$P$604,'3. Peat Data'!$B$5:$B$604,$B527,'3. Peat Data'!$F$5:$F$604,"&lt;="&amp;$F527))</f>
        <v/>
      </c>
      <c r="T527" s="18">
        <f>IF(AND($A527="",$B527="",$E527=""),"",IF(AND($B527&lt;&gt;"",COUNTIF('2. Core Log'!$A$5:$A$124,$B527)=0),"Core ID not in Core Log. ","")&amp;IF(AND($A527&lt;&gt;"",COUNTIF('1. Plot &amp; Site Log'!$A$5:$A$64,$A527)=0),"Plot ID not in Plot &amp; Site Log. ","")&amp;IF(AND(ISNUMBER($E527),ISNUMBER($F527),$F527&lt;=$E527),"Bottom depth is not below top depth. ","")&amp;IF($I527="","Say which bulk-density basis the lab reported. ","")&amp;IF(AND(ISNUMBER($J527),OR($J527&lt;QC_BD_MIN,$J527&gt;QC_BD_MAX)),"Bulk density outside "&amp;QC_BD_MIN&amp;"–"&amp;QC_BD_MAX&amp;" g/cm³ for peat. Above the top of that range usually means the mineral contact has been passed. ","")&amp;IF(AND(ISNUMBER($N527),$N527&gt;QC_CARBON_PCT_MAX),"Carbon above "&amp;QC_CARBON_PCT_MAX&amp;"% — check units; this may be organic matter rather than carbon. ","")&amp;IF(AND($L527&lt;&gt;"",$M527&lt;&gt;""),"Both LOI and measured carbon given — the measured value is used. ","")&amp;IF(AND($M527="",$L527&lt;&gt;"",OM_FACTOR_IS_LOCAL&lt;&gt;"Yes"),"Carbon derived from LOI using the default factor of "&amp;CARBON_FRACTION_OM&amp;", which has not been calibrated locally. See R1. Reference. ","")&amp;IF(AND(ISNUMBER($O527),$O527=0,ISNUMBER($E527)),"Section lies entirely below the reference depth — it counts to the full-profile stock only. ",""))</f>
        <v/>
      </c>
      <c r="U527" s="14" t="n"/>
    </row>
    <row r="528">
      <c r="A528" s="14" t="n"/>
      <c r="B528" s="14" t="n"/>
      <c r="C528" s="14" t="n"/>
      <c r="D528" s="14" t="n"/>
      <c r="E528" s="14" t="n"/>
      <c r="F528" s="14" t="n"/>
      <c r="G528" s="14">
        <f>IF(OR($E528="",$F528=""),"",$F528-$E528)</f>
        <v/>
      </c>
      <c r="H528" s="14" t="n"/>
      <c r="I528" s="14" t="n"/>
      <c r="J528" s="19" t="n"/>
      <c r="K528" s="19" t="n"/>
      <c r="L528" s="19" t="n"/>
      <c r="M528" s="19" t="n"/>
      <c r="N528" s="18">
        <f>IF($M528&lt;&gt;"",$M528,IF($L528&lt;&gt;"",$L528*CARBON_FRACTION_OM,""))</f>
        <v/>
      </c>
      <c r="O528" s="18">
        <f>IF(OR($E528="",$F528=""),"",MAX(0,MIN($F528,REFERENCE_DEPTH_CM)-MIN($E528,REFERENCE_DEPTH_CM)))</f>
        <v/>
      </c>
      <c r="P528" s="18">
        <f>IF(OR($J528="",$N528="",$G528=""),"",$J528*($N528/100)*$G528*10)</f>
        <v/>
      </c>
      <c r="Q528" s="18">
        <f>IF(OR($J528="",$N528="",$O528=""),"",$J528*($N528/100)*$O528*10)</f>
        <v/>
      </c>
      <c r="R528" s="18">
        <f>IF(OR(NOT(ISNUMBER($P528)),NOT(ISNUMBER($G528)),$G528=0),0,$P528/$G528)</f>
        <v/>
      </c>
      <c r="S528" s="18">
        <f>IF(OR($B528="",NOT(ISNUMBER($F528))),"",SUMIFS('3. Peat Data'!$P$5:$P$604,'3. Peat Data'!$B$5:$B$604,$B528,'3. Peat Data'!$F$5:$F$604,"&lt;="&amp;$F528))</f>
        <v/>
      </c>
      <c r="T528" s="18">
        <f>IF(AND($A528="",$B528="",$E528=""),"",IF(AND($B528&lt;&gt;"",COUNTIF('2. Core Log'!$A$5:$A$124,$B528)=0),"Core ID not in Core Log. ","")&amp;IF(AND($A528&lt;&gt;"",COUNTIF('1. Plot &amp; Site Log'!$A$5:$A$64,$A528)=0),"Plot ID not in Plot &amp; Site Log. ","")&amp;IF(AND(ISNUMBER($E528),ISNUMBER($F528),$F528&lt;=$E528),"Bottom depth is not below top depth. ","")&amp;IF($I528="","Say which bulk-density basis the lab reported. ","")&amp;IF(AND(ISNUMBER($J528),OR($J528&lt;QC_BD_MIN,$J528&gt;QC_BD_MAX)),"Bulk density outside "&amp;QC_BD_MIN&amp;"–"&amp;QC_BD_MAX&amp;" g/cm³ for peat. Above the top of that range usually means the mineral contact has been passed. ","")&amp;IF(AND(ISNUMBER($N528),$N528&gt;QC_CARBON_PCT_MAX),"Carbon above "&amp;QC_CARBON_PCT_MAX&amp;"% — check units; this may be organic matter rather than carbon. ","")&amp;IF(AND($L528&lt;&gt;"",$M528&lt;&gt;""),"Both LOI and measured carbon given — the measured value is used. ","")&amp;IF(AND($M528="",$L528&lt;&gt;"",OM_FACTOR_IS_LOCAL&lt;&gt;"Yes"),"Carbon derived from LOI using the default factor of "&amp;CARBON_FRACTION_OM&amp;", which has not been calibrated locally. See R1. Reference. ","")&amp;IF(AND(ISNUMBER($O528),$O528=0,ISNUMBER($E528)),"Section lies entirely below the reference depth — it counts to the full-profile stock only. ",""))</f>
        <v/>
      </c>
      <c r="U528" s="14" t="n"/>
    </row>
    <row r="529">
      <c r="A529" s="14" t="n"/>
      <c r="B529" s="14" t="n"/>
      <c r="C529" s="14" t="n"/>
      <c r="D529" s="14" t="n"/>
      <c r="E529" s="14" t="n"/>
      <c r="F529" s="14" t="n"/>
      <c r="G529" s="14">
        <f>IF(OR($E529="",$F529=""),"",$F529-$E529)</f>
        <v/>
      </c>
      <c r="H529" s="14" t="n"/>
      <c r="I529" s="14" t="n"/>
      <c r="J529" s="19" t="n"/>
      <c r="K529" s="19" t="n"/>
      <c r="L529" s="19" t="n"/>
      <c r="M529" s="19" t="n"/>
      <c r="N529" s="18">
        <f>IF($M529&lt;&gt;"",$M529,IF($L529&lt;&gt;"",$L529*CARBON_FRACTION_OM,""))</f>
        <v/>
      </c>
      <c r="O529" s="18">
        <f>IF(OR($E529="",$F529=""),"",MAX(0,MIN($F529,REFERENCE_DEPTH_CM)-MIN($E529,REFERENCE_DEPTH_CM)))</f>
        <v/>
      </c>
      <c r="P529" s="18">
        <f>IF(OR($J529="",$N529="",$G529=""),"",$J529*($N529/100)*$G529*10)</f>
        <v/>
      </c>
      <c r="Q529" s="18">
        <f>IF(OR($J529="",$N529="",$O529=""),"",$J529*($N529/100)*$O529*10)</f>
        <v/>
      </c>
      <c r="R529" s="18">
        <f>IF(OR(NOT(ISNUMBER($P529)),NOT(ISNUMBER($G529)),$G529=0),0,$P529/$G529)</f>
        <v/>
      </c>
      <c r="S529" s="18">
        <f>IF(OR($B529="",NOT(ISNUMBER($F529))),"",SUMIFS('3. Peat Data'!$P$5:$P$604,'3. Peat Data'!$B$5:$B$604,$B529,'3. Peat Data'!$F$5:$F$604,"&lt;="&amp;$F529))</f>
        <v/>
      </c>
      <c r="T529" s="18">
        <f>IF(AND($A529="",$B529="",$E529=""),"",IF(AND($B529&lt;&gt;"",COUNTIF('2. Core Log'!$A$5:$A$124,$B529)=0),"Core ID not in Core Log. ","")&amp;IF(AND($A529&lt;&gt;"",COUNTIF('1. Plot &amp; Site Log'!$A$5:$A$64,$A529)=0),"Plot ID not in Plot &amp; Site Log. ","")&amp;IF(AND(ISNUMBER($E529),ISNUMBER($F529),$F529&lt;=$E529),"Bottom depth is not below top depth. ","")&amp;IF($I529="","Say which bulk-density basis the lab reported. ","")&amp;IF(AND(ISNUMBER($J529),OR($J529&lt;QC_BD_MIN,$J529&gt;QC_BD_MAX)),"Bulk density outside "&amp;QC_BD_MIN&amp;"–"&amp;QC_BD_MAX&amp;" g/cm³ for peat. Above the top of that range usually means the mineral contact has been passed. ","")&amp;IF(AND(ISNUMBER($N529),$N529&gt;QC_CARBON_PCT_MAX),"Carbon above "&amp;QC_CARBON_PCT_MAX&amp;"% — check units; this may be organic matter rather than carbon. ","")&amp;IF(AND($L529&lt;&gt;"",$M529&lt;&gt;""),"Both LOI and measured carbon given — the measured value is used. ","")&amp;IF(AND($M529="",$L529&lt;&gt;"",OM_FACTOR_IS_LOCAL&lt;&gt;"Yes"),"Carbon derived from LOI using the default factor of "&amp;CARBON_FRACTION_OM&amp;", which has not been calibrated locally. See R1. Reference. ","")&amp;IF(AND(ISNUMBER($O529),$O529=0,ISNUMBER($E529)),"Section lies entirely below the reference depth — it counts to the full-profile stock only. ",""))</f>
        <v/>
      </c>
      <c r="U529" s="14" t="n"/>
    </row>
    <row r="530">
      <c r="A530" s="14" t="n"/>
      <c r="B530" s="14" t="n"/>
      <c r="C530" s="14" t="n"/>
      <c r="D530" s="14" t="n"/>
      <c r="E530" s="14" t="n"/>
      <c r="F530" s="14" t="n"/>
      <c r="G530" s="14">
        <f>IF(OR($E530="",$F530=""),"",$F530-$E530)</f>
        <v/>
      </c>
      <c r="H530" s="14" t="n"/>
      <c r="I530" s="14" t="n"/>
      <c r="J530" s="19" t="n"/>
      <c r="K530" s="19" t="n"/>
      <c r="L530" s="19" t="n"/>
      <c r="M530" s="19" t="n"/>
      <c r="N530" s="18">
        <f>IF($M530&lt;&gt;"",$M530,IF($L530&lt;&gt;"",$L530*CARBON_FRACTION_OM,""))</f>
        <v/>
      </c>
      <c r="O530" s="18">
        <f>IF(OR($E530="",$F530=""),"",MAX(0,MIN($F530,REFERENCE_DEPTH_CM)-MIN($E530,REFERENCE_DEPTH_CM)))</f>
        <v/>
      </c>
      <c r="P530" s="18">
        <f>IF(OR($J530="",$N530="",$G530=""),"",$J530*($N530/100)*$G530*10)</f>
        <v/>
      </c>
      <c r="Q530" s="18">
        <f>IF(OR($J530="",$N530="",$O530=""),"",$J530*($N530/100)*$O530*10)</f>
        <v/>
      </c>
      <c r="R530" s="18">
        <f>IF(OR(NOT(ISNUMBER($P530)),NOT(ISNUMBER($G530)),$G530=0),0,$P530/$G530)</f>
        <v/>
      </c>
      <c r="S530" s="18">
        <f>IF(OR($B530="",NOT(ISNUMBER($F530))),"",SUMIFS('3. Peat Data'!$P$5:$P$604,'3. Peat Data'!$B$5:$B$604,$B530,'3. Peat Data'!$F$5:$F$604,"&lt;="&amp;$F530))</f>
        <v/>
      </c>
      <c r="T530" s="18">
        <f>IF(AND($A530="",$B530="",$E530=""),"",IF(AND($B530&lt;&gt;"",COUNTIF('2. Core Log'!$A$5:$A$124,$B530)=0),"Core ID not in Core Log. ","")&amp;IF(AND($A530&lt;&gt;"",COUNTIF('1. Plot &amp; Site Log'!$A$5:$A$64,$A530)=0),"Plot ID not in Plot &amp; Site Log. ","")&amp;IF(AND(ISNUMBER($E530),ISNUMBER($F530),$F530&lt;=$E530),"Bottom depth is not below top depth. ","")&amp;IF($I530="","Say which bulk-density basis the lab reported. ","")&amp;IF(AND(ISNUMBER($J530),OR($J530&lt;QC_BD_MIN,$J530&gt;QC_BD_MAX)),"Bulk density outside "&amp;QC_BD_MIN&amp;"–"&amp;QC_BD_MAX&amp;" g/cm³ for peat. Above the top of that range usually means the mineral contact has been passed. ","")&amp;IF(AND(ISNUMBER($N530),$N530&gt;QC_CARBON_PCT_MAX),"Carbon above "&amp;QC_CARBON_PCT_MAX&amp;"% — check units; this may be organic matter rather than carbon. ","")&amp;IF(AND($L530&lt;&gt;"",$M530&lt;&gt;""),"Both LOI and measured carbon given — the measured value is used. ","")&amp;IF(AND($M530="",$L530&lt;&gt;"",OM_FACTOR_IS_LOCAL&lt;&gt;"Yes"),"Carbon derived from LOI using the default factor of "&amp;CARBON_FRACTION_OM&amp;", which has not been calibrated locally. See R1. Reference. ","")&amp;IF(AND(ISNUMBER($O530),$O530=0,ISNUMBER($E530)),"Section lies entirely below the reference depth — it counts to the full-profile stock only. ",""))</f>
        <v/>
      </c>
      <c r="U530" s="14" t="n"/>
    </row>
    <row r="531">
      <c r="A531" s="14" t="n"/>
      <c r="B531" s="14" t="n"/>
      <c r="C531" s="14" t="n"/>
      <c r="D531" s="14" t="n"/>
      <c r="E531" s="14" t="n"/>
      <c r="F531" s="14" t="n"/>
      <c r="G531" s="14">
        <f>IF(OR($E531="",$F531=""),"",$F531-$E531)</f>
        <v/>
      </c>
      <c r="H531" s="14" t="n"/>
      <c r="I531" s="14" t="n"/>
      <c r="J531" s="19" t="n"/>
      <c r="K531" s="19" t="n"/>
      <c r="L531" s="19" t="n"/>
      <c r="M531" s="19" t="n"/>
      <c r="N531" s="18">
        <f>IF($M531&lt;&gt;"",$M531,IF($L531&lt;&gt;"",$L531*CARBON_FRACTION_OM,""))</f>
        <v/>
      </c>
      <c r="O531" s="18">
        <f>IF(OR($E531="",$F531=""),"",MAX(0,MIN($F531,REFERENCE_DEPTH_CM)-MIN($E531,REFERENCE_DEPTH_CM)))</f>
        <v/>
      </c>
      <c r="P531" s="18">
        <f>IF(OR($J531="",$N531="",$G531=""),"",$J531*($N531/100)*$G531*10)</f>
        <v/>
      </c>
      <c r="Q531" s="18">
        <f>IF(OR($J531="",$N531="",$O531=""),"",$J531*($N531/100)*$O531*10)</f>
        <v/>
      </c>
      <c r="R531" s="18">
        <f>IF(OR(NOT(ISNUMBER($P531)),NOT(ISNUMBER($G531)),$G531=0),0,$P531/$G531)</f>
        <v/>
      </c>
      <c r="S531" s="18">
        <f>IF(OR($B531="",NOT(ISNUMBER($F531))),"",SUMIFS('3. Peat Data'!$P$5:$P$604,'3. Peat Data'!$B$5:$B$604,$B531,'3. Peat Data'!$F$5:$F$604,"&lt;="&amp;$F531))</f>
        <v/>
      </c>
      <c r="T531" s="18">
        <f>IF(AND($A531="",$B531="",$E531=""),"",IF(AND($B531&lt;&gt;"",COUNTIF('2. Core Log'!$A$5:$A$124,$B531)=0),"Core ID not in Core Log. ","")&amp;IF(AND($A531&lt;&gt;"",COUNTIF('1. Plot &amp; Site Log'!$A$5:$A$64,$A531)=0),"Plot ID not in Plot &amp; Site Log. ","")&amp;IF(AND(ISNUMBER($E531),ISNUMBER($F531),$F531&lt;=$E531),"Bottom depth is not below top depth. ","")&amp;IF($I531="","Say which bulk-density basis the lab reported. ","")&amp;IF(AND(ISNUMBER($J531),OR($J531&lt;QC_BD_MIN,$J531&gt;QC_BD_MAX)),"Bulk density outside "&amp;QC_BD_MIN&amp;"–"&amp;QC_BD_MAX&amp;" g/cm³ for peat. Above the top of that range usually means the mineral contact has been passed. ","")&amp;IF(AND(ISNUMBER($N531),$N531&gt;QC_CARBON_PCT_MAX),"Carbon above "&amp;QC_CARBON_PCT_MAX&amp;"% — check units; this may be organic matter rather than carbon. ","")&amp;IF(AND($L531&lt;&gt;"",$M531&lt;&gt;""),"Both LOI and measured carbon given — the measured value is used. ","")&amp;IF(AND($M531="",$L531&lt;&gt;"",OM_FACTOR_IS_LOCAL&lt;&gt;"Yes"),"Carbon derived from LOI using the default factor of "&amp;CARBON_FRACTION_OM&amp;", which has not been calibrated locally. See R1. Reference. ","")&amp;IF(AND(ISNUMBER($O531),$O531=0,ISNUMBER($E531)),"Section lies entirely below the reference depth — it counts to the full-profile stock only. ",""))</f>
        <v/>
      </c>
      <c r="U531" s="14" t="n"/>
    </row>
    <row r="532">
      <c r="A532" s="14" t="n"/>
      <c r="B532" s="14" t="n"/>
      <c r="C532" s="14" t="n"/>
      <c r="D532" s="14" t="n"/>
      <c r="E532" s="14" t="n"/>
      <c r="F532" s="14" t="n"/>
      <c r="G532" s="14">
        <f>IF(OR($E532="",$F532=""),"",$F532-$E532)</f>
        <v/>
      </c>
      <c r="H532" s="14" t="n"/>
      <c r="I532" s="14" t="n"/>
      <c r="J532" s="19" t="n"/>
      <c r="K532" s="19" t="n"/>
      <c r="L532" s="19" t="n"/>
      <c r="M532" s="19" t="n"/>
      <c r="N532" s="18">
        <f>IF($M532&lt;&gt;"",$M532,IF($L532&lt;&gt;"",$L532*CARBON_FRACTION_OM,""))</f>
        <v/>
      </c>
      <c r="O532" s="18">
        <f>IF(OR($E532="",$F532=""),"",MAX(0,MIN($F532,REFERENCE_DEPTH_CM)-MIN($E532,REFERENCE_DEPTH_CM)))</f>
        <v/>
      </c>
      <c r="P532" s="18">
        <f>IF(OR($J532="",$N532="",$G532=""),"",$J532*($N532/100)*$G532*10)</f>
        <v/>
      </c>
      <c r="Q532" s="18">
        <f>IF(OR($J532="",$N532="",$O532=""),"",$J532*($N532/100)*$O532*10)</f>
        <v/>
      </c>
      <c r="R532" s="18">
        <f>IF(OR(NOT(ISNUMBER($P532)),NOT(ISNUMBER($G532)),$G532=0),0,$P532/$G532)</f>
        <v/>
      </c>
      <c r="S532" s="18">
        <f>IF(OR($B532="",NOT(ISNUMBER($F532))),"",SUMIFS('3. Peat Data'!$P$5:$P$604,'3. Peat Data'!$B$5:$B$604,$B532,'3. Peat Data'!$F$5:$F$604,"&lt;="&amp;$F532))</f>
        <v/>
      </c>
      <c r="T532" s="18">
        <f>IF(AND($A532="",$B532="",$E532=""),"",IF(AND($B532&lt;&gt;"",COUNTIF('2. Core Log'!$A$5:$A$124,$B532)=0),"Core ID not in Core Log. ","")&amp;IF(AND($A532&lt;&gt;"",COUNTIF('1. Plot &amp; Site Log'!$A$5:$A$64,$A532)=0),"Plot ID not in Plot &amp; Site Log. ","")&amp;IF(AND(ISNUMBER($E532),ISNUMBER($F532),$F532&lt;=$E532),"Bottom depth is not below top depth. ","")&amp;IF($I532="","Say which bulk-density basis the lab reported. ","")&amp;IF(AND(ISNUMBER($J532),OR($J532&lt;QC_BD_MIN,$J532&gt;QC_BD_MAX)),"Bulk density outside "&amp;QC_BD_MIN&amp;"–"&amp;QC_BD_MAX&amp;" g/cm³ for peat. Above the top of that range usually means the mineral contact has been passed. ","")&amp;IF(AND(ISNUMBER($N532),$N532&gt;QC_CARBON_PCT_MAX),"Carbon above "&amp;QC_CARBON_PCT_MAX&amp;"% — check units; this may be organic matter rather than carbon. ","")&amp;IF(AND($L532&lt;&gt;"",$M532&lt;&gt;""),"Both LOI and measured carbon given — the measured value is used. ","")&amp;IF(AND($M532="",$L532&lt;&gt;"",OM_FACTOR_IS_LOCAL&lt;&gt;"Yes"),"Carbon derived from LOI using the default factor of "&amp;CARBON_FRACTION_OM&amp;", which has not been calibrated locally. See R1. Reference. ","")&amp;IF(AND(ISNUMBER($O532),$O532=0,ISNUMBER($E532)),"Section lies entirely below the reference depth — it counts to the full-profile stock only. ",""))</f>
        <v/>
      </c>
      <c r="U532" s="14" t="n"/>
    </row>
    <row r="533">
      <c r="A533" s="14" t="n"/>
      <c r="B533" s="14" t="n"/>
      <c r="C533" s="14" t="n"/>
      <c r="D533" s="14" t="n"/>
      <c r="E533" s="14" t="n"/>
      <c r="F533" s="14" t="n"/>
      <c r="G533" s="14">
        <f>IF(OR($E533="",$F533=""),"",$F533-$E533)</f>
        <v/>
      </c>
      <c r="H533" s="14" t="n"/>
      <c r="I533" s="14" t="n"/>
      <c r="J533" s="19" t="n"/>
      <c r="K533" s="19" t="n"/>
      <c r="L533" s="19" t="n"/>
      <c r="M533" s="19" t="n"/>
      <c r="N533" s="18">
        <f>IF($M533&lt;&gt;"",$M533,IF($L533&lt;&gt;"",$L533*CARBON_FRACTION_OM,""))</f>
        <v/>
      </c>
      <c r="O533" s="18">
        <f>IF(OR($E533="",$F533=""),"",MAX(0,MIN($F533,REFERENCE_DEPTH_CM)-MIN($E533,REFERENCE_DEPTH_CM)))</f>
        <v/>
      </c>
      <c r="P533" s="18">
        <f>IF(OR($J533="",$N533="",$G533=""),"",$J533*($N533/100)*$G533*10)</f>
        <v/>
      </c>
      <c r="Q533" s="18">
        <f>IF(OR($J533="",$N533="",$O533=""),"",$J533*($N533/100)*$O533*10)</f>
        <v/>
      </c>
      <c r="R533" s="18">
        <f>IF(OR(NOT(ISNUMBER($P533)),NOT(ISNUMBER($G533)),$G533=0),0,$P533/$G533)</f>
        <v/>
      </c>
      <c r="S533" s="18">
        <f>IF(OR($B533="",NOT(ISNUMBER($F533))),"",SUMIFS('3. Peat Data'!$P$5:$P$604,'3. Peat Data'!$B$5:$B$604,$B533,'3. Peat Data'!$F$5:$F$604,"&lt;="&amp;$F533))</f>
        <v/>
      </c>
      <c r="T533" s="18">
        <f>IF(AND($A533="",$B533="",$E533=""),"",IF(AND($B533&lt;&gt;"",COUNTIF('2. Core Log'!$A$5:$A$124,$B533)=0),"Core ID not in Core Log. ","")&amp;IF(AND($A533&lt;&gt;"",COUNTIF('1. Plot &amp; Site Log'!$A$5:$A$64,$A533)=0),"Plot ID not in Plot &amp; Site Log. ","")&amp;IF(AND(ISNUMBER($E533),ISNUMBER($F533),$F533&lt;=$E533),"Bottom depth is not below top depth. ","")&amp;IF($I533="","Say which bulk-density basis the lab reported. ","")&amp;IF(AND(ISNUMBER($J533),OR($J533&lt;QC_BD_MIN,$J533&gt;QC_BD_MAX)),"Bulk density outside "&amp;QC_BD_MIN&amp;"–"&amp;QC_BD_MAX&amp;" g/cm³ for peat. Above the top of that range usually means the mineral contact has been passed. ","")&amp;IF(AND(ISNUMBER($N533),$N533&gt;QC_CARBON_PCT_MAX),"Carbon above "&amp;QC_CARBON_PCT_MAX&amp;"% — check units; this may be organic matter rather than carbon. ","")&amp;IF(AND($L533&lt;&gt;"",$M533&lt;&gt;""),"Both LOI and measured carbon given — the measured value is used. ","")&amp;IF(AND($M533="",$L533&lt;&gt;"",OM_FACTOR_IS_LOCAL&lt;&gt;"Yes"),"Carbon derived from LOI using the default factor of "&amp;CARBON_FRACTION_OM&amp;", which has not been calibrated locally. See R1. Reference. ","")&amp;IF(AND(ISNUMBER($O533),$O533=0,ISNUMBER($E533)),"Section lies entirely below the reference depth — it counts to the full-profile stock only. ",""))</f>
        <v/>
      </c>
      <c r="U533" s="14" t="n"/>
    </row>
    <row r="534">
      <c r="A534" s="14" t="n"/>
      <c r="B534" s="14" t="n"/>
      <c r="C534" s="14" t="n"/>
      <c r="D534" s="14" t="n"/>
      <c r="E534" s="14" t="n"/>
      <c r="F534" s="14" t="n"/>
      <c r="G534" s="14">
        <f>IF(OR($E534="",$F534=""),"",$F534-$E534)</f>
        <v/>
      </c>
      <c r="H534" s="14" t="n"/>
      <c r="I534" s="14" t="n"/>
      <c r="J534" s="19" t="n"/>
      <c r="K534" s="19" t="n"/>
      <c r="L534" s="19" t="n"/>
      <c r="M534" s="19" t="n"/>
      <c r="N534" s="18">
        <f>IF($M534&lt;&gt;"",$M534,IF($L534&lt;&gt;"",$L534*CARBON_FRACTION_OM,""))</f>
        <v/>
      </c>
      <c r="O534" s="18">
        <f>IF(OR($E534="",$F534=""),"",MAX(0,MIN($F534,REFERENCE_DEPTH_CM)-MIN($E534,REFERENCE_DEPTH_CM)))</f>
        <v/>
      </c>
      <c r="P534" s="18">
        <f>IF(OR($J534="",$N534="",$G534=""),"",$J534*($N534/100)*$G534*10)</f>
        <v/>
      </c>
      <c r="Q534" s="18">
        <f>IF(OR($J534="",$N534="",$O534=""),"",$J534*($N534/100)*$O534*10)</f>
        <v/>
      </c>
      <c r="R534" s="18">
        <f>IF(OR(NOT(ISNUMBER($P534)),NOT(ISNUMBER($G534)),$G534=0),0,$P534/$G534)</f>
        <v/>
      </c>
      <c r="S534" s="18">
        <f>IF(OR($B534="",NOT(ISNUMBER($F534))),"",SUMIFS('3. Peat Data'!$P$5:$P$604,'3. Peat Data'!$B$5:$B$604,$B534,'3. Peat Data'!$F$5:$F$604,"&lt;="&amp;$F534))</f>
        <v/>
      </c>
      <c r="T534" s="18">
        <f>IF(AND($A534="",$B534="",$E534=""),"",IF(AND($B534&lt;&gt;"",COUNTIF('2. Core Log'!$A$5:$A$124,$B534)=0),"Core ID not in Core Log. ","")&amp;IF(AND($A534&lt;&gt;"",COUNTIF('1. Plot &amp; Site Log'!$A$5:$A$64,$A534)=0),"Plot ID not in Plot &amp; Site Log. ","")&amp;IF(AND(ISNUMBER($E534),ISNUMBER($F534),$F534&lt;=$E534),"Bottom depth is not below top depth. ","")&amp;IF($I534="","Say which bulk-density basis the lab reported. ","")&amp;IF(AND(ISNUMBER($J534),OR($J534&lt;QC_BD_MIN,$J534&gt;QC_BD_MAX)),"Bulk density outside "&amp;QC_BD_MIN&amp;"–"&amp;QC_BD_MAX&amp;" g/cm³ for peat. Above the top of that range usually means the mineral contact has been passed. ","")&amp;IF(AND(ISNUMBER($N534),$N534&gt;QC_CARBON_PCT_MAX),"Carbon above "&amp;QC_CARBON_PCT_MAX&amp;"% — check units; this may be organic matter rather than carbon. ","")&amp;IF(AND($L534&lt;&gt;"",$M534&lt;&gt;""),"Both LOI and measured carbon given — the measured value is used. ","")&amp;IF(AND($M534="",$L534&lt;&gt;"",OM_FACTOR_IS_LOCAL&lt;&gt;"Yes"),"Carbon derived from LOI using the default factor of "&amp;CARBON_FRACTION_OM&amp;", which has not been calibrated locally. See R1. Reference. ","")&amp;IF(AND(ISNUMBER($O534),$O534=0,ISNUMBER($E534)),"Section lies entirely below the reference depth — it counts to the full-profile stock only. ",""))</f>
        <v/>
      </c>
      <c r="U534" s="14" t="n"/>
    </row>
    <row r="535">
      <c r="A535" s="14" t="n"/>
      <c r="B535" s="14" t="n"/>
      <c r="C535" s="14" t="n"/>
      <c r="D535" s="14" t="n"/>
      <c r="E535" s="14" t="n"/>
      <c r="F535" s="14" t="n"/>
      <c r="G535" s="14">
        <f>IF(OR($E535="",$F535=""),"",$F535-$E535)</f>
        <v/>
      </c>
      <c r="H535" s="14" t="n"/>
      <c r="I535" s="14" t="n"/>
      <c r="J535" s="19" t="n"/>
      <c r="K535" s="19" t="n"/>
      <c r="L535" s="19" t="n"/>
      <c r="M535" s="19" t="n"/>
      <c r="N535" s="18">
        <f>IF($M535&lt;&gt;"",$M535,IF($L535&lt;&gt;"",$L535*CARBON_FRACTION_OM,""))</f>
        <v/>
      </c>
      <c r="O535" s="18">
        <f>IF(OR($E535="",$F535=""),"",MAX(0,MIN($F535,REFERENCE_DEPTH_CM)-MIN($E535,REFERENCE_DEPTH_CM)))</f>
        <v/>
      </c>
      <c r="P535" s="18">
        <f>IF(OR($J535="",$N535="",$G535=""),"",$J535*($N535/100)*$G535*10)</f>
        <v/>
      </c>
      <c r="Q535" s="18">
        <f>IF(OR($J535="",$N535="",$O535=""),"",$J535*($N535/100)*$O535*10)</f>
        <v/>
      </c>
      <c r="R535" s="18">
        <f>IF(OR(NOT(ISNUMBER($P535)),NOT(ISNUMBER($G535)),$G535=0),0,$P535/$G535)</f>
        <v/>
      </c>
      <c r="S535" s="18">
        <f>IF(OR($B535="",NOT(ISNUMBER($F535))),"",SUMIFS('3. Peat Data'!$P$5:$P$604,'3. Peat Data'!$B$5:$B$604,$B535,'3. Peat Data'!$F$5:$F$604,"&lt;="&amp;$F535))</f>
        <v/>
      </c>
      <c r="T535" s="18">
        <f>IF(AND($A535="",$B535="",$E535=""),"",IF(AND($B535&lt;&gt;"",COUNTIF('2. Core Log'!$A$5:$A$124,$B535)=0),"Core ID not in Core Log. ","")&amp;IF(AND($A535&lt;&gt;"",COUNTIF('1. Plot &amp; Site Log'!$A$5:$A$64,$A535)=0),"Plot ID not in Plot &amp; Site Log. ","")&amp;IF(AND(ISNUMBER($E535),ISNUMBER($F535),$F535&lt;=$E535),"Bottom depth is not below top depth. ","")&amp;IF($I535="","Say which bulk-density basis the lab reported. ","")&amp;IF(AND(ISNUMBER($J535),OR($J535&lt;QC_BD_MIN,$J535&gt;QC_BD_MAX)),"Bulk density outside "&amp;QC_BD_MIN&amp;"–"&amp;QC_BD_MAX&amp;" g/cm³ for peat. Above the top of that range usually means the mineral contact has been passed. ","")&amp;IF(AND(ISNUMBER($N535),$N535&gt;QC_CARBON_PCT_MAX),"Carbon above "&amp;QC_CARBON_PCT_MAX&amp;"% — check units; this may be organic matter rather than carbon. ","")&amp;IF(AND($L535&lt;&gt;"",$M535&lt;&gt;""),"Both LOI and measured carbon given — the measured value is used. ","")&amp;IF(AND($M535="",$L535&lt;&gt;"",OM_FACTOR_IS_LOCAL&lt;&gt;"Yes"),"Carbon derived from LOI using the default factor of "&amp;CARBON_FRACTION_OM&amp;", which has not been calibrated locally. See R1. Reference. ","")&amp;IF(AND(ISNUMBER($O535),$O535=0,ISNUMBER($E535)),"Section lies entirely below the reference depth — it counts to the full-profile stock only. ",""))</f>
        <v/>
      </c>
      <c r="U535" s="14" t="n"/>
    </row>
    <row r="536">
      <c r="A536" s="14" t="n"/>
      <c r="B536" s="14" t="n"/>
      <c r="C536" s="14" t="n"/>
      <c r="D536" s="14" t="n"/>
      <c r="E536" s="14" t="n"/>
      <c r="F536" s="14" t="n"/>
      <c r="G536" s="14">
        <f>IF(OR($E536="",$F536=""),"",$F536-$E536)</f>
        <v/>
      </c>
      <c r="H536" s="14" t="n"/>
      <c r="I536" s="14" t="n"/>
      <c r="J536" s="19" t="n"/>
      <c r="K536" s="19" t="n"/>
      <c r="L536" s="19" t="n"/>
      <c r="M536" s="19" t="n"/>
      <c r="N536" s="18">
        <f>IF($M536&lt;&gt;"",$M536,IF($L536&lt;&gt;"",$L536*CARBON_FRACTION_OM,""))</f>
        <v/>
      </c>
      <c r="O536" s="18">
        <f>IF(OR($E536="",$F536=""),"",MAX(0,MIN($F536,REFERENCE_DEPTH_CM)-MIN($E536,REFERENCE_DEPTH_CM)))</f>
        <v/>
      </c>
      <c r="P536" s="18">
        <f>IF(OR($J536="",$N536="",$G536=""),"",$J536*($N536/100)*$G536*10)</f>
        <v/>
      </c>
      <c r="Q536" s="18">
        <f>IF(OR($J536="",$N536="",$O536=""),"",$J536*($N536/100)*$O536*10)</f>
        <v/>
      </c>
      <c r="R536" s="18">
        <f>IF(OR(NOT(ISNUMBER($P536)),NOT(ISNUMBER($G536)),$G536=0),0,$P536/$G536)</f>
        <v/>
      </c>
      <c r="S536" s="18">
        <f>IF(OR($B536="",NOT(ISNUMBER($F536))),"",SUMIFS('3. Peat Data'!$P$5:$P$604,'3. Peat Data'!$B$5:$B$604,$B536,'3. Peat Data'!$F$5:$F$604,"&lt;="&amp;$F536))</f>
        <v/>
      </c>
      <c r="T536" s="18">
        <f>IF(AND($A536="",$B536="",$E536=""),"",IF(AND($B536&lt;&gt;"",COUNTIF('2. Core Log'!$A$5:$A$124,$B536)=0),"Core ID not in Core Log. ","")&amp;IF(AND($A536&lt;&gt;"",COUNTIF('1. Plot &amp; Site Log'!$A$5:$A$64,$A536)=0),"Plot ID not in Plot &amp; Site Log. ","")&amp;IF(AND(ISNUMBER($E536),ISNUMBER($F536),$F536&lt;=$E536),"Bottom depth is not below top depth. ","")&amp;IF($I536="","Say which bulk-density basis the lab reported. ","")&amp;IF(AND(ISNUMBER($J536),OR($J536&lt;QC_BD_MIN,$J536&gt;QC_BD_MAX)),"Bulk density outside "&amp;QC_BD_MIN&amp;"–"&amp;QC_BD_MAX&amp;" g/cm³ for peat. Above the top of that range usually means the mineral contact has been passed. ","")&amp;IF(AND(ISNUMBER($N536),$N536&gt;QC_CARBON_PCT_MAX),"Carbon above "&amp;QC_CARBON_PCT_MAX&amp;"% — check units; this may be organic matter rather than carbon. ","")&amp;IF(AND($L536&lt;&gt;"",$M536&lt;&gt;""),"Both LOI and measured carbon given — the measured value is used. ","")&amp;IF(AND($M536="",$L536&lt;&gt;"",OM_FACTOR_IS_LOCAL&lt;&gt;"Yes"),"Carbon derived from LOI using the default factor of "&amp;CARBON_FRACTION_OM&amp;", which has not been calibrated locally. See R1. Reference. ","")&amp;IF(AND(ISNUMBER($O536),$O536=0,ISNUMBER($E536)),"Section lies entirely below the reference depth — it counts to the full-profile stock only. ",""))</f>
        <v/>
      </c>
      <c r="U536" s="14" t="n"/>
    </row>
    <row r="537">
      <c r="A537" s="14" t="n"/>
      <c r="B537" s="14" t="n"/>
      <c r="C537" s="14" t="n"/>
      <c r="D537" s="14" t="n"/>
      <c r="E537" s="14" t="n"/>
      <c r="F537" s="14" t="n"/>
      <c r="G537" s="14">
        <f>IF(OR($E537="",$F537=""),"",$F537-$E537)</f>
        <v/>
      </c>
      <c r="H537" s="14" t="n"/>
      <c r="I537" s="14" t="n"/>
      <c r="J537" s="19" t="n"/>
      <c r="K537" s="19" t="n"/>
      <c r="L537" s="19" t="n"/>
      <c r="M537" s="19" t="n"/>
      <c r="N537" s="18">
        <f>IF($M537&lt;&gt;"",$M537,IF($L537&lt;&gt;"",$L537*CARBON_FRACTION_OM,""))</f>
        <v/>
      </c>
      <c r="O537" s="18">
        <f>IF(OR($E537="",$F537=""),"",MAX(0,MIN($F537,REFERENCE_DEPTH_CM)-MIN($E537,REFERENCE_DEPTH_CM)))</f>
        <v/>
      </c>
      <c r="P537" s="18">
        <f>IF(OR($J537="",$N537="",$G537=""),"",$J537*($N537/100)*$G537*10)</f>
        <v/>
      </c>
      <c r="Q537" s="18">
        <f>IF(OR($J537="",$N537="",$O537=""),"",$J537*($N537/100)*$O537*10)</f>
        <v/>
      </c>
      <c r="R537" s="18">
        <f>IF(OR(NOT(ISNUMBER($P537)),NOT(ISNUMBER($G537)),$G537=0),0,$P537/$G537)</f>
        <v/>
      </c>
      <c r="S537" s="18">
        <f>IF(OR($B537="",NOT(ISNUMBER($F537))),"",SUMIFS('3. Peat Data'!$P$5:$P$604,'3. Peat Data'!$B$5:$B$604,$B537,'3. Peat Data'!$F$5:$F$604,"&lt;="&amp;$F537))</f>
        <v/>
      </c>
      <c r="T537" s="18">
        <f>IF(AND($A537="",$B537="",$E537=""),"",IF(AND($B537&lt;&gt;"",COUNTIF('2. Core Log'!$A$5:$A$124,$B537)=0),"Core ID not in Core Log. ","")&amp;IF(AND($A537&lt;&gt;"",COUNTIF('1. Plot &amp; Site Log'!$A$5:$A$64,$A537)=0),"Plot ID not in Plot &amp; Site Log. ","")&amp;IF(AND(ISNUMBER($E537),ISNUMBER($F537),$F537&lt;=$E537),"Bottom depth is not below top depth. ","")&amp;IF($I537="","Say which bulk-density basis the lab reported. ","")&amp;IF(AND(ISNUMBER($J537),OR($J537&lt;QC_BD_MIN,$J537&gt;QC_BD_MAX)),"Bulk density outside "&amp;QC_BD_MIN&amp;"–"&amp;QC_BD_MAX&amp;" g/cm³ for peat. Above the top of that range usually means the mineral contact has been passed. ","")&amp;IF(AND(ISNUMBER($N537),$N537&gt;QC_CARBON_PCT_MAX),"Carbon above "&amp;QC_CARBON_PCT_MAX&amp;"% — check units; this may be organic matter rather than carbon. ","")&amp;IF(AND($L537&lt;&gt;"",$M537&lt;&gt;""),"Both LOI and measured carbon given — the measured value is used. ","")&amp;IF(AND($M537="",$L537&lt;&gt;"",OM_FACTOR_IS_LOCAL&lt;&gt;"Yes"),"Carbon derived from LOI using the default factor of "&amp;CARBON_FRACTION_OM&amp;", which has not been calibrated locally. See R1. Reference. ","")&amp;IF(AND(ISNUMBER($O537),$O537=0,ISNUMBER($E537)),"Section lies entirely below the reference depth — it counts to the full-profile stock only. ",""))</f>
        <v/>
      </c>
      <c r="U537" s="14" t="n"/>
    </row>
    <row r="538">
      <c r="A538" s="14" t="n"/>
      <c r="B538" s="14" t="n"/>
      <c r="C538" s="14" t="n"/>
      <c r="D538" s="14" t="n"/>
      <c r="E538" s="14" t="n"/>
      <c r="F538" s="14" t="n"/>
      <c r="G538" s="14">
        <f>IF(OR($E538="",$F538=""),"",$F538-$E538)</f>
        <v/>
      </c>
      <c r="H538" s="14" t="n"/>
      <c r="I538" s="14" t="n"/>
      <c r="J538" s="19" t="n"/>
      <c r="K538" s="19" t="n"/>
      <c r="L538" s="19" t="n"/>
      <c r="M538" s="19" t="n"/>
      <c r="N538" s="18">
        <f>IF($M538&lt;&gt;"",$M538,IF($L538&lt;&gt;"",$L538*CARBON_FRACTION_OM,""))</f>
        <v/>
      </c>
      <c r="O538" s="18">
        <f>IF(OR($E538="",$F538=""),"",MAX(0,MIN($F538,REFERENCE_DEPTH_CM)-MIN($E538,REFERENCE_DEPTH_CM)))</f>
        <v/>
      </c>
      <c r="P538" s="18">
        <f>IF(OR($J538="",$N538="",$G538=""),"",$J538*($N538/100)*$G538*10)</f>
        <v/>
      </c>
      <c r="Q538" s="18">
        <f>IF(OR($J538="",$N538="",$O538=""),"",$J538*($N538/100)*$O538*10)</f>
        <v/>
      </c>
      <c r="R538" s="18">
        <f>IF(OR(NOT(ISNUMBER($P538)),NOT(ISNUMBER($G538)),$G538=0),0,$P538/$G538)</f>
        <v/>
      </c>
      <c r="S538" s="18">
        <f>IF(OR($B538="",NOT(ISNUMBER($F538))),"",SUMIFS('3. Peat Data'!$P$5:$P$604,'3. Peat Data'!$B$5:$B$604,$B538,'3. Peat Data'!$F$5:$F$604,"&lt;="&amp;$F538))</f>
        <v/>
      </c>
      <c r="T538" s="18">
        <f>IF(AND($A538="",$B538="",$E538=""),"",IF(AND($B538&lt;&gt;"",COUNTIF('2. Core Log'!$A$5:$A$124,$B538)=0),"Core ID not in Core Log. ","")&amp;IF(AND($A538&lt;&gt;"",COUNTIF('1. Plot &amp; Site Log'!$A$5:$A$64,$A538)=0),"Plot ID not in Plot &amp; Site Log. ","")&amp;IF(AND(ISNUMBER($E538),ISNUMBER($F538),$F538&lt;=$E538),"Bottom depth is not below top depth. ","")&amp;IF($I538="","Say which bulk-density basis the lab reported. ","")&amp;IF(AND(ISNUMBER($J538),OR($J538&lt;QC_BD_MIN,$J538&gt;QC_BD_MAX)),"Bulk density outside "&amp;QC_BD_MIN&amp;"–"&amp;QC_BD_MAX&amp;" g/cm³ for peat. Above the top of that range usually means the mineral contact has been passed. ","")&amp;IF(AND(ISNUMBER($N538),$N538&gt;QC_CARBON_PCT_MAX),"Carbon above "&amp;QC_CARBON_PCT_MAX&amp;"% — check units; this may be organic matter rather than carbon. ","")&amp;IF(AND($L538&lt;&gt;"",$M538&lt;&gt;""),"Both LOI and measured carbon given — the measured value is used. ","")&amp;IF(AND($M538="",$L538&lt;&gt;"",OM_FACTOR_IS_LOCAL&lt;&gt;"Yes"),"Carbon derived from LOI using the default factor of "&amp;CARBON_FRACTION_OM&amp;", which has not been calibrated locally. See R1. Reference. ","")&amp;IF(AND(ISNUMBER($O538),$O538=0,ISNUMBER($E538)),"Section lies entirely below the reference depth — it counts to the full-profile stock only. ",""))</f>
        <v/>
      </c>
      <c r="U538" s="14" t="n"/>
    </row>
    <row r="539">
      <c r="A539" s="14" t="n"/>
      <c r="B539" s="14" t="n"/>
      <c r="C539" s="14" t="n"/>
      <c r="D539" s="14" t="n"/>
      <c r="E539" s="14" t="n"/>
      <c r="F539" s="14" t="n"/>
      <c r="G539" s="14">
        <f>IF(OR($E539="",$F539=""),"",$F539-$E539)</f>
        <v/>
      </c>
      <c r="H539" s="14" t="n"/>
      <c r="I539" s="14" t="n"/>
      <c r="J539" s="19" t="n"/>
      <c r="K539" s="19" t="n"/>
      <c r="L539" s="19" t="n"/>
      <c r="M539" s="19" t="n"/>
      <c r="N539" s="18">
        <f>IF($M539&lt;&gt;"",$M539,IF($L539&lt;&gt;"",$L539*CARBON_FRACTION_OM,""))</f>
        <v/>
      </c>
      <c r="O539" s="18">
        <f>IF(OR($E539="",$F539=""),"",MAX(0,MIN($F539,REFERENCE_DEPTH_CM)-MIN($E539,REFERENCE_DEPTH_CM)))</f>
        <v/>
      </c>
      <c r="P539" s="18">
        <f>IF(OR($J539="",$N539="",$G539=""),"",$J539*($N539/100)*$G539*10)</f>
        <v/>
      </c>
      <c r="Q539" s="18">
        <f>IF(OR($J539="",$N539="",$O539=""),"",$J539*($N539/100)*$O539*10)</f>
        <v/>
      </c>
      <c r="R539" s="18">
        <f>IF(OR(NOT(ISNUMBER($P539)),NOT(ISNUMBER($G539)),$G539=0),0,$P539/$G539)</f>
        <v/>
      </c>
      <c r="S539" s="18">
        <f>IF(OR($B539="",NOT(ISNUMBER($F539))),"",SUMIFS('3. Peat Data'!$P$5:$P$604,'3. Peat Data'!$B$5:$B$604,$B539,'3. Peat Data'!$F$5:$F$604,"&lt;="&amp;$F539))</f>
        <v/>
      </c>
      <c r="T539" s="18">
        <f>IF(AND($A539="",$B539="",$E539=""),"",IF(AND($B539&lt;&gt;"",COUNTIF('2. Core Log'!$A$5:$A$124,$B539)=0),"Core ID not in Core Log. ","")&amp;IF(AND($A539&lt;&gt;"",COUNTIF('1. Plot &amp; Site Log'!$A$5:$A$64,$A539)=0),"Plot ID not in Plot &amp; Site Log. ","")&amp;IF(AND(ISNUMBER($E539),ISNUMBER($F539),$F539&lt;=$E539),"Bottom depth is not below top depth. ","")&amp;IF($I539="","Say which bulk-density basis the lab reported. ","")&amp;IF(AND(ISNUMBER($J539),OR($J539&lt;QC_BD_MIN,$J539&gt;QC_BD_MAX)),"Bulk density outside "&amp;QC_BD_MIN&amp;"–"&amp;QC_BD_MAX&amp;" g/cm³ for peat. Above the top of that range usually means the mineral contact has been passed. ","")&amp;IF(AND(ISNUMBER($N539),$N539&gt;QC_CARBON_PCT_MAX),"Carbon above "&amp;QC_CARBON_PCT_MAX&amp;"% — check units; this may be organic matter rather than carbon. ","")&amp;IF(AND($L539&lt;&gt;"",$M539&lt;&gt;""),"Both LOI and measured carbon given — the measured value is used. ","")&amp;IF(AND($M539="",$L539&lt;&gt;"",OM_FACTOR_IS_LOCAL&lt;&gt;"Yes"),"Carbon derived from LOI using the default factor of "&amp;CARBON_FRACTION_OM&amp;", which has not been calibrated locally. See R1. Reference. ","")&amp;IF(AND(ISNUMBER($O539),$O539=0,ISNUMBER($E539)),"Section lies entirely below the reference depth — it counts to the full-profile stock only. ",""))</f>
        <v/>
      </c>
      <c r="U539" s="14" t="n"/>
    </row>
    <row r="540">
      <c r="A540" s="14" t="n"/>
      <c r="B540" s="14" t="n"/>
      <c r="C540" s="14" t="n"/>
      <c r="D540" s="14" t="n"/>
      <c r="E540" s="14" t="n"/>
      <c r="F540" s="14" t="n"/>
      <c r="G540" s="14">
        <f>IF(OR($E540="",$F540=""),"",$F540-$E540)</f>
        <v/>
      </c>
      <c r="H540" s="14" t="n"/>
      <c r="I540" s="14" t="n"/>
      <c r="J540" s="19" t="n"/>
      <c r="K540" s="19" t="n"/>
      <c r="L540" s="19" t="n"/>
      <c r="M540" s="19" t="n"/>
      <c r="N540" s="18">
        <f>IF($M540&lt;&gt;"",$M540,IF($L540&lt;&gt;"",$L540*CARBON_FRACTION_OM,""))</f>
        <v/>
      </c>
      <c r="O540" s="18">
        <f>IF(OR($E540="",$F540=""),"",MAX(0,MIN($F540,REFERENCE_DEPTH_CM)-MIN($E540,REFERENCE_DEPTH_CM)))</f>
        <v/>
      </c>
      <c r="P540" s="18">
        <f>IF(OR($J540="",$N540="",$G540=""),"",$J540*($N540/100)*$G540*10)</f>
        <v/>
      </c>
      <c r="Q540" s="18">
        <f>IF(OR($J540="",$N540="",$O540=""),"",$J540*($N540/100)*$O540*10)</f>
        <v/>
      </c>
      <c r="R540" s="18">
        <f>IF(OR(NOT(ISNUMBER($P540)),NOT(ISNUMBER($G540)),$G540=0),0,$P540/$G540)</f>
        <v/>
      </c>
      <c r="S540" s="18">
        <f>IF(OR($B540="",NOT(ISNUMBER($F540))),"",SUMIFS('3. Peat Data'!$P$5:$P$604,'3. Peat Data'!$B$5:$B$604,$B540,'3. Peat Data'!$F$5:$F$604,"&lt;="&amp;$F540))</f>
        <v/>
      </c>
      <c r="T540" s="18">
        <f>IF(AND($A540="",$B540="",$E540=""),"",IF(AND($B540&lt;&gt;"",COUNTIF('2. Core Log'!$A$5:$A$124,$B540)=0),"Core ID not in Core Log. ","")&amp;IF(AND($A540&lt;&gt;"",COUNTIF('1. Plot &amp; Site Log'!$A$5:$A$64,$A540)=0),"Plot ID not in Plot &amp; Site Log. ","")&amp;IF(AND(ISNUMBER($E540),ISNUMBER($F540),$F540&lt;=$E540),"Bottom depth is not below top depth. ","")&amp;IF($I540="","Say which bulk-density basis the lab reported. ","")&amp;IF(AND(ISNUMBER($J540),OR($J540&lt;QC_BD_MIN,$J540&gt;QC_BD_MAX)),"Bulk density outside "&amp;QC_BD_MIN&amp;"–"&amp;QC_BD_MAX&amp;" g/cm³ for peat. Above the top of that range usually means the mineral contact has been passed. ","")&amp;IF(AND(ISNUMBER($N540),$N540&gt;QC_CARBON_PCT_MAX),"Carbon above "&amp;QC_CARBON_PCT_MAX&amp;"% — check units; this may be organic matter rather than carbon. ","")&amp;IF(AND($L540&lt;&gt;"",$M540&lt;&gt;""),"Both LOI and measured carbon given — the measured value is used. ","")&amp;IF(AND($M540="",$L540&lt;&gt;"",OM_FACTOR_IS_LOCAL&lt;&gt;"Yes"),"Carbon derived from LOI using the default factor of "&amp;CARBON_FRACTION_OM&amp;", which has not been calibrated locally. See R1. Reference. ","")&amp;IF(AND(ISNUMBER($O540),$O540=0,ISNUMBER($E540)),"Section lies entirely below the reference depth — it counts to the full-profile stock only. ",""))</f>
        <v/>
      </c>
      <c r="U540" s="14" t="n"/>
    </row>
    <row r="541">
      <c r="A541" s="14" t="n"/>
      <c r="B541" s="14" t="n"/>
      <c r="C541" s="14" t="n"/>
      <c r="D541" s="14" t="n"/>
      <c r="E541" s="14" t="n"/>
      <c r="F541" s="14" t="n"/>
      <c r="G541" s="14">
        <f>IF(OR($E541="",$F541=""),"",$F541-$E541)</f>
        <v/>
      </c>
      <c r="H541" s="14" t="n"/>
      <c r="I541" s="14" t="n"/>
      <c r="J541" s="19" t="n"/>
      <c r="K541" s="19" t="n"/>
      <c r="L541" s="19" t="n"/>
      <c r="M541" s="19" t="n"/>
      <c r="N541" s="18">
        <f>IF($M541&lt;&gt;"",$M541,IF($L541&lt;&gt;"",$L541*CARBON_FRACTION_OM,""))</f>
        <v/>
      </c>
      <c r="O541" s="18">
        <f>IF(OR($E541="",$F541=""),"",MAX(0,MIN($F541,REFERENCE_DEPTH_CM)-MIN($E541,REFERENCE_DEPTH_CM)))</f>
        <v/>
      </c>
      <c r="P541" s="18">
        <f>IF(OR($J541="",$N541="",$G541=""),"",$J541*($N541/100)*$G541*10)</f>
        <v/>
      </c>
      <c r="Q541" s="18">
        <f>IF(OR($J541="",$N541="",$O541=""),"",$J541*($N541/100)*$O541*10)</f>
        <v/>
      </c>
      <c r="R541" s="18">
        <f>IF(OR(NOT(ISNUMBER($P541)),NOT(ISNUMBER($G541)),$G541=0),0,$P541/$G541)</f>
        <v/>
      </c>
      <c r="S541" s="18">
        <f>IF(OR($B541="",NOT(ISNUMBER($F541))),"",SUMIFS('3. Peat Data'!$P$5:$P$604,'3. Peat Data'!$B$5:$B$604,$B541,'3. Peat Data'!$F$5:$F$604,"&lt;="&amp;$F541))</f>
        <v/>
      </c>
      <c r="T541" s="18">
        <f>IF(AND($A541="",$B541="",$E541=""),"",IF(AND($B541&lt;&gt;"",COUNTIF('2. Core Log'!$A$5:$A$124,$B541)=0),"Core ID not in Core Log. ","")&amp;IF(AND($A541&lt;&gt;"",COUNTIF('1. Plot &amp; Site Log'!$A$5:$A$64,$A541)=0),"Plot ID not in Plot &amp; Site Log. ","")&amp;IF(AND(ISNUMBER($E541),ISNUMBER($F541),$F541&lt;=$E541),"Bottom depth is not below top depth. ","")&amp;IF($I541="","Say which bulk-density basis the lab reported. ","")&amp;IF(AND(ISNUMBER($J541),OR($J541&lt;QC_BD_MIN,$J541&gt;QC_BD_MAX)),"Bulk density outside "&amp;QC_BD_MIN&amp;"–"&amp;QC_BD_MAX&amp;" g/cm³ for peat. Above the top of that range usually means the mineral contact has been passed. ","")&amp;IF(AND(ISNUMBER($N541),$N541&gt;QC_CARBON_PCT_MAX),"Carbon above "&amp;QC_CARBON_PCT_MAX&amp;"% — check units; this may be organic matter rather than carbon. ","")&amp;IF(AND($L541&lt;&gt;"",$M541&lt;&gt;""),"Both LOI and measured carbon given — the measured value is used. ","")&amp;IF(AND($M541="",$L541&lt;&gt;"",OM_FACTOR_IS_LOCAL&lt;&gt;"Yes"),"Carbon derived from LOI using the default factor of "&amp;CARBON_FRACTION_OM&amp;", which has not been calibrated locally. See R1. Reference. ","")&amp;IF(AND(ISNUMBER($O541),$O541=0,ISNUMBER($E541)),"Section lies entirely below the reference depth — it counts to the full-profile stock only. ",""))</f>
        <v/>
      </c>
      <c r="U541" s="14" t="n"/>
    </row>
    <row r="542">
      <c r="A542" s="14" t="n"/>
      <c r="B542" s="14" t="n"/>
      <c r="C542" s="14" t="n"/>
      <c r="D542" s="14" t="n"/>
      <c r="E542" s="14" t="n"/>
      <c r="F542" s="14" t="n"/>
      <c r="G542" s="14">
        <f>IF(OR($E542="",$F542=""),"",$F542-$E542)</f>
        <v/>
      </c>
      <c r="H542" s="14" t="n"/>
      <c r="I542" s="14" t="n"/>
      <c r="J542" s="19" t="n"/>
      <c r="K542" s="19" t="n"/>
      <c r="L542" s="19" t="n"/>
      <c r="M542" s="19" t="n"/>
      <c r="N542" s="18">
        <f>IF($M542&lt;&gt;"",$M542,IF($L542&lt;&gt;"",$L542*CARBON_FRACTION_OM,""))</f>
        <v/>
      </c>
      <c r="O542" s="18">
        <f>IF(OR($E542="",$F542=""),"",MAX(0,MIN($F542,REFERENCE_DEPTH_CM)-MIN($E542,REFERENCE_DEPTH_CM)))</f>
        <v/>
      </c>
      <c r="P542" s="18">
        <f>IF(OR($J542="",$N542="",$G542=""),"",$J542*($N542/100)*$G542*10)</f>
        <v/>
      </c>
      <c r="Q542" s="18">
        <f>IF(OR($J542="",$N542="",$O542=""),"",$J542*($N542/100)*$O542*10)</f>
        <v/>
      </c>
      <c r="R542" s="18">
        <f>IF(OR(NOT(ISNUMBER($P542)),NOT(ISNUMBER($G542)),$G542=0),0,$P542/$G542)</f>
        <v/>
      </c>
      <c r="S542" s="18">
        <f>IF(OR($B542="",NOT(ISNUMBER($F542))),"",SUMIFS('3. Peat Data'!$P$5:$P$604,'3. Peat Data'!$B$5:$B$604,$B542,'3. Peat Data'!$F$5:$F$604,"&lt;="&amp;$F542))</f>
        <v/>
      </c>
      <c r="T542" s="18">
        <f>IF(AND($A542="",$B542="",$E542=""),"",IF(AND($B542&lt;&gt;"",COUNTIF('2. Core Log'!$A$5:$A$124,$B542)=0),"Core ID not in Core Log. ","")&amp;IF(AND($A542&lt;&gt;"",COUNTIF('1. Plot &amp; Site Log'!$A$5:$A$64,$A542)=0),"Plot ID not in Plot &amp; Site Log. ","")&amp;IF(AND(ISNUMBER($E542),ISNUMBER($F542),$F542&lt;=$E542),"Bottom depth is not below top depth. ","")&amp;IF($I542="","Say which bulk-density basis the lab reported. ","")&amp;IF(AND(ISNUMBER($J542),OR($J542&lt;QC_BD_MIN,$J542&gt;QC_BD_MAX)),"Bulk density outside "&amp;QC_BD_MIN&amp;"–"&amp;QC_BD_MAX&amp;" g/cm³ for peat. Above the top of that range usually means the mineral contact has been passed. ","")&amp;IF(AND(ISNUMBER($N542),$N542&gt;QC_CARBON_PCT_MAX),"Carbon above "&amp;QC_CARBON_PCT_MAX&amp;"% — check units; this may be organic matter rather than carbon. ","")&amp;IF(AND($L542&lt;&gt;"",$M542&lt;&gt;""),"Both LOI and measured carbon given — the measured value is used. ","")&amp;IF(AND($M542="",$L542&lt;&gt;"",OM_FACTOR_IS_LOCAL&lt;&gt;"Yes"),"Carbon derived from LOI using the default factor of "&amp;CARBON_FRACTION_OM&amp;", which has not been calibrated locally. See R1. Reference. ","")&amp;IF(AND(ISNUMBER($O542),$O542=0,ISNUMBER($E542)),"Section lies entirely below the reference depth — it counts to the full-profile stock only. ",""))</f>
        <v/>
      </c>
      <c r="U542" s="14" t="n"/>
    </row>
    <row r="543">
      <c r="A543" s="14" t="n"/>
      <c r="B543" s="14" t="n"/>
      <c r="C543" s="14" t="n"/>
      <c r="D543" s="14" t="n"/>
      <c r="E543" s="14" t="n"/>
      <c r="F543" s="14" t="n"/>
      <c r="G543" s="14">
        <f>IF(OR($E543="",$F543=""),"",$F543-$E543)</f>
        <v/>
      </c>
      <c r="H543" s="14" t="n"/>
      <c r="I543" s="14" t="n"/>
      <c r="J543" s="19" t="n"/>
      <c r="K543" s="19" t="n"/>
      <c r="L543" s="19" t="n"/>
      <c r="M543" s="19" t="n"/>
      <c r="N543" s="18">
        <f>IF($M543&lt;&gt;"",$M543,IF($L543&lt;&gt;"",$L543*CARBON_FRACTION_OM,""))</f>
        <v/>
      </c>
      <c r="O543" s="18">
        <f>IF(OR($E543="",$F543=""),"",MAX(0,MIN($F543,REFERENCE_DEPTH_CM)-MIN($E543,REFERENCE_DEPTH_CM)))</f>
        <v/>
      </c>
      <c r="P543" s="18">
        <f>IF(OR($J543="",$N543="",$G543=""),"",$J543*($N543/100)*$G543*10)</f>
        <v/>
      </c>
      <c r="Q543" s="18">
        <f>IF(OR($J543="",$N543="",$O543=""),"",$J543*($N543/100)*$O543*10)</f>
        <v/>
      </c>
      <c r="R543" s="18">
        <f>IF(OR(NOT(ISNUMBER($P543)),NOT(ISNUMBER($G543)),$G543=0),0,$P543/$G543)</f>
        <v/>
      </c>
      <c r="S543" s="18">
        <f>IF(OR($B543="",NOT(ISNUMBER($F543))),"",SUMIFS('3. Peat Data'!$P$5:$P$604,'3. Peat Data'!$B$5:$B$604,$B543,'3. Peat Data'!$F$5:$F$604,"&lt;="&amp;$F543))</f>
        <v/>
      </c>
      <c r="T543" s="18">
        <f>IF(AND($A543="",$B543="",$E543=""),"",IF(AND($B543&lt;&gt;"",COUNTIF('2. Core Log'!$A$5:$A$124,$B543)=0),"Core ID not in Core Log. ","")&amp;IF(AND($A543&lt;&gt;"",COUNTIF('1. Plot &amp; Site Log'!$A$5:$A$64,$A543)=0),"Plot ID not in Plot &amp; Site Log. ","")&amp;IF(AND(ISNUMBER($E543),ISNUMBER($F543),$F543&lt;=$E543),"Bottom depth is not below top depth. ","")&amp;IF($I543="","Say which bulk-density basis the lab reported. ","")&amp;IF(AND(ISNUMBER($J543),OR($J543&lt;QC_BD_MIN,$J543&gt;QC_BD_MAX)),"Bulk density outside "&amp;QC_BD_MIN&amp;"–"&amp;QC_BD_MAX&amp;" g/cm³ for peat. Above the top of that range usually means the mineral contact has been passed. ","")&amp;IF(AND(ISNUMBER($N543),$N543&gt;QC_CARBON_PCT_MAX),"Carbon above "&amp;QC_CARBON_PCT_MAX&amp;"% — check units; this may be organic matter rather than carbon. ","")&amp;IF(AND($L543&lt;&gt;"",$M543&lt;&gt;""),"Both LOI and measured carbon given — the measured value is used. ","")&amp;IF(AND($M543="",$L543&lt;&gt;"",OM_FACTOR_IS_LOCAL&lt;&gt;"Yes"),"Carbon derived from LOI using the default factor of "&amp;CARBON_FRACTION_OM&amp;", which has not been calibrated locally. See R1. Reference. ","")&amp;IF(AND(ISNUMBER($O543),$O543=0,ISNUMBER($E543)),"Section lies entirely below the reference depth — it counts to the full-profile stock only. ",""))</f>
        <v/>
      </c>
      <c r="U543" s="14" t="n"/>
    </row>
    <row r="544">
      <c r="A544" s="14" t="n"/>
      <c r="B544" s="14" t="n"/>
      <c r="C544" s="14" t="n"/>
      <c r="D544" s="14" t="n"/>
      <c r="E544" s="14" t="n"/>
      <c r="F544" s="14" t="n"/>
      <c r="G544" s="14">
        <f>IF(OR($E544="",$F544=""),"",$F544-$E544)</f>
        <v/>
      </c>
      <c r="H544" s="14" t="n"/>
      <c r="I544" s="14" t="n"/>
      <c r="J544" s="19" t="n"/>
      <c r="K544" s="19" t="n"/>
      <c r="L544" s="19" t="n"/>
      <c r="M544" s="19" t="n"/>
      <c r="N544" s="18">
        <f>IF($M544&lt;&gt;"",$M544,IF($L544&lt;&gt;"",$L544*CARBON_FRACTION_OM,""))</f>
        <v/>
      </c>
      <c r="O544" s="18">
        <f>IF(OR($E544="",$F544=""),"",MAX(0,MIN($F544,REFERENCE_DEPTH_CM)-MIN($E544,REFERENCE_DEPTH_CM)))</f>
        <v/>
      </c>
      <c r="P544" s="18">
        <f>IF(OR($J544="",$N544="",$G544=""),"",$J544*($N544/100)*$G544*10)</f>
        <v/>
      </c>
      <c r="Q544" s="18">
        <f>IF(OR($J544="",$N544="",$O544=""),"",$J544*($N544/100)*$O544*10)</f>
        <v/>
      </c>
      <c r="R544" s="18">
        <f>IF(OR(NOT(ISNUMBER($P544)),NOT(ISNUMBER($G544)),$G544=0),0,$P544/$G544)</f>
        <v/>
      </c>
      <c r="S544" s="18">
        <f>IF(OR($B544="",NOT(ISNUMBER($F544))),"",SUMIFS('3. Peat Data'!$P$5:$P$604,'3. Peat Data'!$B$5:$B$604,$B544,'3. Peat Data'!$F$5:$F$604,"&lt;="&amp;$F544))</f>
        <v/>
      </c>
      <c r="T544" s="18">
        <f>IF(AND($A544="",$B544="",$E544=""),"",IF(AND($B544&lt;&gt;"",COUNTIF('2. Core Log'!$A$5:$A$124,$B544)=0),"Core ID not in Core Log. ","")&amp;IF(AND($A544&lt;&gt;"",COUNTIF('1. Plot &amp; Site Log'!$A$5:$A$64,$A544)=0),"Plot ID not in Plot &amp; Site Log. ","")&amp;IF(AND(ISNUMBER($E544),ISNUMBER($F544),$F544&lt;=$E544),"Bottom depth is not below top depth. ","")&amp;IF($I544="","Say which bulk-density basis the lab reported. ","")&amp;IF(AND(ISNUMBER($J544),OR($J544&lt;QC_BD_MIN,$J544&gt;QC_BD_MAX)),"Bulk density outside "&amp;QC_BD_MIN&amp;"–"&amp;QC_BD_MAX&amp;" g/cm³ for peat. Above the top of that range usually means the mineral contact has been passed. ","")&amp;IF(AND(ISNUMBER($N544),$N544&gt;QC_CARBON_PCT_MAX),"Carbon above "&amp;QC_CARBON_PCT_MAX&amp;"% — check units; this may be organic matter rather than carbon. ","")&amp;IF(AND($L544&lt;&gt;"",$M544&lt;&gt;""),"Both LOI and measured carbon given — the measured value is used. ","")&amp;IF(AND($M544="",$L544&lt;&gt;"",OM_FACTOR_IS_LOCAL&lt;&gt;"Yes"),"Carbon derived from LOI using the default factor of "&amp;CARBON_FRACTION_OM&amp;", which has not been calibrated locally. See R1. Reference. ","")&amp;IF(AND(ISNUMBER($O544),$O544=0,ISNUMBER($E544)),"Section lies entirely below the reference depth — it counts to the full-profile stock only. ",""))</f>
        <v/>
      </c>
      <c r="U544" s="14" t="n"/>
    </row>
    <row r="545">
      <c r="A545" s="14" t="n"/>
      <c r="B545" s="14" t="n"/>
      <c r="C545" s="14" t="n"/>
      <c r="D545" s="14" t="n"/>
      <c r="E545" s="14" t="n"/>
      <c r="F545" s="14" t="n"/>
      <c r="G545" s="14">
        <f>IF(OR($E545="",$F545=""),"",$F545-$E545)</f>
        <v/>
      </c>
      <c r="H545" s="14" t="n"/>
      <c r="I545" s="14" t="n"/>
      <c r="J545" s="19" t="n"/>
      <c r="K545" s="19" t="n"/>
      <c r="L545" s="19" t="n"/>
      <c r="M545" s="19" t="n"/>
      <c r="N545" s="18">
        <f>IF($M545&lt;&gt;"",$M545,IF($L545&lt;&gt;"",$L545*CARBON_FRACTION_OM,""))</f>
        <v/>
      </c>
      <c r="O545" s="18">
        <f>IF(OR($E545="",$F545=""),"",MAX(0,MIN($F545,REFERENCE_DEPTH_CM)-MIN($E545,REFERENCE_DEPTH_CM)))</f>
        <v/>
      </c>
      <c r="P545" s="18">
        <f>IF(OR($J545="",$N545="",$G545=""),"",$J545*($N545/100)*$G545*10)</f>
        <v/>
      </c>
      <c r="Q545" s="18">
        <f>IF(OR($J545="",$N545="",$O545=""),"",$J545*($N545/100)*$O545*10)</f>
        <v/>
      </c>
      <c r="R545" s="18">
        <f>IF(OR(NOT(ISNUMBER($P545)),NOT(ISNUMBER($G545)),$G545=0),0,$P545/$G545)</f>
        <v/>
      </c>
      <c r="S545" s="18">
        <f>IF(OR($B545="",NOT(ISNUMBER($F545))),"",SUMIFS('3. Peat Data'!$P$5:$P$604,'3. Peat Data'!$B$5:$B$604,$B545,'3. Peat Data'!$F$5:$F$604,"&lt;="&amp;$F545))</f>
        <v/>
      </c>
      <c r="T545" s="18">
        <f>IF(AND($A545="",$B545="",$E545=""),"",IF(AND($B545&lt;&gt;"",COUNTIF('2. Core Log'!$A$5:$A$124,$B545)=0),"Core ID not in Core Log. ","")&amp;IF(AND($A545&lt;&gt;"",COUNTIF('1. Plot &amp; Site Log'!$A$5:$A$64,$A545)=0),"Plot ID not in Plot &amp; Site Log. ","")&amp;IF(AND(ISNUMBER($E545),ISNUMBER($F545),$F545&lt;=$E545),"Bottom depth is not below top depth. ","")&amp;IF($I545="","Say which bulk-density basis the lab reported. ","")&amp;IF(AND(ISNUMBER($J545),OR($J545&lt;QC_BD_MIN,$J545&gt;QC_BD_MAX)),"Bulk density outside "&amp;QC_BD_MIN&amp;"–"&amp;QC_BD_MAX&amp;" g/cm³ for peat. Above the top of that range usually means the mineral contact has been passed. ","")&amp;IF(AND(ISNUMBER($N545),$N545&gt;QC_CARBON_PCT_MAX),"Carbon above "&amp;QC_CARBON_PCT_MAX&amp;"% — check units; this may be organic matter rather than carbon. ","")&amp;IF(AND($L545&lt;&gt;"",$M545&lt;&gt;""),"Both LOI and measured carbon given — the measured value is used. ","")&amp;IF(AND($M545="",$L545&lt;&gt;"",OM_FACTOR_IS_LOCAL&lt;&gt;"Yes"),"Carbon derived from LOI using the default factor of "&amp;CARBON_FRACTION_OM&amp;", which has not been calibrated locally. See R1. Reference. ","")&amp;IF(AND(ISNUMBER($O545),$O545=0,ISNUMBER($E545)),"Section lies entirely below the reference depth — it counts to the full-profile stock only. ",""))</f>
        <v/>
      </c>
      <c r="U545" s="14" t="n"/>
    </row>
    <row r="546">
      <c r="A546" s="14" t="n"/>
      <c r="B546" s="14" t="n"/>
      <c r="C546" s="14" t="n"/>
      <c r="D546" s="14" t="n"/>
      <c r="E546" s="14" t="n"/>
      <c r="F546" s="14" t="n"/>
      <c r="G546" s="14">
        <f>IF(OR($E546="",$F546=""),"",$F546-$E546)</f>
        <v/>
      </c>
      <c r="H546" s="14" t="n"/>
      <c r="I546" s="14" t="n"/>
      <c r="J546" s="19" t="n"/>
      <c r="K546" s="19" t="n"/>
      <c r="L546" s="19" t="n"/>
      <c r="M546" s="19" t="n"/>
      <c r="N546" s="18">
        <f>IF($M546&lt;&gt;"",$M546,IF($L546&lt;&gt;"",$L546*CARBON_FRACTION_OM,""))</f>
        <v/>
      </c>
      <c r="O546" s="18">
        <f>IF(OR($E546="",$F546=""),"",MAX(0,MIN($F546,REFERENCE_DEPTH_CM)-MIN($E546,REFERENCE_DEPTH_CM)))</f>
        <v/>
      </c>
      <c r="P546" s="18">
        <f>IF(OR($J546="",$N546="",$G546=""),"",$J546*($N546/100)*$G546*10)</f>
        <v/>
      </c>
      <c r="Q546" s="18">
        <f>IF(OR($J546="",$N546="",$O546=""),"",$J546*($N546/100)*$O546*10)</f>
        <v/>
      </c>
      <c r="R546" s="18">
        <f>IF(OR(NOT(ISNUMBER($P546)),NOT(ISNUMBER($G546)),$G546=0),0,$P546/$G546)</f>
        <v/>
      </c>
      <c r="S546" s="18">
        <f>IF(OR($B546="",NOT(ISNUMBER($F546))),"",SUMIFS('3. Peat Data'!$P$5:$P$604,'3. Peat Data'!$B$5:$B$604,$B546,'3. Peat Data'!$F$5:$F$604,"&lt;="&amp;$F546))</f>
        <v/>
      </c>
      <c r="T546" s="18">
        <f>IF(AND($A546="",$B546="",$E546=""),"",IF(AND($B546&lt;&gt;"",COUNTIF('2. Core Log'!$A$5:$A$124,$B546)=0),"Core ID not in Core Log. ","")&amp;IF(AND($A546&lt;&gt;"",COUNTIF('1. Plot &amp; Site Log'!$A$5:$A$64,$A546)=0),"Plot ID not in Plot &amp; Site Log. ","")&amp;IF(AND(ISNUMBER($E546),ISNUMBER($F546),$F546&lt;=$E546),"Bottom depth is not below top depth. ","")&amp;IF($I546="","Say which bulk-density basis the lab reported. ","")&amp;IF(AND(ISNUMBER($J546),OR($J546&lt;QC_BD_MIN,$J546&gt;QC_BD_MAX)),"Bulk density outside "&amp;QC_BD_MIN&amp;"–"&amp;QC_BD_MAX&amp;" g/cm³ for peat. Above the top of that range usually means the mineral contact has been passed. ","")&amp;IF(AND(ISNUMBER($N546),$N546&gt;QC_CARBON_PCT_MAX),"Carbon above "&amp;QC_CARBON_PCT_MAX&amp;"% — check units; this may be organic matter rather than carbon. ","")&amp;IF(AND($L546&lt;&gt;"",$M546&lt;&gt;""),"Both LOI and measured carbon given — the measured value is used. ","")&amp;IF(AND($M546="",$L546&lt;&gt;"",OM_FACTOR_IS_LOCAL&lt;&gt;"Yes"),"Carbon derived from LOI using the default factor of "&amp;CARBON_FRACTION_OM&amp;", which has not been calibrated locally. See R1. Reference. ","")&amp;IF(AND(ISNUMBER($O546),$O546=0,ISNUMBER($E546)),"Section lies entirely below the reference depth — it counts to the full-profile stock only. ",""))</f>
        <v/>
      </c>
      <c r="U546" s="14" t="n"/>
    </row>
    <row r="547">
      <c r="A547" s="14" t="n"/>
      <c r="B547" s="14" t="n"/>
      <c r="C547" s="14" t="n"/>
      <c r="D547" s="14" t="n"/>
      <c r="E547" s="14" t="n"/>
      <c r="F547" s="14" t="n"/>
      <c r="G547" s="14">
        <f>IF(OR($E547="",$F547=""),"",$F547-$E547)</f>
        <v/>
      </c>
      <c r="H547" s="14" t="n"/>
      <c r="I547" s="14" t="n"/>
      <c r="J547" s="19" t="n"/>
      <c r="K547" s="19" t="n"/>
      <c r="L547" s="19" t="n"/>
      <c r="M547" s="19" t="n"/>
      <c r="N547" s="18">
        <f>IF($M547&lt;&gt;"",$M547,IF($L547&lt;&gt;"",$L547*CARBON_FRACTION_OM,""))</f>
        <v/>
      </c>
      <c r="O547" s="18">
        <f>IF(OR($E547="",$F547=""),"",MAX(0,MIN($F547,REFERENCE_DEPTH_CM)-MIN($E547,REFERENCE_DEPTH_CM)))</f>
        <v/>
      </c>
      <c r="P547" s="18">
        <f>IF(OR($J547="",$N547="",$G547=""),"",$J547*($N547/100)*$G547*10)</f>
        <v/>
      </c>
      <c r="Q547" s="18">
        <f>IF(OR($J547="",$N547="",$O547=""),"",$J547*($N547/100)*$O547*10)</f>
        <v/>
      </c>
      <c r="R547" s="18">
        <f>IF(OR(NOT(ISNUMBER($P547)),NOT(ISNUMBER($G547)),$G547=0),0,$P547/$G547)</f>
        <v/>
      </c>
      <c r="S547" s="18">
        <f>IF(OR($B547="",NOT(ISNUMBER($F547))),"",SUMIFS('3. Peat Data'!$P$5:$P$604,'3. Peat Data'!$B$5:$B$604,$B547,'3. Peat Data'!$F$5:$F$604,"&lt;="&amp;$F547))</f>
        <v/>
      </c>
      <c r="T547" s="18">
        <f>IF(AND($A547="",$B547="",$E547=""),"",IF(AND($B547&lt;&gt;"",COUNTIF('2. Core Log'!$A$5:$A$124,$B547)=0),"Core ID not in Core Log. ","")&amp;IF(AND($A547&lt;&gt;"",COUNTIF('1. Plot &amp; Site Log'!$A$5:$A$64,$A547)=0),"Plot ID not in Plot &amp; Site Log. ","")&amp;IF(AND(ISNUMBER($E547),ISNUMBER($F547),$F547&lt;=$E547),"Bottom depth is not below top depth. ","")&amp;IF($I547="","Say which bulk-density basis the lab reported. ","")&amp;IF(AND(ISNUMBER($J547),OR($J547&lt;QC_BD_MIN,$J547&gt;QC_BD_MAX)),"Bulk density outside "&amp;QC_BD_MIN&amp;"–"&amp;QC_BD_MAX&amp;" g/cm³ for peat. Above the top of that range usually means the mineral contact has been passed. ","")&amp;IF(AND(ISNUMBER($N547),$N547&gt;QC_CARBON_PCT_MAX),"Carbon above "&amp;QC_CARBON_PCT_MAX&amp;"% — check units; this may be organic matter rather than carbon. ","")&amp;IF(AND($L547&lt;&gt;"",$M547&lt;&gt;""),"Both LOI and measured carbon given — the measured value is used. ","")&amp;IF(AND($M547="",$L547&lt;&gt;"",OM_FACTOR_IS_LOCAL&lt;&gt;"Yes"),"Carbon derived from LOI using the default factor of "&amp;CARBON_FRACTION_OM&amp;", which has not been calibrated locally. See R1. Reference. ","")&amp;IF(AND(ISNUMBER($O547),$O547=0,ISNUMBER($E547)),"Section lies entirely below the reference depth — it counts to the full-profile stock only. ",""))</f>
        <v/>
      </c>
      <c r="U547" s="14" t="n"/>
    </row>
    <row r="548">
      <c r="A548" s="14" t="n"/>
      <c r="B548" s="14" t="n"/>
      <c r="C548" s="14" t="n"/>
      <c r="D548" s="14" t="n"/>
      <c r="E548" s="14" t="n"/>
      <c r="F548" s="14" t="n"/>
      <c r="G548" s="14">
        <f>IF(OR($E548="",$F548=""),"",$F548-$E548)</f>
        <v/>
      </c>
      <c r="H548" s="14" t="n"/>
      <c r="I548" s="14" t="n"/>
      <c r="J548" s="19" t="n"/>
      <c r="K548" s="19" t="n"/>
      <c r="L548" s="19" t="n"/>
      <c r="M548" s="19" t="n"/>
      <c r="N548" s="18">
        <f>IF($M548&lt;&gt;"",$M548,IF($L548&lt;&gt;"",$L548*CARBON_FRACTION_OM,""))</f>
        <v/>
      </c>
      <c r="O548" s="18">
        <f>IF(OR($E548="",$F548=""),"",MAX(0,MIN($F548,REFERENCE_DEPTH_CM)-MIN($E548,REFERENCE_DEPTH_CM)))</f>
        <v/>
      </c>
      <c r="P548" s="18">
        <f>IF(OR($J548="",$N548="",$G548=""),"",$J548*($N548/100)*$G548*10)</f>
        <v/>
      </c>
      <c r="Q548" s="18">
        <f>IF(OR($J548="",$N548="",$O548=""),"",$J548*($N548/100)*$O548*10)</f>
        <v/>
      </c>
      <c r="R548" s="18">
        <f>IF(OR(NOT(ISNUMBER($P548)),NOT(ISNUMBER($G548)),$G548=0),0,$P548/$G548)</f>
        <v/>
      </c>
      <c r="S548" s="18">
        <f>IF(OR($B548="",NOT(ISNUMBER($F548))),"",SUMIFS('3. Peat Data'!$P$5:$P$604,'3. Peat Data'!$B$5:$B$604,$B548,'3. Peat Data'!$F$5:$F$604,"&lt;="&amp;$F548))</f>
        <v/>
      </c>
      <c r="T548" s="18">
        <f>IF(AND($A548="",$B548="",$E548=""),"",IF(AND($B548&lt;&gt;"",COUNTIF('2. Core Log'!$A$5:$A$124,$B548)=0),"Core ID not in Core Log. ","")&amp;IF(AND($A548&lt;&gt;"",COUNTIF('1. Plot &amp; Site Log'!$A$5:$A$64,$A548)=0),"Plot ID not in Plot &amp; Site Log. ","")&amp;IF(AND(ISNUMBER($E548),ISNUMBER($F548),$F548&lt;=$E548),"Bottom depth is not below top depth. ","")&amp;IF($I548="","Say which bulk-density basis the lab reported. ","")&amp;IF(AND(ISNUMBER($J548),OR($J548&lt;QC_BD_MIN,$J548&gt;QC_BD_MAX)),"Bulk density outside "&amp;QC_BD_MIN&amp;"–"&amp;QC_BD_MAX&amp;" g/cm³ for peat. Above the top of that range usually means the mineral contact has been passed. ","")&amp;IF(AND(ISNUMBER($N548),$N548&gt;QC_CARBON_PCT_MAX),"Carbon above "&amp;QC_CARBON_PCT_MAX&amp;"% — check units; this may be organic matter rather than carbon. ","")&amp;IF(AND($L548&lt;&gt;"",$M548&lt;&gt;""),"Both LOI and measured carbon given — the measured value is used. ","")&amp;IF(AND($M548="",$L548&lt;&gt;"",OM_FACTOR_IS_LOCAL&lt;&gt;"Yes"),"Carbon derived from LOI using the default factor of "&amp;CARBON_FRACTION_OM&amp;", which has not been calibrated locally. See R1. Reference. ","")&amp;IF(AND(ISNUMBER($O548),$O548=0,ISNUMBER($E548)),"Section lies entirely below the reference depth — it counts to the full-profile stock only. ",""))</f>
        <v/>
      </c>
      <c r="U548" s="14" t="n"/>
    </row>
    <row r="549">
      <c r="A549" s="14" t="n"/>
      <c r="B549" s="14" t="n"/>
      <c r="C549" s="14" t="n"/>
      <c r="D549" s="14" t="n"/>
      <c r="E549" s="14" t="n"/>
      <c r="F549" s="14" t="n"/>
      <c r="G549" s="14">
        <f>IF(OR($E549="",$F549=""),"",$F549-$E549)</f>
        <v/>
      </c>
      <c r="H549" s="14" t="n"/>
      <c r="I549" s="14" t="n"/>
      <c r="J549" s="19" t="n"/>
      <c r="K549" s="19" t="n"/>
      <c r="L549" s="19" t="n"/>
      <c r="M549" s="19" t="n"/>
      <c r="N549" s="18">
        <f>IF($M549&lt;&gt;"",$M549,IF($L549&lt;&gt;"",$L549*CARBON_FRACTION_OM,""))</f>
        <v/>
      </c>
      <c r="O549" s="18">
        <f>IF(OR($E549="",$F549=""),"",MAX(0,MIN($F549,REFERENCE_DEPTH_CM)-MIN($E549,REFERENCE_DEPTH_CM)))</f>
        <v/>
      </c>
      <c r="P549" s="18">
        <f>IF(OR($J549="",$N549="",$G549=""),"",$J549*($N549/100)*$G549*10)</f>
        <v/>
      </c>
      <c r="Q549" s="18">
        <f>IF(OR($J549="",$N549="",$O549=""),"",$J549*($N549/100)*$O549*10)</f>
        <v/>
      </c>
      <c r="R549" s="18">
        <f>IF(OR(NOT(ISNUMBER($P549)),NOT(ISNUMBER($G549)),$G549=0),0,$P549/$G549)</f>
        <v/>
      </c>
      <c r="S549" s="18">
        <f>IF(OR($B549="",NOT(ISNUMBER($F549))),"",SUMIFS('3. Peat Data'!$P$5:$P$604,'3. Peat Data'!$B$5:$B$604,$B549,'3. Peat Data'!$F$5:$F$604,"&lt;="&amp;$F549))</f>
        <v/>
      </c>
      <c r="T549" s="18">
        <f>IF(AND($A549="",$B549="",$E549=""),"",IF(AND($B549&lt;&gt;"",COUNTIF('2. Core Log'!$A$5:$A$124,$B549)=0),"Core ID not in Core Log. ","")&amp;IF(AND($A549&lt;&gt;"",COUNTIF('1. Plot &amp; Site Log'!$A$5:$A$64,$A549)=0),"Plot ID not in Plot &amp; Site Log. ","")&amp;IF(AND(ISNUMBER($E549),ISNUMBER($F549),$F549&lt;=$E549),"Bottom depth is not below top depth. ","")&amp;IF($I549="","Say which bulk-density basis the lab reported. ","")&amp;IF(AND(ISNUMBER($J549),OR($J549&lt;QC_BD_MIN,$J549&gt;QC_BD_MAX)),"Bulk density outside "&amp;QC_BD_MIN&amp;"–"&amp;QC_BD_MAX&amp;" g/cm³ for peat. Above the top of that range usually means the mineral contact has been passed. ","")&amp;IF(AND(ISNUMBER($N549),$N549&gt;QC_CARBON_PCT_MAX),"Carbon above "&amp;QC_CARBON_PCT_MAX&amp;"% — check units; this may be organic matter rather than carbon. ","")&amp;IF(AND($L549&lt;&gt;"",$M549&lt;&gt;""),"Both LOI and measured carbon given — the measured value is used. ","")&amp;IF(AND($M549="",$L549&lt;&gt;"",OM_FACTOR_IS_LOCAL&lt;&gt;"Yes"),"Carbon derived from LOI using the default factor of "&amp;CARBON_FRACTION_OM&amp;", which has not been calibrated locally. See R1. Reference. ","")&amp;IF(AND(ISNUMBER($O549),$O549=0,ISNUMBER($E549)),"Section lies entirely below the reference depth — it counts to the full-profile stock only. ",""))</f>
        <v/>
      </c>
      <c r="U549" s="14" t="n"/>
    </row>
    <row r="550">
      <c r="A550" s="14" t="n"/>
      <c r="B550" s="14" t="n"/>
      <c r="C550" s="14" t="n"/>
      <c r="D550" s="14" t="n"/>
      <c r="E550" s="14" t="n"/>
      <c r="F550" s="14" t="n"/>
      <c r="G550" s="14">
        <f>IF(OR($E550="",$F550=""),"",$F550-$E550)</f>
        <v/>
      </c>
      <c r="H550" s="14" t="n"/>
      <c r="I550" s="14" t="n"/>
      <c r="J550" s="19" t="n"/>
      <c r="K550" s="19" t="n"/>
      <c r="L550" s="19" t="n"/>
      <c r="M550" s="19" t="n"/>
      <c r="N550" s="18">
        <f>IF($M550&lt;&gt;"",$M550,IF($L550&lt;&gt;"",$L550*CARBON_FRACTION_OM,""))</f>
        <v/>
      </c>
      <c r="O550" s="18">
        <f>IF(OR($E550="",$F550=""),"",MAX(0,MIN($F550,REFERENCE_DEPTH_CM)-MIN($E550,REFERENCE_DEPTH_CM)))</f>
        <v/>
      </c>
      <c r="P550" s="18">
        <f>IF(OR($J550="",$N550="",$G550=""),"",$J550*($N550/100)*$G550*10)</f>
        <v/>
      </c>
      <c r="Q550" s="18">
        <f>IF(OR($J550="",$N550="",$O550=""),"",$J550*($N550/100)*$O550*10)</f>
        <v/>
      </c>
      <c r="R550" s="18">
        <f>IF(OR(NOT(ISNUMBER($P550)),NOT(ISNUMBER($G550)),$G550=0),0,$P550/$G550)</f>
        <v/>
      </c>
      <c r="S550" s="18">
        <f>IF(OR($B550="",NOT(ISNUMBER($F550))),"",SUMIFS('3. Peat Data'!$P$5:$P$604,'3. Peat Data'!$B$5:$B$604,$B550,'3. Peat Data'!$F$5:$F$604,"&lt;="&amp;$F550))</f>
        <v/>
      </c>
      <c r="T550" s="18">
        <f>IF(AND($A550="",$B550="",$E550=""),"",IF(AND($B550&lt;&gt;"",COUNTIF('2. Core Log'!$A$5:$A$124,$B550)=0),"Core ID not in Core Log. ","")&amp;IF(AND($A550&lt;&gt;"",COUNTIF('1. Plot &amp; Site Log'!$A$5:$A$64,$A550)=0),"Plot ID not in Plot &amp; Site Log. ","")&amp;IF(AND(ISNUMBER($E550),ISNUMBER($F550),$F550&lt;=$E550),"Bottom depth is not below top depth. ","")&amp;IF($I550="","Say which bulk-density basis the lab reported. ","")&amp;IF(AND(ISNUMBER($J550),OR($J550&lt;QC_BD_MIN,$J550&gt;QC_BD_MAX)),"Bulk density outside "&amp;QC_BD_MIN&amp;"–"&amp;QC_BD_MAX&amp;" g/cm³ for peat. Above the top of that range usually means the mineral contact has been passed. ","")&amp;IF(AND(ISNUMBER($N550),$N550&gt;QC_CARBON_PCT_MAX),"Carbon above "&amp;QC_CARBON_PCT_MAX&amp;"% — check units; this may be organic matter rather than carbon. ","")&amp;IF(AND($L550&lt;&gt;"",$M550&lt;&gt;""),"Both LOI and measured carbon given — the measured value is used. ","")&amp;IF(AND($M550="",$L550&lt;&gt;"",OM_FACTOR_IS_LOCAL&lt;&gt;"Yes"),"Carbon derived from LOI using the default factor of "&amp;CARBON_FRACTION_OM&amp;", which has not been calibrated locally. See R1. Reference. ","")&amp;IF(AND(ISNUMBER($O550),$O550=0,ISNUMBER($E550)),"Section lies entirely below the reference depth — it counts to the full-profile stock only. ",""))</f>
        <v/>
      </c>
      <c r="U550" s="14" t="n"/>
    </row>
    <row r="551">
      <c r="A551" s="14" t="n"/>
      <c r="B551" s="14" t="n"/>
      <c r="C551" s="14" t="n"/>
      <c r="D551" s="14" t="n"/>
      <c r="E551" s="14" t="n"/>
      <c r="F551" s="14" t="n"/>
      <c r="G551" s="14">
        <f>IF(OR($E551="",$F551=""),"",$F551-$E551)</f>
        <v/>
      </c>
      <c r="H551" s="14" t="n"/>
      <c r="I551" s="14" t="n"/>
      <c r="J551" s="19" t="n"/>
      <c r="K551" s="19" t="n"/>
      <c r="L551" s="19" t="n"/>
      <c r="M551" s="19" t="n"/>
      <c r="N551" s="18">
        <f>IF($M551&lt;&gt;"",$M551,IF($L551&lt;&gt;"",$L551*CARBON_FRACTION_OM,""))</f>
        <v/>
      </c>
      <c r="O551" s="18">
        <f>IF(OR($E551="",$F551=""),"",MAX(0,MIN($F551,REFERENCE_DEPTH_CM)-MIN($E551,REFERENCE_DEPTH_CM)))</f>
        <v/>
      </c>
      <c r="P551" s="18">
        <f>IF(OR($J551="",$N551="",$G551=""),"",$J551*($N551/100)*$G551*10)</f>
        <v/>
      </c>
      <c r="Q551" s="18">
        <f>IF(OR($J551="",$N551="",$O551=""),"",$J551*($N551/100)*$O551*10)</f>
        <v/>
      </c>
      <c r="R551" s="18">
        <f>IF(OR(NOT(ISNUMBER($P551)),NOT(ISNUMBER($G551)),$G551=0),0,$P551/$G551)</f>
        <v/>
      </c>
      <c r="S551" s="18">
        <f>IF(OR($B551="",NOT(ISNUMBER($F551))),"",SUMIFS('3. Peat Data'!$P$5:$P$604,'3. Peat Data'!$B$5:$B$604,$B551,'3. Peat Data'!$F$5:$F$604,"&lt;="&amp;$F551))</f>
        <v/>
      </c>
      <c r="T551" s="18">
        <f>IF(AND($A551="",$B551="",$E551=""),"",IF(AND($B551&lt;&gt;"",COUNTIF('2. Core Log'!$A$5:$A$124,$B551)=0),"Core ID not in Core Log. ","")&amp;IF(AND($A551&lt;&gt;"",COUNTIF('1. Plot &amp; Site Log'!$A$5:$A$64,$A551)=0),"Plot ID not in Plot &amp; Site Log. ","")&amp;IF(AND(ISNUMBER($E551),ISNUMBER($F551),$F551&lt;=$E551),"Bottom depth is not below top depth. ","")&amp;IF($I551="","Say which bulk-density basis the lab reported. ","")&amp;IF(AND(ISNUMBER($J551),OR($J551&lt;QC_BD_MIN,$J551&gt;QC_BD_MAX)),"Bulk density outside "&amp;QC_BD_MIN&amp;"–"&amp;QC_BD_MAX&amp;" g/cm³ for peat. Above the top of that range usually means the mineral contact has been passed. ","")&amp;IF(AND(ISNUMBER($N551),$N551&gt;QC_CARBON_PCT_MAX),"Carbon above "&amp;QC_CARBON_PCT_MAX&amp;"% — check units; this may be organic matter rather than carbon. ","")&amp;IF(AND($L551&lt;&gt;"",$M551&lt;&gt;""),"Both LOI and measured carbon given — the measured value is used. ","")&amp;IF(AND($M551="",$L551&lt;&gt;"",OM_FACTOR_IS_LOCAL&lt;&gt;"Yes"),"Carbon derived from LOI using the default factor of "&amp;CARBON_FRACTION_OM&amp;", which has not been calibrated locally. See R1. Reference. ","")&amp;IF(AND(ISNUMBER($O551),$O551=0,ISNUMBER($E551)),"Section lies entirely below the reference depth — it counts to the full-profile stock only. ",""))</f>
        <v/>
      </c>
      <c r="U551" s="14" t="n"/>
    </row>
    <row r="552">
      <c r="A552" s="14" t="n"/>
      <c r="B552" s="14" t="n"/>
      <c r="C552" s="14" t="n"/>
      <c r="D552" s="14" t="n"/>
      <c r="E552" s="14" t="n"/>
      <c r="F552" s="14" t="n"/>
      <c r="G552" s="14">
        <f>IF(OR($E552="",$F552=""),"",$F552-$E552)</f>
        <v/>
      </c>
      <c r="H552" s="14" t="n"/>
      <c r="I552" s="14" t="n"/>
      <c r="J552" s="19" t="n"/>
      <c r="K552" s="19" t="n"/>
      <c r="L552" s="19" t="n"/>
      <c r="M552" s="19" t="n"/>
      <c r="N552" s="18">
        <f>IF($M552&lt;&gt;"",$M552,IF($L552&lt;&gt;"",$L552*CARBON_FRACTION_OM,""))</f>
        <v/>
      </c>
      <c r="O552" s="18">
        <f>IF(OR($E552="",$F552=""),"",MAX(0,MIN($F552,REFERENCE_DEPTH_CM)-MIN($E552,REFERENCE_DEPTH_CM)))</f>
        <v/>
      </c>
      <c r="P552" s="18">
        <f>IF(OR($J552="",$N552="",$G552=""),"",$J552*($N552/100)*$G552*10)</f>
        <v/>
      </c>
      <c r="Q552" s="18">
        <f>IF(OR($J552="",$N552="",$O552=""),"",$J552*($N552/100)*$O552*10)</f>
        <v/>
      </c>
      <c r="R552" s="18">
        <f>IF(OR(NOT(ISNUMBER($P552)),NOT(ISNUMBER($G552)),$G552=0),0,$P552/$G552)</f>
        <v/>
      </c>
      <c r="S552" s="18">
        <f>IF(OR($B552="",NOT(ISNUMBER($F552))),"",SUMIFS('3. Peat Data'!$P$5:$P$604,'3. Peat Data'!$B$5:$B$604,$B552,'3. Peat Data'!$F$5:$F$604,"&lt;="&amp;$F552))</f>
        <v/>
      </c>
      <c r="T552" s="18">
        <f>IF(AND($A552="",$B552="",$E552=""),"",IF(AND($B552&lt;&gt;"",COUNTIF('2. Core Log'!$A$5:$A$124,$B552)=0),"Core ID not in Core Log. ","")&amp;IF(AND($A552&lt;&gt;"",COUNTIF('1. Plot &amp; Site Log'!$A$5:$A$64,$A552)=0),"Plot ID not in Plot &amp; Site Log. ","")&amp;IF(AND(ISNUMBER($E552),ISNUMBER($F552),$F552&lt;=$E552),"Bottom depth is not below top depth. ","")&amp;IF($I552="","Say which bulk-density basis the lab reported. ","")&amp;IF(AND(ISNUMBER($J552),OR($J552&lt;QC_BD_MIN,$J552&gt;QC_BD_MAX)),"Bulk density outside "&amp;QC_BD_MIN&amp;"–"&amp;QC_BD_MAX&amp;" g/cm³ for peat. Above the top of that range usually means the mineral contact has been passed. ","")&amp;IF(AND(ISNUMBER($N552),$N552&gt;QC_CARBON_PCT_MAX),"Carbon above "&amp;QC_CARBON_PCT_MAX&amp;"% — check units; this may be organic matter rather than carbon. ","")&amp;IF(AND($L552&lt;&gt;"",$M552&lt;&gt;""),"Both LOI and measured carbon given — the measured value is used. ","")&amp;IF(AND($M552="",$L552&lt;&gt;"",OM_FACTOR_IS_LOCAL&lt;&gt;"Yes"),"Carbon derived from LOI using the default factor of "&amp;CARBON_FRACTION_OM&amp;", which has not been calibrated locally. See R1. Reference. ","")&amp;IF(AND(ISNUMBER($O552),$O552=0,ISNUMBER($E552)),"Section lies entirely below the reference depth — it counts to the full-profile stock only. ",""))</f>
        <v/>
      </c>
      <c r="U552" s="14" t="n"/>
    </row>
    <row r="553">
      <c r="A553" s="14" t="n"/>
      <c r="B553" s="14" t="n"/>
      <c r="C553" s="14" t="n"/>
      <c r="D553" s="14" t="n"/>
      <c r="E553" s="14" t="n"/>
      <c r="F553" s="14" t="n"/>
      <c r="G553" s="14">
        <f>IF(OR($E553="",$F553=""),"",$F553-$E553)</f>
        <v/>
      </c>
      <c r="H553" s="14" t="n"/>
      <c r="I553" s="14" t="n"/>
      <c r="J553" s="19" t="n"/>
      <c r="K553" s="19" t="n"/>
      <c r="L553" s="19" t="n"/>
      <c r="M553" s="19" t="n"/>
      <c r="N553" s="18">
        <f>IF($M553&lt;&gt;"",$M553,IF($L553&lt;&gt;"",$L553*CARBON_FRACTION_OM,""))</f>
        <v/>
      </c>
      <c r="O553" s="18">
        <f>IF(OR($E553="",$F553=""),"",MAX(0,MIN($F553,REFERENCE_DEPTH_CM)-MIN($E553,REFERENCE_DEPTH_CM)))</f>
        <v/>
      </c>
      <c r="P553" s="18">
        <f>IF(OR($J553="",$N553="",$G553=""),"",$J553*($N553/100)*$G553*10)</f>
        <v/>
      </c>
      <c r="Q553" s="18">
        <f>IF(OR($J553="",$N553="",$O553=""),"",$J553*($N553/100)*$O553*10)</f>
        <v/>
      </c>
      <c r="R553" s="18">
        <f>IF(OR(NOT(ISNUMBER($P553)),NOT(ISNUMBER($G553)),$G553=0),0,$P553/$G553)</f>
        <v/>
      </c>
      <c r="S553" s="18">
        <f>IF(OR($B553="",NOT(ISNUMBER($F553))),"",SUMIFS('3. Peat Data'!$P$5:$P$604,'3. Peat Data'!$B$5:$B$604,$B553,'3. Peat Data'!$F$5:$F$604,"&lt;="&amp;$F553))</f>
        <v/>
      </c>
      <c r="T553" s="18">
        <f>IF(AND($A553="",$B553="",$E553=""),"",IF(AND($B553&lt;&gt;"",COUNTIF('2. Core Log'!$A$5:$A$124,$B553)=0),"Core ID not in Core Log. ","")&amp;IF(AND($A553&lt;&gt;"",COUNTIF('1. Plot &amp; Site Log'!$A$5:$A$64,$A553)=0),"Plot ID not in Plot &amp; Site Log. ","")&amp;IF(AND(ISNUMBER($E553),ISNUMBER($F553),$F553&lt;=$E553),"Bottom depth is not below top depth. ","")&amp;IF($I553="","Say which bulk-density basis the lab reported. ","")&amp;IF(AND(ISNUMBER($J553),OR($J553&lt;QC_BD_MIN,$J553&gt;QC_BD_MAX)),"Bulk density outside "&amp;QC_BD_MIN&amp;"–"&amp;QC_BD_MAX&amp;" g/cm³ for peat. Above the top of that range usually means the mineral contact has been passed. ","")&amp;IF(AND(ISNUMBER($N553),$N553&gt;QC_CARBON_PCT_MAX),"Carbon above "&amp;QC_CARBON_PCT_MAX&amp;"% — check units; this may be organic matter rather than carbon. ","")&amp;IF(AND($L553&lt;&gt;"",$M553&lt;&gt;""),"Both LOI and measured carbon given — the measured value is used. ","")&amp;IF(AND($M553="",$L553&lt;&gt;"",OM_FACTOR_IS_LOCAL&lt;&gt;"Yes"),"Carbon derived from LOI using the default factor of "&amp;CARBON_FRACTION_OM&amp;", which has not been calibrated locally. See R1. Reference. ","")&amp;IF(AND(ISNUMBER($O553),$O553=0,ISNUMBER($E553)),"Section lies entirely below the reference depth — it counts to the full-profile stock only. ",""))</f>
        <v/>
      </c>
      <c r="U553" s="14" t="n"/>
    </row>
    <row r="554">
      <c r="A554" s="14" t="n"/>
      <c r="B554" s="14" t="n"/>
      <c r="C554" s="14" t="n"/>
      <c r="D554" s="14" t="n"/>
      <c r="E554" s="14" t="n"/>
      <c r="F554" s="14" t="n"/>
      <c r="G554" s="14">
        <f>IF(OR($E554="",$F554=""),"",$F554-$E554)</f>
        <v/>
      </c>
      <c r="H554" s="14" t="n"/>
      <c r="I554" s="14" t="n"/>
      <c r="J554" s="19" t="n"/>
      <c r="K554" s="19" t="n"/>
      <c r="L554" s="19" t="n"/>
      <c r="M554" s="19" t="n"/>
      <c r="N554" s="18">
        <f>IF($M554&lt;&gt;"",$M554,IF($L554&lt;&gt;"",$L554*CARBON_FRACTION_OM,""))</f>
        <v/>
      </c>
      <c r="O554" s="18">
        <f>IF(OR($E554="",$F554=""),"",MAX(0,MIN($F554,REFERENCE_DEPTH_CM)-MIN($E554,REFERENCE_DEPTH_CM)))</f>
        <v/>
      </c>
      <c r="P554" s="18">
        <f>IF(OR($J554="",$N554="",$G554=""),"",$J554*($N554/100)*$G554*10)</f>
        <v/>
      </c>
      <c r="Q554" s="18">
        <f>IF(OR($J554="",$N554="",$O554=""),"",$J554*($N554/100)*$O554*10)</f>
        <v/>
      </c>
      <c r="R554" s="18">
        <f>IF(OR(NOT(ISNUMBER($P554)),NOT(ISNUMBER($G554)),$G554=0),0,$P554/$G554)</f>
        <v/>
      </c>
      <c r="S554" s="18">
        <f>IF(OR($B554="",NOT(ISNUMBER($F554))),"",SUMIFS('3. Peat Data'!$P$5:$P$604,'3. Peat Data'!$B$5:$B$604,$B554,'3. Peat Data'!$F$5:$F$604,"&lt;="&amp;$F554))</f>
        <v/>
      </c>
      <c r="T554" s="18">
        <f>IF(AND($A554="",$B554="",$E554=""),"",IF(AND($B554&lt;&gt;"",COUNTIF('2. Core Log'!$A$5:$A$124,$B554)=0),"Core ID not in Core Log. ","")&amp;IF(AND($A554&lt;&gt;"",COUNTIF('1. Plot &amp; Site Log'!$A$5:$A$64,$A554)=0),"Plot ID not in Plot &amp; Site Log. ","")&amp;IF(AND(ISNUMBER($E554),ISNUMBER($F554),$F554&lt;=$E554),"Bottom depth is not below top depth. ","")&amp;IF($I554="","Say which bulk-density basis the lab reported. ","")&amp;IF(AND(ISNUMBER($J554),OR($J554&lt;QC_BD_MIN,$J554&gt;QC_BD_MAX)),"Bulk density outside "&amp;QC_BD_MIN&amp;"–"&amp;QC_BD_MAX&amp;" g/cm³ for peat. Above the top of that range usually means the mineral contact has been passed. ","")&amp;IF(AND(ISNUMBER($N554),$N554&gt;QC_CARBON_PCT_MAX),"Carbon above "&amp;QC_CARBON_PCT_MAX&amp;"% — check units; this may be organic matter rather than carbon. ","")&amp;IF(AND($L554&lt;&gt;"",$M554&lt;&gt;""),"Both LOI and measured carbon given — the measured value is used. ","")&amp;IF(AND($M554="",$L554&lt;&gt;"",OM_FACTOR_IS_LOCAL&lt;&gt;"Yes"),"Carbon derived from LOI using the default factor of "&amp;CARBON_FRACTION_OM&amp;", which has not been calibrated locally. See R1. Reference. ","")&amp;IF(AND(ISNUMBER($O554),$O554=0,ISNUMBER($E554)),"Section lies entirely below the reference depth — it counts to the full-profile stock only. ",""))</f>
        <v/>
      </c>
      <c r="U554" s="14" t="n"/>
    </row>
    <row r="555">
      <c r="A555" s="14" t="n"/>
      <c r="B555" s="14" t="n"/>
      <c r="C555" s="14" t="n"/>
      <c r="D555" s="14" t="n"/>
      <c r="E555" s="14" t="n"/>
      <c r="F555" s="14" t="n"/>
      <c r="G555" s="14">
        <f>IF(OR($E555="",$F555=""),"",$F555-$E555)</f>
        <v/>
      </c>
      <c r="H555" s="14" t="n"/>
      <c r="I555" s="14" t="n"/>
      <c r="J555" s="19" t="n"/>
      <c r="K555" s="19" t="n"/>
      <c r="L555" s="19" t="n"/>
      <c r="M555" s="19" t="n"/>
      <c r="N555" s="18">
        <f>IF($M555&lt;&gt;"",$M555,IF($L555&lt;&gt;"",$L555*CARBON_FRACTION_OM,""))</f>
        <v/>
      </c>
      <c r="O555" s="18">
        <f>IF(OR($E555="",$F555=""),"",MAX(0,MIN($F555,REFERENCE_DEPTH_CM)-MIN($E555,REFERENCE_DEPTH_CM)))</f>
        <v/>
      </c>
      <c r="P555" s="18">
        <f>IF(OR($J555="",$N555="",$G555=""),"",$J555*($N555/100)*$G555*10)</f>
        <v/>
      </c>
      <c r="Q555" s="18">
        <f>IF(OR($J555="",$N555="",$O555=""),"",$J555*($N555/100)*$O555*10)</f>
        <v/>
      </c>
      <c r="R555" s="18">
        <f>IF(OR(NOT(ISNUMBER($P555)),NOT(ISNUMBER($G555)),$G555=0),0,$P555/$G555)</f>
        <v/>
      </c>
      <c r="S555" s="18">
        <f>IF(OR($B555="",NOT(ISNUMBER($F555))),"",SUMIFS('3. Peat Data'!$P$5:$P$604,'3. Peat Data'!$B$5:$B$604,$B555,'3. Peat Data'!$F$5:$F$604,"&lt;="&amp;$F555))</f>
        <v/>
      </c>
      <c r="T555" s="18">
        <f>IF(AND($A555="",$B555="",$E555=""),"",IF(AND($B555&lt;&gt;"",COUNTIF('2. Core Log'!$A$5:$A$124,$B555)=0),"Core ID not in Core Log. ","")&amp;IF(AND($A555&lt;&gt;"",COUNTIF('1. Plot &amp; Site Log'!$A$5:$A$64,$A555)=0),"Plot ID not in Plot &amp; Site Log. ","")&amp;IF(AND(ISNUMBER($E555),ISNUMBER($F555),$F555&lt;=$E555),"Bottom depth is not below top depth. ","")&amp;IF($I555="","Say which bulk-density basis the lab reported. ","")&amp;IF(AND(ISNUMBER($J555),OR($J555&lt;QC_BD_MIN,$J555&gt;QC_BD_MAX)),"Bulk density outside "&amp;QC_BD_MIN&amp;"–"&amp;QC_BD_MAX&amp;" g/cm³ for peat. Above the top of that range usually means the mineral contact has been passed. ","")&amp;IF(AND(ISNUMBER($N555),$N555&gt;QC_CARBON_PCT_MAX),"Carbon above "&amp;QC_CARBON_PCT_MAX&amp;"% — check units; this may be organic matter rather than carbon. ","")&amp;IF(AND($L555&lt;&gt;"",$M555&lt;&gt;""),"Both LOI and measured carbon given — the measured value is used. ","")&amp;IF(AND($M555="",$L555&lt;&gt;"",OM_FACTOR_IS_LOCAL&lt;&gt;"Yes"),"Carbon derived from LOI using the default factor of "&amp;CARBON_FRACTION_OM&amp;", which has not been calibrated locally. See R1. Reference. ","")&amp;IF(AND(ISNUMBER($O555),$O555=0,ISNUMBER($E555)),"Section lies entirely below the reference depth — it counts to the full-profile stock only. ",""))</f>
        <v/>
      </c>
      <c r="U555" s="14" t="n"/>
    </row>
    <row r="556">
      <c r="A556" s="14" t="n"/>
      <c r="B556" s="14" t="n"/>
      <c r="C556" s="14" t="n"/>
      <c r="D556" s="14" t="n"/>
      <c r="E556" s="14" t="n"/>
      <c r="F556" s="14" t="n"/>
      <c r="G556" s="14">
        <f>IF(OR($E556="",$F556=""),"",$F556-$E556)</f>
        <v/>
      </c>
      <c r="H556" s="14" t="n"/>
      <c r="I556" s="14" t="n"/>
      <c r="J556" s="19" t="n"/>
      <c r="K556" s="19" t="n"/>
      <c r="L556" s="19" t="n"/>
      <c r="M556" s="19" t="n"/>
      <c r="N556" s="18">
        <f>IF($M556&lt;&gt;"",$M556,IF($L556&lt;&gt;"",$L556*CARBON_FRACTION_OM,""))</f>
        <v/>
      </c>
      <c r="O556" s="18">
        <f>IF(OR($E556="",$F556=""),"",MAX(0,MIN($F556,REFERENCE_DEPTH_CM)-MIN($E556,REFERENCE_DEPTH_CM)))</f>
        <v/>
      </c>
      <c r="P556" s="18">
        <f>IF(OR($J556="",$N556="",$G556=""),"",$J556*($N556/100)*$G556*10)</f>
        <v/>
      </c>
      <c r="Q556" s="18">
        <f>IF(OR($J556="",$N556="",$O556=""),"",$J556*($N556/100)*$O556*10)</f>
        <v/>
      </c>
      <c r="R556" s="18">
        <f>IF(OR(NOT(ISNUMBER($P556)),NOT(ISNUMBER($G556)),$G556=0),0,$P556/$G556)</f>
        <v/>
      </c>
      <c r="S556" s="18">
        <f>IF(OR($B556="",NOT(ISNUMBER($F556))),"",SUMIFS('3. Peat Data'!$P$5:$P$604,'3. Peat Data'!$B$5:$B$604,$B556,'3. Peat Data'!$F$5:$F$604,"&lt;="&amp;$F556))</f>
        <v/>
      </c>
      <c r="T556" s="18">
        <f>IF(AND($A556="",$B556="",$E556=""),"",IF(AND($B556&lt;&gt;"",COUNTIF('2. Core Log'!$A$5:$A$124,$B556)=0),"Core ID not in Core Log. ","")&amp;IF(AND($A556&lt;&gt;"",COUNTIF('1. Plot &amp; Site Log'!$A$5:$A$64,$A556)=0),"Plot ID not in Plot &amp; Site Log. ","")&amp;IF(AND(ISNUMBER($E556),ISNUMBER($F556),$F556&lt;=$E556),"Bottom depth is not below top depth. ","")&amp;IF($I556="","Say which bulk-density basis the lab reported. ","")&amp;IF(AND(ISNUMBER($J556),OR($J556&lt;QC_BD_MIN,$J556&gt;QC_BD_MAX)),"Bulk density outside "&amp;QC_BD_MIN&amp;"–"&amp;QC_BD_MAX&amp;" g/cm³ for peat. Above the top of that range usually means the mineral contact has been passed. ","")&amp;IF(AND(ISNUMBER($N556),$N556&gt;QC_CARBON_PCT_MAX),"Carbon above "&amp;QC_CARBON_PCT_MAX&amp;"% — check units; this may be organic matter rather than carbon. ","")&amp;IF(AND($L556&lt;&gt;"",$M556&lt;&gt;""),"Both LOI and measured carbon given — the measured value is used. ","")&amp;IF(AND($M556="",$L556&lt;&gt;"",OM_FACTOR_IS_LOCAL&lt;&gt;"Yes"),"Carbon derived from LOI using the default factor of "&amp;CARBON_FRACTION_OM&amp;", which has not been calibrated locally. See R1. Reference. ","")&amp;IF(AND(ISNUMBER($O556),$O556=0,ISNUMBER($E556)),"Section lies entirely below the reference depth — it counts to the full-profile stock only. ",""))</f>
        <v/>
      </c>
      <c r="U556" s="14" t="n"/>
    </row>
    <row r="557">
      <c r="A557" s="14" t="n"/>
      <c r="B557" s="14" t="n"/>
      <c r="C557" s="14" t="n"/>
      <c r="D557" s="14" t="n"/>
      <c r="E557" s="14" t="n"/>
      <c r="F557" s="14" t="n"/>
      <c r="G557" s="14">
        <f>IF(OR($E557="",$F557=""),"",$F557-$E557)</f>
        <v/>
      </c>
      <c r="H557" s="14" t="n"/>
      <c r="I557" s="14" t="n"/>
      <c r="J557" s="19" t="n"/>
      <c r="K557" s="19" t="n"/>
      <c r="L557" s="19" t="n"/>
      <c r="M557" s="19" t="n"/>
      <c r="N557" s="18">
        <f>IF($M557&lt;&gt;"",$M557,IF($L557&lt;&gt;"",$L557*CARBON_FRACTION_OM,""))</f>
        <v/>
      </c>
      <c r="O557" s="18">
        <f>IF(OR($E557="",$F557=""),"",MAX(0,MIN($F557,REFERENCE_DEPTH_CM)-MIN($E557,REFERENCE_DEPTH_CM)))</f>
        <v/>
      </c>
      <c r="P557" s="18">
        <f>IF(OR($J557="",$N557="",$G557=""),"",$J557*($N557/100)*$G557*10)</f>
        <v/>
      </c>
      <c r="Q557" s="18">
        <f>IF(OR($J557="",$N557="",$O557=""),"",$J557*($N557/100)*$O557*10)</f>
        <v/>
      </c>
      <c r="R557" s="18">
        <f>IF(OR(NOT(ISNUMBER($P557)),NOT(ISNUMBER($G557)),$G557=0),0,$P557/$G557)</f>
        <v/>
      </c>
      <c r="S557" s="18">
        <f>IF(OR($B557="",NOT(ISNUMBER($F557))),"",SUMIFS('3. Peat Data'!$P$5:$P$604,'3. Peat Data'!$B$5:$B$604,$B557,'3. Peat Data'!$F$5:$F$604,"&lt;="&amp;$F557))</f>
        <v/>
      </c>
      <c r="T557" s="18">
        <f>IF(AND($A557="",$B557="",$E557=""),"",IF(AND($B557&lt;&gt;"",COUNTIF('2. Core Log'!$A$5:$A$124,$B557)=0),"Core ID not in Core Log. ","")&amp;IF(AND($A557&lt;&gt;"",COUNTIF('1. Plot &amp; Site Log'!$A$5:$A$64,$A557)=0),"Plot ID not in Plot &amp; Site Log. ","")&amp;IF(AND(ISNUMBER($E557),ISNUMBER($F557),$F557&lt;=$E557),"Bottom depth is not below top depth. ","")&amp;IF($I557="","Say which bulk-density basis the lab reported. ","")&amp;IF(AND(ISNUMBER($J557),OR($J557&lt;QC_BD_MIN,$J557&gt;QC_BD_MAX)),"Bulk density outside "&amp;QC_BD_MIN&amp;"–"&amp;QC_BD_MAX&amp;" g/cm³ for peat. Above the top of that range usually means the mineral contact has been passed. ","")&amp;IF(AND(ISNUMBER($N557),$N557&gt;QC_CARBON_PCT_MAX),"Carbon above "&amp;QC_CARBON_PCT_MAX&amp;"% — check units; this may be organic matter rather than carbon. ","")&amp;IF(AND($L557&lt;&gt;"",$M557&lt;&gt;""),"Both LOI and measured carbon given — the measured value is used. ","")&amp;IF(AND($M557="",$L557&lt;&gt;"",OM_FACTOR_IS_LOCAL&lt;&gt;"Yes"),"Carbon derived from LOI using the default factor of "&amp;CARBON_FRACTION_OM&amp;", which has not been calibrated locally. See R1. Reference. ","")&amp;IF(AND(ISNUMBER($O557),$O557=0,ISNUMBER($E557)),"Section lies entirely below the reference depth — it counts to the full-profile stock only. ",""))</f>
        <v/>
      </c>
      <c r="U557" s="14" t="n"/>
    </row>
    <row r="558">
      <c r="A558" s="14" t="n"/>
      <c r="B558" s="14" t="n"/>
      <c r="C558" s="14" t="n"/>
      <c r="D558" s="14" t="n"/>
      <c r="E558" s="14" t="n"/>
      <c r="F558" s="14" t="n"/>
      <c r="G558" s="14">
        <f>IF(OR($E558="",$F558=""),"",$F558-$E558)</f>
        <v/>
      </c>
      <c r="H558" s="14" t="n"/>
      <c r="I558" s="14" t="n"/>
      <c r="J558" s="19" t="n"/>
      <c r="K558" s="19" t="n"/>
      <c r="L558" s="19" t="n"/>
      <c r="M558" s="19" t="n"/>
      <c r="N558" s="18">
        <f>IF($M558&lt;&gt;"",$M558,IF($L558&lt;&gt;"",$L558*CARBON_FRACTION_OM,""))</f>
        <v/>
      </c>
      <c r="O558" s="18">
        <f>IF(OR($E558="",$F558=""),"",MAX(0,MIN($F558,REFERENCE_DEPTH_CM)-MIN($E558,REFERENCE_DEPTH_CM)))</f>
        <v/>
      </c>
      <c r="P558" s="18">
        <f>IF(OR($J558="",$N558="",$G558=""),"",$J558*($N558/100)*$G558*10)</f>
        <v/>
      </c>
      <c r="Q558" s="18">
        <f>IF(OR($J558="",$N558="",$O558=""),"",$J558*($N558/100)*$O558*10)</f>
        <v/>
      </c>
      <c r="R558" s="18">
        <f>IF(OR(NOT(ISNUMBER($P558)),NOT(ISNUMBER($G558)),$G558=0),0,$P558/$G558)</f>
        <v/>
      </c>
      <c r="S558" s="18">
        <f>IF(OR($B558="",NOT(ISNUMBER($F558))),"",SUMIFS('3. Peat Data'!$P$5:$P$604,'3. Peat Data'!$B$5:$B$604,$B558,'3. Peat Data'!$F$5:$F$604,"&lt;="&amp;$F558))</f>
        <v/>
      </c>
      <c r="T558" s="18">
        <f>IF(AND($A558="",$B558="",$E558=""),"",IF(AND($B558&lt;&gt;"",COUNTIF('2. Core Log'!$A$5:$A$124,$B558)=0),"Core ID not in Core Log. ","")&amp;IF(AND($A558&lt;&gt;"",COUNTIF('1. Plot &amp; Site Log'!$A$5:$A$64,$A558)=0),"Plot ID not in Plot &amp; Site Log. ","")&amp;IF(AND(ISNUMBER($E558),ISNUMBER($F558),$F558&lt;=$E558),"Bottom depth is not below top depth. ","")&amp;IF($I558="","Say which bulk-density basis the lab reported. ","")&amp;IF(AND(ISNUMBER($J558),OR($J558&lt;QC_BD_MIN,$J558&gt;QC_BD_MAX)),"Bulk density outside "&amp;QC_BD_MIN&amp;"–"&amp;QC_BD_MAX&amp;" g/cm³ for peat. Above the top of that range usually means the mineral contact has been passed. ","")&amp;IF(AND(ISNUMBER($N558),$N558&gt;QC_CARBON_PCT_MAX),"Carbon above "&amp;QC_CARBON_PCT_MAX&amp;"% — check units; this may be organic matter rather than carbon. ","")&amp;IF(AND($L558&lt;&gt;"",$M558&lt;&gt;""),"Both LOI and measured carbon given — the measured value is used. ","")&amp;IF(AND($M558="",$L558&lt;&gt;"",OM_FACTOR_IS_LOCAL&lt;&gt;"Yes"),"Carbon derived from LOI using the default factor of "&amp;CARBON_FRACTION_OM&amp;", which has not been calibrated locally. See R1. Reference. ","")&amp;IF(AND(ISNUMBER($O558),$O558=0,ISNUMBER($E558)),"Section lies entirely below the reference depth — it counts to the full-profile stock only. ",""))</f>
        <v/>
      </c>
      <c r="U558" s="14" t="n"/>
    </row>
    <row r="559">
      <c r="A559" s="14" t="n"/>
      <c r="B559" s="14" t="n"/>
      <c r="C559" s="14" t="n"/>
      <c r="D559" s="14" t="n"/>
      <c r="E559" s="14" t="n"/>
      <c r="F559" s="14" t="n"/>
      <c r="G559" s="14">
        <f>IF(OR($E559="",$F559=""),"",$F559-$E559)</f>
        <v/>
      </c>
      <c r="H559" s="14" t="n"/>
      <c r="I559" s="14" t="n"/>
      <c r="J559" s="19" t="n"/>
      <c r="K559" s="19" t="n"/>
      <c r="L559" s="19" t="n"/>
      <c r="M559" s="19" t="n"/>
      <c r="N559" s="18">
        <f>IF($M559&lt;&gt;"",$M559,IF($L559&lt;&gt;"",$L559*CARBON_FRACTION_OM,""))</f>
        <v/>
      </c>
      <c r="O559" s="18">
        <f>IF(OR($E559="",$F559=""),"",MAX(0,MIN($F559,REFERENCE_DEPTH_CM)-MIN($E559,REFERENCE_DEPTH_CM)))</f>
        <v/>
      </c>
      <c r="P559" s="18">
        <f>IF(OR($J559="",$N559="",$G559=""),"",$J559*($N559/100)*$G559*10)</f>
        <v/>
      </c>
      <c r="Q559" s="18">
        <f>IF(OR($J559="",$N559="",$O559=""),"",$J559*($N559/100)*$O559*10)</f>
        <v/>
      </c>
      <c r="R559" s="18">
        <f>IF(OR(NOT(ISNUMBER($P559)),NOT(ISNUMBER($G559)),$G559=0),0,$P559/$G559)</f>
        <v/>
      </c>
      <c r="S559" s="18">
        <f>IF(OR($B559="",NOT(ISNUMBER($F559))),"",SUMIFS('3. Peat Data'!$P$5:$P$604,'3. Peat Data'!$B$5:$B$604,$B559,'3. Peat Data'!$F$5:$F$604,"&lt;="&amp;$F559))</f>
        <v/>
      </c>
      <c r="T559" s="18">
        <f>IF(AND($A559="",$B559="",$E559=""),"",IF(AND($B559&lt;&gt;"",COUNTIF('2. Core Log'!$A$5:$A$124,$B559)=0),"Core ID not in Core Log. ","")&amp;IF(AND($A559&lt;&gt;"",COUNTIF('1. Plot &amp; Site Log'!$A$5:$A$64,$A559)=0),"Plot ID not in Plot &amp; Site Log. ","")&amp;IF(AND(ISNUMBER($E559),ISNUMBER($F559),$F559&lt;=$E559),"Bottom depth is not below top depth. ","")&amp;IF($I559="","Say which bulk-density basis the lab reported. ","")&amp;IF(AND(ISNUMBER($J559),OR($J559&lt;QC_BD_MIN,$J559&gt;QC_BD_MAX)),"Bulk density outside "&amp;QC_BD_MIN&amp;"–"&amp;QC_BD_MAX&amp;" g/cm³ for peat. Above the top of that range usually means the mineral contact has been passed. ","")&amp;IF(AND(ISNUMBER($N559),$N559&gt;QC_CARBON_PCT_MAX),"Carbon above "&amp;QC_CARBON_PCT_MAX&amp;"% — check units; this may be organic matter rather than carbon. ","")&amp;IF(AND($L559&lt;&gt;"",$M559&lt;&gt;""),"Both LOI and measured carbon given — the measured value is used. ","")&amp;IF(AND($M559="",$L559&lt;&gt;"",OM_FACTOR_IS_LOCAL&lt;&gt;"Yes"),"Carbon derived from LOI using the default factor of "&amp;CARBON_FRACTION_OM&amp;", which has not been calibrated locally. See R1. Reference. ","")&amp;IF(AND(ISNUMBER($O559),$O559=0,ISNUMBER($E559)),"Section lies entirely below the reference depth — it counts to the full-profile stock only. ",""))</f>
        <v/>
      </c>
      <c r="U559" s="14" t="n"/>
    </row>
    <row r="560">
      <c r="A560" s="14" t="n"/>
      <c r="B560" s="14" t="n"/>
      <c r="C560" s="14" t="n"/>
      <c r="D560" s="14" t="n"/>
      <c r="E560" s="14" t="n"/>
      <c r="F560" s="14" t="n"/>
      <c r="G560" s="14">
        <f>IF(OR($E560="",$F560=""),"",$F560-$E560)</f>
        <v/>
      </c>
      <c r="H560" s="14" t="n"/>
      <c r="I560" s="14" t="n"/>
      <c r="J560" s="19" t="n"/>
      <c r="K560" s="19" t="n"/>
      <c r="L560" s="19" t="n"/>
      <c r="M560" s="19" t="n"/>
      <c r="N560" s="18">
        <f>IF($M560&lt;&gt;"",$M560,IF($L560&lt;&gt;"",$L560*CARBON_FRACTION_OM,""))</f>
        <v/>
      </c>
      <c r="O560" s="18">
        <f>IF(OR($E560="",$F560=""),"",MAX(0,MIN($F560,REFERENCE_DEPTH_CM)-MIN($E560,REFERENCE_DEPTH_CM)))</f>
        <v/>
      </c>
      <c r="P560" s="18">
        <f>IF(OR($J560="",$N560="",$G560=""),"",$J560*($N560/100)*$G560*10)</f>
        <v/>
      </c>
      <c r="Q560" s="18">
        <f>IF(OR($J560="",$N560="",$O560=""),"",$J560*($N560/100)*$O560*10)</f>
        <v/>
      </c>
      <c r="R560" s="18">
        <f>IF(OR(NOT(ISNUMBER($P560)),NOT(ISNUMBER($G560)),$G560=0),0,$P560/$G560)</f>
        <v/>
      </c>
      <c r="S560" s="18">
        <f>IF(OR($B560="",NOT(ISNUMBER($F560))),"",SUMIFS('3. Peat Data'!$P$5:$P$604,'3. Peat Data'!$B$5:$B$604,$B560,'3. Peat Data'!$F$5:$F$604,"&lt;="&amp;$F560))</f>
        <v/>
      </c>
      <c r="T560" s="18">
        <f>IF(AND($A560="",$B560="",$E560=""),"",IF(AND($B560&lt;&gt;"",COUNTIF('2. Core Log'!$A$5:$A$124,$B560)=0),"Core ID not in Core Log. ","")&amp;IF(AND($A560&lt;&gt;"",COUNTIF('1. Plot &amp; Site Log'!$A$5:$A$64,$A560)=0),"Plot ID not in Plot &amp; Site Log. ","")&amp;IF(AND(ISNUMBER($E560),ISNUMBER($F560),$F560&lt;=$E560),"Bottom depth is not below top depth. ","")&amp;IF($I560="","Say which bulk-density basis the lab reported. ","")&amp;IF(AND(ISNUMBER($J560),OR($J560&lt;QC_BD_MIN,$J560&gt;QC_BD_MAX)),"Bulk density outside "&amp;QC_BD_MIN&amp;"–"&amp;QC_BD_MAX&amp;" g/cm³ for peat. Above the top of that range usually means the mineral contact has been passed. ","")&amp;IF(AND(ISNUMBER($N560),$N560&gt;QC_CARBON_PCT_MAX),"Carbon above "&amp;QC_CARBON_PCT_MAX&amp;"% — check units; this may be organic matter rather than carbon. ","")&amp;IF(AND($L560&lt;&gt;"",$M560&lt;&gt;""),"Both LOI and measured carbon given — the measured value is used. ","")&amp;IF(AND($M560="",$L560&lt;&gt;"",OM_FACTOR_IS_LOCAL&lt;&gt;"Yes"),"Carbon derived from LOI using the default factor of "&amp;CARBON_FRACTION_OM&amp;", which has not been calibrated locally. See R1. Reference. ","")&amp;IF(AND(ISNUMBER($O560),$O560=0,ISNUMBER($E560)),"Section lies entirely below the reference depth — it counts to the full-profile stock only. ",""))</f>
        <v/>
      </c>
      <c r="U560" s="14" t="n"/>
    </row>
    <row r="561">
      <c r="A561" s="14" t="n"/>
      <c r="B561" s="14" t="n"/>
      <c r="C561" s="14" t="n"/>
      <c r="D561" s="14" t="n"/>
      <c r="E561" s="14" t="n"/>
      <c r="F561" s="14" t="n"/>
      <c r="G561" s="14">
        <f>IF(OR($E561="",$F561=""),"",$F561-$E561)</f>
        <v/>
      </c>
      <c r="H561" s="14" t="n"/>
      <c r="I561" s="14" t="n"/>
      <c r="J561" s="19" t="n"/>
      <c r="K561" s="19" t="n"/>
      <c r="L561" s="19" t="n"/>
      <c r="M561" s="19" t="n"/>
      <c r="N561" s="18">
        <f>IF($M561&lt;&gt;"",$M561,IF($L561&lt;&gt;"",$L561*CARBON_FRACTION_OM,""))</f>
        <v/>
      </c>
      <c r="O561" s="18">
        <f>IF(OR($E561="",$F561=""),"",MAX(0,MIN($F561,REFERENCE_DEPTH_CM)-MIN($E561,REFERENCE_DEPTH_CM)))</f>
        <v/>
      </c>
      <c r="P561" s="18">
        <f>IF(OR($J561="",$N561="",$G561=""),"",$J561*($N561/100)*$G561*10)</f>
        <v/>
      </c>
      <c r="Q561" s="18">
        <f>IF(OR($J561="",$N561="",$O561=""),"",$J561*($N561/100)*$O561*10)</f>
        <v/>
      </c>
      <c r="R561" s="18">
        <f>IF(OR(NOT(ISNUMBER($P561)),NOT(ISNUMBER($G561)),$G561=0),0,$P561/$G561)</f>
        <v/>
      </c>
      <c r="S561" s="18">
        <f>IF(OR($B561="",NOT(ISNUMBER($F561))),"",SUMIFS('3. Peat Data'!$P$5:$P$604,'3. Peat Data'!$B$5:$B$604,$B561,'3. Peat Data'!$F$5:$F$604,"&lt;="&amp;$F561))</f>
        <v/>
      </c>
      <c r="T561" s="18">
        <f>IF(AND($A561="",$B561="",$E561=""),"",IF(AND($B561&lt;&gt;"",COUNTIF('2. Core Log'!$A$5:$A$124,$B561)=0),"Core ID not in Core Log. ","")&amp;IF(AND($A561&lt;&gt;"",COUNTIF('1. Plot &amp; Site Log'!$A$5:$A$64,$A561)=0),"Plot ID not in Plot &amp; Site Log. ","")&amp;IF(AND(ISNUMBER($E561),ISNUMBER($F561),$F561&lt;=$E561),"Bottom depth is not below top depth. ","")&amp;IF($I561="","Say which bulk-density basis the lab reported. ","")&amp;IF(AND(ISNUMBER($J561),OR($J561&lt;QC_BD_MIN,$J561&gt;QC_BD_MAX)),"Bulk density outside "&amp;QC_BD_MIN&amp;"–"&amp;QC_BD_MAX&amp;" g/cm³ for peat. Above the top of that range usually means the mineral contact has been passed. ","")&amp;IF(AND(ISNUMBER($N561),$N561&gt;QC_CARBON_PCT_MAX),"Carbon above "&amp;QC_CARBON_PCT_MAX&amp;"% — check units; this may be organic matter rather than carbon. ","")&amp;IF(AND($L561&lt;&gt;"",$M561&lt;&gt;""),"Both LOI and measured carbon given — the measured value is used. ","")&amp;IF(AND($M561="",$L561&lt;&gt;"",OM_FACTOR_IS_LOCAL&lt;&gt;"Yes"),"Carbon derived from LOI using the default factor of "&amp;CARBON_FRACTION_OM&amp;", which has not been calibrated locally. See R1. Reference. ","")&amp;IF(AND(ISNUMBER($O561),$O561=0,ISNUMBER($E561)),"Section lies entirely below the reference depth — it counts to the full-profile stock only. ",""))</f>
        <v/>
      </c>
      <c r="U561" s="14" t="n"/>
    </row>
    <row r="562">
      <c r="A562" s="14" t="n"/>
      <c r="B562" s="14" t="n"/>
      <c r="C562" s="14" t="n"/>
      <c r="D562" s="14" t="n"/>
      <c r="E562" s="14" t="n"/>
      <c r="F562" s="14" t="n"/>
      <c r="G562" s="14">
        <f>IF(OR($E562="",$F562=""),"",$F562-$E562)</f>
        <v/>
      </c>
      <c r="H562" s="14" t="n"/>
      <c r="I562" s="14" t="n"/>
      <c r="J562" s="19" t="n"/>
      <c r="K562" s="19" t="n"/>
      <c r="L562" s="19" t="n"/>
      <c r="M562" s="19" t="n"/>
      <c r="N562" s="18">
        <f>IF($M562&lt;&gt;"",$M562,IF($L562&lt;&gt;"",$L562*CARBON_FRACTION_OM,""))</f>
        <v/>
      </c>
      <c r="O562" s="18">
        <f>IF(OR($E562="",$F562=""),"",MAX(0,MIN($F562,REFERENCE_DEPTH_CM)-MIN($E562,REFERENCE_DEPTH_CM)))</f>
        <v/>
      </c>
      <c r="P562" s="18">
        <f>IF(OR($J562="",$N562="",$G562=""),"",$J562*($N562/100)*$G562*10)</f>
        <v/>
      </c>
      <c r="Q562" s="18">
        <f>IF(OR($J562="",$N562="",$O562=""),"",$J562*($N562/100)*$O562*10)</f>
        <v/>
      </c>
      <c r="R562" s="18">
        <f>IF(OR(NOT(ISNUMBER($P562)),NOT(ISNUMBER($G562)),$G562=0),0,$P562/$G562)</f>
        <v/>
      </c>
      <c r="S562" s="18">
        <f>IF(OR($B562="",NOT(ISNUMBER($F562))),"",SUMIFS('3. Peat Data'!$P$5:$P$604,'3. Peat Data'!$B$5:$B$604,$B562,'3. Peat Data'!$F$5:$F$604,"&lt;="&amp;$F562))</f>
        <v/>
      </c>
      <c r="T562" s="18">
        <f>IF(AND($A562="",$B562="",$E562=""),"",IF(AND($B562&lt;&gt;"",COUNTIF('2. Core Log'!$A$5:$A$124,$B562)=0),"Core ID not in Core Log. ","")&amp;IF(AND($A562&lt;&gt;"",COUNTIF('1. Plot &amp; Site Log'!$A$5:$A$64,$A562)=0),"Plot ID not in Plot &amp; Site Log. ","")&amp;IF(AND(ISNUMBER($E562),ISNUMBER($F562),$F562&lt;=$E562),"Bottom depth is not below top depth. ","")&amp;IF($I562="","Say which bulk-density basis the lab reported. ","")&amp;IF(AND(ISNUMBER($J562),OR($J562&lt;QC_BD_MIN,$J562&gt;QC_BD_MAX)),"Bulk density outside "&amp;QC_BD_MIN&amp;"–"&amp;QC_BD_MAX&amp;" g/cm³ for peat. Above the top of that range usually means the mineral contact has been passed. ","")&amp;IF(AND(ISNUMBER($N562),$N562&gt;QC_CARBON_PCT_MAX),"Carbon above "&amp;QC_CARBON_PCT_MAX&amp;"% — check units; this may be organic matter rather than carbon. ","")&amp;IF(AND($L562&lt;&gt;"",$M562&lt;&gt;""),"Both LOI and measured carbon given — the measured value is used. ","")&amp;IF(AND($M562="",$L562&lt;&gt;"",OM_FACTOR_IS_LOCAL&lt;&gt;"Yes"),"Carbon derived from LOI using the default factor of "&amp;CARBON_FRACTION_OM&amp;", which has not been calibrated locally. See R1. Reference. ","")&amp;IF(AND(ISNUMBER($O562),$O562=0,ISNUMBER($E562)),"Section lies entirely below the reference depth — it counts to the full-profile stock only. ",""))</f>
        <v/>
      </c>
      <c r="U562" s="14" t="n"/>
    </row>
    <row r="563">
      <c r="A563" s="14" t="n"/>
      <c r="B563" s="14" t="n"/>
      <c r="C563" s="14" t="n"/>
      <c r="D563" s="14" t="n"/>
      <c r="E563" s="14" t="n"/>
      <c r="F563" s="14" t="n"/>
      <c r="G563" s="14">
        <f>IF(OR($E563="",$F563=""),"",$F563-$E563)</f>
        <v/>
      </c>
      <c r="H563" s="14" t="n"/>
      <c r="I563" s="14" t="n"/>
      <c r="J563" s="19" t="n"/>
      <c r="K563" s="19" t="n"/>
      <c r="L563" s="19" t="n"/>
      <c r="M563" s="19" t="n"/>
      <c r="N563" s="18">
        <f>IF($M563&lt;&gt;"",$M563,IF($L563&lt;&gt;"",$L563*CARBON_FRACTION_OM,""))</f>
        <v/>
      </c>
      <c r="O563" s="18">
        <f>IF(OR($E563="",$F563=""),"",MAX(0,MIN($F563,REFERENCE_DEPTH_CM)-MIN($E563,REFERENCE_DEPTH_CM)))</f>
        <v/>
      </c>
      <c r="P563" s="18">
        <f>IF(OR($J563="",$N563="",$G563=""),"",$J563*($N563/100)*$G563*10)</f>
        <v/>
      </c>
      <c r="Q563" s="18">
        <f>IF(OR($J563="",$N563="",$O563=""),"",$J563*($N563/100)*$O563*10)</f>
        <v/>
      </c>
      <c r="R563" s="18">
        <f>IF(OR(NOT(ISNUMBER($P563)),NOT(ISNUMBER($G563)),$G563=0),0,$P563/$G563)</f>
        <v/>
      </c>
      <c r="S563" s="18">
        <f>IF(OR($B563="",NOT(ISNUMBER($F563))),"",SUMIFS('3. Peat Data'!$P$5:$P$604,'3. Peat Data'!$B$5:$B$604,$B563,'3. Peat Data'!$F$5:$F$604,"&lt;="&amp;$F563))</f>
        <v/>
      </c>
      <c r="T563" s="18">
        <f>IF(AND($A563="",$B563="",$E563=""),"",IF(AND($B563&lt;&gt;"",COUNTIF('2. Core Log'!$A$5:$A$124,$B563)=0),"Core ID not in Core Log. ","")&amp;IF(AND($A563&lt;&gt;"",COUNTIF('1. Plot &amp; Site Log'!$A$5:$A$64,$A563)=0),"Plot ID not in Plot &amp; Site Log. ","")&amp;IF(AND(ISNUMBER($E563),ISNUMBER($F563),$F563&lt;=$E563),"Bottom depth is not below top depth. ","")&amp;IF($I563="","Say which bulk-density basis the lab reported. ","")&amp;IF(AND(ISNUMBER($J563),OR($J563&lt;QC_BD_MIN,$J563&gt;QC_BD_MAX)),"Bulk density outside "&amp;QC_BD_MIN&amp;"–"&amp;QC_BD_MAX&amp;" g/cm³ for peat. Above the top of that range usually means the mineral contact has been passed. ","")&amp;IF(AND(ISNUMBER($N563),$N563&gt;QC_CARBON_PCT_MAX),"Carbon above "&amp;QC_CARBON_PCT_MAX&amp;"% — check units; this may be organic matter rather than carbon. ","")&amp;IF(AND($L563&lt;&gt;"",$M563&lt;&gt;""),"Both LOI and measured carbon given — the measured value is used. ","")&amp;IF(AND($M563="",$L563&lt;&gt;"",OM_FACTOR_IS_LOCAL&lt;&gt;"Yes"),"Carbon derived from LOI using the default factor of "&amp;CARBON_FRACTION_OM&amp;", which has not been calibrated locally. See R1. Reference. ","")&amp;IF(AND(ISNUMBER($O563),$O563=0,ISNUMBER($E563)),"Section lies entirely below the reference depth — it counts to the full-profile stock only. ",""))</f>
        <v/>
      </c>
      <c r="U563" s="14" t="n"/>
    </row>
    <row r="564">
      <c r="A564" s="14" t="n"/>
      <c r="B564" s="14" t="n"/>
      <c r="C564" s="14" t="n"/>
      <c r="D564" s="14" t="n"/>
      <c r="E564" s="14" t="n"/>
      <c r="F564" s="14" t="n"/>
      <c r="G564" s="14">
        <f>IF(OR($E564="",$F564=""),"",$F564-$E564)</f>
        <v/>
      </c>
      <c r="H564" s="14" t="n"/>
      <c r="I564" s="14" t="n"/>
      <c r="J564" s="19" t="n"/>
      <c r="K564" s="19" t="n"/>
      <c r="L564" s="19" t="n"/>
      <c r="M564" s="19" t="n"/>
      <c r="N564" s="18">
        <f>IF($M564&lt;&gt;"",$M564,IF($L564&lt;&gt;"",$L564*CARBON_FRACTION_OM,""))</f>
        <v/>
      </c>
      <c r="O564" s="18">
        <f>IF(OR($E564="",$F564=""),"",MAX(0,MIN($F564,REFERENCE_DEPTH_CM)-MIN($E564,REFERENCE_DEPTH_CM)))</f>
        <v/>
      </c>
      <c r="P564" s="18">
        <f>IF(OR($J564="",$N564="",$G564=""),"",$J564*($N564/100)*$G564*10)</f>
        <v/>
      </c>
      <c r="Q564" s="18">
        <f>IF(OR($J564="",$N564="",$O564=""),"",$J564*($N564/100)*$O564*10)</f>
        <v/>
      </c>
      <c r="R564" s="18">
        <f>IF(OR(NOT(ISNUMBER($P564)),NOT(ISNUMBER($G564)),$G564=0),0,$P564/$G564)</f>
        <v/>
      </c>
      <c r="S564" s="18">
        <f>IF(OR($B564="",NOT(ISNUMBER($F564))),"",SUMIFS('3. Peat Data'!$P$5:$P$604,'3. Peat Data'!$B$5:$B$604,$B564,'3. Peat Data'!$F$5:$F$604,"&lt;="&amp;$F564))</f>
        <v/>
      </c>
      <c r="T564" s="18">
        <f>IF(AND($A564="",$B564="",$E564=""),"",IF(AND($B564&lt;&gt;"",COUNTIF('2. Core Log'!$A$5:$A$124,$B564)=0),"Core ID not in Core Log. ","")&amp;IF(AND($A564&lt;&gt;"",COUNTIF('1. Plot &amp; Site Log'!$A$5:$A$64,$A564)=0),"Plot ID not in Plot &amp; Site Log. ","")&amp;IF(AND(ISNUMBER($E564),ISNUMBER($F564),$F564&lt;=$E564),"Bottom depth is not below top depth. ","")&amp;IF($I564="","Say which bulk-density basis the lab reported. ","")&amp;IF(AND(ISNUMBER($J564),OR($J564&lt;QC_BD_MIN,$J564&gt;QC_BD_MAX)),"Bulk density outside "&amp;QC_BD_MIN&amp;"–"&amp;QC_BD_MAX&amp;" g/cm³ for peat. Above the top of that range usually means the mineral contact has been passed. ","")&amp;IF(AND(ISNUMBER($N564),$N564&gt;QC_CARBON_PCT_MAX),"Carbon above "&amp;QC_CARBON_PCT_MAX&amp;"% — check units; this may be organic matter rather than carbon. ","")&amp;IF(AND($L564&lt;&gt;"",$M564&lt;&gt;""),"Both LOI and measured carbon given — the measured value is used. ","")&amp;IF(AND($M564="",$L564&lt;&gt;"",OM_FACTOR_IS_LOCAL&lt;&gt;"Yes"),"Carbon derived from LOI using the default factor of "&amp;CARBON_FRACTION_OM&amp;", which has not been calibrated locally. See R1. Reference. ","")&amp;IF(AND(ISNUMBER($O564),$O564=0,ISNUMBER($E564)),"Section lies entirely below the reference depth — it counts to the full-profile stock only. ",""))</f>
        <v/>
      </c>
      <c r="U564" s="14" t="n"/>
    </row>
    <row r="565">
      <c r="A565" s="14" t="n"/>
      <c r="B565" s="14" t="n"/>
      <c r="C565" s="14" t="n"/>
      <c r="D565" s="14" t="n"/>
      <c r="E565" s="14" t="n"/>
      <c r="F565" s="14" t="n"/>
      <c r="G565" s="14">
        <f>IF(OR($E565="",$F565=""),"",$F565-$E565)</f>
        <v/>
      </c>
      <c r="H565" s="14" t="n"/>
      <c r="I565" s="14" t="n"/>
      <c r="J565" s="19" t="n"/>
      <c r="K565" s="19" t="n"/>
      <c r="L565" s="19" t="n"/>
      <c r="M565" s="19" t="n"/>
      <c r="N565" s="18">
        <f>IF($M565&lt;&gt;"",$M565,IF($L565&lt;&gt;"",$L565*CARBON_FRACTION_OM,""))</f>
        <v/>
      </c>
      <c r="O565" s="18">
        <f>IF(OR($E565="",$F565=""),"",MAX(0,MIN($F565,REFERENCE_DEPTH_CM)-MIN($E565,REFERENCE_DEPTH_CM)))</f>
        <v/>
      </c>
      <c r="P565" s="18">
        <f>IF(OR($J565="",$N565="",$G565=""),"",$J565*($N565/100)*$G565*10)</f>
        <v/>
      </c>
      <c r="Q565" s="18">
        <f>IF(OR($J565="",$N565="",$O565=""),"",$J565*($N565/100)*$O565*10)</f>
        <v/>
      </c>
      <c r="R565" s="18">
        <f>IF(OR(NOT(ISNUMBER($P565)),NOT(ISNUMBER($G565)),$G565=0),0,$P565/$G565)</f>
        <v/>
      </c>
      <c r="S565" s="18">
        <f>IF(OR($B565="",NOT(ISNUMBER($F565))),"",SUMIFS('3. Peat Data'!$P$5:$P$604,'3. Peat Data'!$B$5:$B$604,$B565,'3. Peat Data'!$F$5:$F$604,"&lt;="&amp;$F565))</f>
        <v/>
      </c>
      <c r="T565" s="18">
        <f>IF(AND($A565="",$B565="",$E565=""),"",IF(AND($B565&lt;&gt;"",COUNTIF('2. Core Log'!$A$5:$A$124,$B565)=0),"Core ID not in Core Log. ","")&amp;IF(AND($A565&lt;&gt;"",COUNTIF('1. Plot &amp; Site Log'!$A$5:$A$64,$A565)=0),"Plot ID not in Plot &amp; Site Log. ","")&amp;IF(AND(ISNUMBER($E565),ISNUMBER($F565),$F565&lt;=$E565),"Bottom depth is not below top depth. ","")&amp;IF($I565="","Say which bulk-density basis the lab reported. ","")&amp;IF(AND(ISNUMBER($J565),OR($J565&lt;QC_BD_MIN,$J565&gt;QC_BD_MAX)),"Bulk density outside "&amp;QC_BD_MIN&amp;"–"&amp;QC_BD_MAX&amp;" g/cm³ for peat. Above the top of that range usually means the mineral contact has been passed. ","")&amp;IF(AND(ISNUMBER($N565),$N565&gt;QC_CARBON_PCT_MAX),"Carbon above "&amp;QC_CARBON_PCT_MAX&amp;"% — check units; this may be organic matter rather than carbon. ","")&amp;IF(AND($L565&lt;&gt;"",$M565&lt;&gt;""),"Both LOI and measured carbon given — the measured value is used. ","")&amp;IF(AND($M565="",$L565&lt;&gt;"",OM_FACTOR_IS_LOCAL&lt;&gt;"Yes"),"Carbon derived from LOI using the default factor of "&amp;CARBON_FRACTION_OM&amp;", which has not been calibrated locally. See R1. Reference. ","")&amp;IF(AND(ISNUMBER($O565),$O565=0,ISNUMBER($E565)),"Section lies entirely below the reference depth — it counts to the full-profile stock only. ",""))</f>
        <v/>
      </c>
      <c r="U565" s="14" t="n"/>
    </row>
    <row r="566">
      <c r="A566" s="14" t="n"/>
      <c r="B566" s="14" t="n"/>
      <c r="C566" s="14" t="n"/>
      <c r="D566" s="14" t="n"/>
      <c r="E566" s="14" t="n"/>
      <c r="F566" s="14" t="n"/>
      <c r="G566" s="14">
        <f>IF(OR($E566="",$F566=""),"",$F566-$E566)</f>
        <v/>
      </c>
      <c r="H566" s="14" t="n"/>
      <c r="I566" s="14" t="n"/>
      <c r="J566" s="19" t="n"/>
      <c r="K566" s="19" t="n"/>
      <c r="L566" s="19" t="n"/>
      <c r="M566" s="19" t="n"/>
      <c r="N566" s="18">
        <f>IF($M566&lt;&gt;"",$M566,IF($L566&lt;&gt;"",$L566*CARBON_FRACTION_OM,""))</f>
        <v/>
      </c>
      <c r="O566" s="18">
        <f>IF(OR($E566="",$F566=""),"",MAX(0,MIN($F566,REFERENCE_DEPTH_CM)-MIN($E566,REFERENCE_DEPTH_CM)))</f>
        <v/>
      </c>
      <c r="P566" s="18">
        <f>IF(OR($J566="",$N566="",$G566=""),"",$J566*($N566/100)*$G566*10)</f>
        <v/>
      </c>
      <c r="Q566" s="18">
        <f>IF(OR($J566="",$N566="",$O566=""),"",$J566*($N566/100)*$O566*10)</f>
        <v/>
      </c>
      <c r="R566" s="18">
        <f>IF(OR(NOT(ISNUMBER($P566)),NOT(ISNUMBER($G566)),$G566=0),0,$P566/$G566)</f>
        <v/>
      </c>
      <c r="S566" s="18">
        <f>IF(OR($B566="",NOT(ISNUMBER($F566))),"",SUMIFS('3. Peat Data'!$P$5:$P$604,'3. Peat Data'!$B$5:$B$604,$B566,'3. Peat Data'!$F$5:$F$604,"&lt;="&amp;$F566))</f>
        <v/>
      </c>
      <c r="T566" s="18">
        <f>IF(AND($A566="",$B566="",$E566=""),"",IF(AND($B566&lt;&gt;"",COUNTIF('2. Core Log'!$A$5:$A$124,$B566)=0),"Core ID not in Core Log. ","")&amp;IF(AND($A566&lt;&gt;"",COUNTIF('1. Plot &amp; Site Log'!$A$5:$A$64,$A566)=0),"Plot ID not in Plot &amp; Site Log. ","")&amp;IF(AND(ISNUMBER($E566),ISNUMBER($F566),$F566&lt;=$E566),"Bottom depth is not below top depth. ","")&amp;IF($I566="","Say which bulk-density basis the lab reported. ","")&amp;IF(AND(ISNUMBER($J566),OR($J566&lt;QC_BD_MIN,$J566&gt;QC_BD_MAX)),"Bulk density outside "&amp;QC_BD_MIN&amp;"–"&amp;QC_BD_MAX&amp;" g/cm³ for peat. Above the top of that range usually means the mineral contact has been passed. ","")&amp;IF(AND(ISNUMBER($N566),$N566&gt;QC_CARBON_PCT_MAX),"Carbon above "&amp;QC_CARBON_PCT_MAX&amp;"% — check units; this may be organic matter rather than carbon. ","")&amp;IF(AND($L566&lt;&gt;"",$M566&lt;&gt;""),"Both LOI and measured carbon given — the measured value is used. ","")&amp;IF(AND($M566="",$L566&lt;&gt;"",OM_FACTOR_IS_LOCAL&lt;&gt;"Yes"),"Carbon derived from LOI using the default factor of "&amp;CARBON_FRACTION_OM&amp;", which has not been calibrated locally. See R1. Reference. ","")&amp;IF(AND(ISNUMBER($O566),$O566=0,ISNUMBER($E566)),"Section lies entirely below the reference depth — it counts to the full-profile stock only. ",""))</f>
        <v/>
      </c>
      <c r="U566" s="14" t="n"/>
    </row>
    <row r="567">
      <c r="A567" s="14" t="n"/>
      <c r="B567" s="14" t="n"/>
      <c r="C567" s="14" t="n"/>
      <c r="D567" s="14" t="n"/>
      <c r="E567" s="14" t="n"/>
      <c r="F567" s="14" t="n"/>
      <c r="G567" s="14">
        <f>IF(OR($E567="",$F567=""),"",$F567-$E567)</f>
        <v/>
      </c>
      <c r="H567" s="14" t="n"/>
      <c r="I567" s="14" t="n"/>
      <c r="J567" s="19" t="n"/>
      <c r="K567" s="19" t="n"/>
      <c r="L567" s="19" t="n"/>
      <c r="M567" s="19" t="n"/>
      <c r="N567" s="18">
        <f>IF($M567&lt;&gt;"",$M567,IF($L567&lt;&gt;"",$L567*CARBON_FRACTION_OM,""))</f>
        <v/>
      </c>
      <c r="O567" s="18">
        <f>IF(OR($E567="",$F567=""),"",MAX(0,MIN($F567,REFERENCE_DEPTH_CM)-MIN($E567,REFERENCE_DEPTH_CM)))</f>
        <v/>
      </c>
      <c r="P567" s="18">
        <f>IF(OR($J567="",$N567="",$G567=""),"",$J567*($N567/100)*$G567*10)</f>
        <v/>
      </c>
      <c r="Q567" s="18">
        <f>IF(OR($J567="",$N567="",$O567=""),"",$J567*($N567/100)*$O567*10)</f>
        <v/>
      </c>
      <c r="R567" s="18">
        <f>IF(OR(NOT(ISNUMBER($P567)),NOT(ISNUMBER($G567)),$G567=0),0,$P567/$G567)</f>
        <v/>
      </c>
      <c r="S567" s="18">
        <f>IF(OR($B567="",NOT(ISNUMBER($F567))),"",SUMIFS('3. Peat Data'!$P$5:$P$604,'3. Peat Data'!$B$5:$B$604,$B567,'3. Peat Data'!$F$5:$F$604,"&lt;="&amp;$F567))</f>
        <v/>
      </c>
      <c r="T567" s="18">
        <f>IF(AND($A567="",$B567="",$E567=""),"",IF(AND($B567&lt;&gt;"",COUNTIF('2. Core Log'!$A$5:$A$124,$B567)=0),"Core ID not in Core Log. ","")&amp;IF(AND($A567&lt;&gt;"",COUNTIF('1. Plot &amp; Site Log'!$A$5:$A$64,$A567)=0),"Plot ID not in Plot &amp; Site Log. ","")&amp;IF(AND(ISNUMBER($E567),ISNUMBER($F567),$F567&lt;=$E567),"Bottom depth is not below top depth. ","")&amp;IF($I567="","Say which bulk-density basis the lab reported. ","")&amp;IF(AND(ISNUMBER($J567),OR($J567&lt;QC_BD_MIN,$J567&gt;QC_BD_MAX)),"Bulk density outside "&amp;QC_BD_MIN&amp;"–"&amp;QC_BD_MAX&amp;" g/cm³ for peat. Above the top of that range usually means the mineral contact has been passed. ","")&amp;IF(AND(ISNUMBER($N567),$N567&gt;QC_CARBON_PCT_MAX),"Carbon above "&amp;QC_CARBON_PCT_MAX&amp;"% — check units; this may be organic matter rather than carbon. ","")&amp;IF(AND($L567&lt;&gt;"",$M567&lt;&gt;""),"Both LOI and measured carbon given — the measured value is used. ","")&amp;IF(AND($M567="",$L567&lt;&gt;"",OM_FACTOR_IS_LOCAL&lt;&gt;"Yes"),"Carbon derived from LOI using the default factor of "&amp;CARBON_FRACTION_OM&amp;", which has not been calibrated locally. See R1. Reference. ","")&amp;IF(AND(ISNUMBER($O567),$O567=0,ISNUMBER($E567)),"Section lies entirely below the reference depth — it counts to the full-profile stock only. ",""))</f>
        <v/>
      </c>
      <c r="U567" s="14" t="n"/>
    </row>
    <row r="568">
      <c r="A568" s="14" t="n"/>
      <c r="B568" s="14" t="n"/>
      <c r="C568" s="14" t="n"/>
      <c r="D568" s="14" t="n"/>
      <c r="E568" s="14" t="n"/>
      <c r="F568" s="14" t="n"/>
      <c r="G568" s="14">
        <f>IF(OR($E568="",$F568=""),"",$F568-$E568)</f>
        <v/>
      </c>
      <c r="H568" s="14" t="n"/>
      <c r="I568" s="14" t="n"/>
      <c r="J568" s="19" t="n"/>
      <c r="K568" s="19" t="n"/>
      <c r="L568" s="19" t="n"/>
      <c r="M568" s="19" t="n"/>
      <c r="N568" s="18">
        <f>IF($M568&lt;&gt;"",$M568,IF($L568&lt;&gt;"",$L568*CARBON_FRACTION_OM,""))</f>
        <v/>
      </c>
      <c r="O568" s="18">
        <f>IF(OR($E568="",$F568=""),"",MAX(0,MIN($F568,REFERENCE_DEPTH_CM)-MIN($E568,REFERENCE_DEPTH_CM)))</f>
        <v/>
      </c>
      <c r="P568" s="18">
        <f>IF(OR($J568="",$N568="",$G568=""),"",$J568*($N568/100)*$G568*10)</f>
        <v/>
      </c>
      <c r="Q568" s="18">
        <f>IF(OR($J568="",$N568="",$O568=""),"",$J568*($N568/100)*$O568*10)</f>
        <v/>
      </c>
      <c r="R568" s="18">
        <f>IF(OR(NOT(ISNUMBER($P568)),NOT(ISNUMBER($G568)),$G568=0),0,$P568/$G568)</f>
        <v/>
      </c>
      <c r="S568" s="18">
        <f>IF(OR($B568="",NOT(ISNUMBER($F568))),"",SUMIFS('3. Peat Data'!$P$5:$P$604,'3. Peat Data'!$B$5:$B$604,$B568,'3. Peat Data'!$F$5:$F$604,"&lt;="&amp;$F568))</f>
        <v/>
      </c>
      <c r="T568" s="18">
        <f>IF(AND($A568="",$B568="",$E568=""),"",IF(AND($B568&lt;&gt;"",COUNTIF('2. Core Log'!$A$5:$A$124,$B568)=0),"Core ID not in Core Log. ","")&amp;IF(AND($A568&lt;&gt;"",COUNTIF('1. Plot &amp; Site Log'!$A$5:$A$64,$A568)=0),"Plot ID not in Plot &amp; Site Log. ","")&amp;IF(AND(ISNUMBER($E568),ISNUMBER($F568),$F568&lt;=$E568),"Bottom depth is not below top depth. ","")&amp;IF($I568="","Say which bulk-density basis the lab reported. ","")&amp;IF(AND(ISNUMBER($J568),OR($J568&lt;QC_BD_MIN,$J568&gt;QC_BD_MAX)),"Bulk density outside "&amp;QC_BD_MIN&amp;"–"&amp;QC_BD_MAX&amp;" g/cm³ for peat. Above the top of that range usually means the mineral contact has been passed. ","")&amp;IF(AND(ISNUMBER($N568),$N568&gt;QC_CARBON_PCT_MAX),"Carbon above "&amp;QC_CARBON_PCT_MAX&amp;"% — check units; this may be organic matter rather than carbon. ","")&amp;IF(AND($L568&lt;&gt;"",$M568&lt;&gt;""),"Both LOI and measured carbon given — the measured value is used. ","")&amp;IF(AND($M568="",$L568&lt;&gt;"",OM_FACTOR_IS_LOCAL&lt;&gt;"Yes"),"Carbon derived from LOI using the default factor of "&amp;CARBON_FRACTION_OM&amp;", which has not been calibrated locally. See R1. Reference. ","")&amp;IF(AND(ISNUMBER($O568),$O568=0,ISNUMBER($E568)),"Section lies entirely below the reference depth — it counts to the full-profile stock only. ",""))</f>
        <v/>
      </c>
      <c r="U568" s="14" t="n"/>
    </row>
    <row r="569">
      <c r="A569" s="14" t="n"/>
      <c r="B569" s="14" t="n"/>
      <c r="C569" s="14" t="n"/>
      <c r="D569" s="14" t="n"/>
      <c r="E569" s="14" t="n"/>
      <c r="F569" s="14" t="n"/>
      <c r="G569" s="14">
        <f>IF(OR($E569="",$F569=""),"",$F569-$E569)</f>
        <v/>
      </c>
      <c r="H569" s="14" t="n"/>
      <c r="I569" s="14" t="n"/>
      <c r="J569" s="19" t="n"/>
      <c r="K569" s="19" t="n"/>
      <c r="L569" s="19" t="n"/>
      <c r="M569" s="19" t="n"/>
      <c r="N569" s="18">
        <f>IF($M569&lt;&gt;"",$M569,IF($L569&lt;&gt;"",$L569*CARBON_FRACTION_OM,""))</f>
        <v/>
      </c>
      <c r="O569" s="18">
        <f>IF(OR($E569="",$F569=""),"",MAX(0,MIN($F569,REFERENCE_DEPTH_CM)-MIN($E569,REFERENCE_DEPTH_CM)))</f>
        <v/>
      </c>
      <c r="P569" s="18">
        <f>IF(OR($J569="",$N569="",$G569=""),"",$J569*($N569/100)*$G569*10)</f>
        <v/>
      </c>
      <c r="Q569" s="18">
        <f>IF(OR($J569="",$N569="",$O569=""),"",$J569*($N569/100)*$O569*10)</f>
        <v/>
      </c>
      <c r="R569" s="18">
        <f>IF(OR(NOT(ISNUMBER($P569)),NOT(ISNUMBER($G569)),$G569=0),0,$P569/$G569)</f>
        <v/>
      </c>
      <c r="S569" s="18">
        <f>IF(OR($B569="",NOT(ISNUMBER($F569))),"",SUMIFS('3. Peat Data'!$P$5:$P$604,'3. Peat Data'!$B$5:$B$604,$B569,'3. Peat Data'!$F$5:$F$604,"&lt;="&amp;$F569))</f>
        <v/>
      </c>
      <c r="T569" s="18">
        <f>IF(AND($A569="",$B569="",$E569=""),"",IF(AND($B569&lt;&gt;"",COUNTIF('2. Core Log'!$A$5:$A$124,$B569)=0),"Core ID not in Core Log. ","")&amp;IF(AND($A569&lt;&gt;"",COUNTIF('1. Plot &amp; Site Log'!$A$5:$A$64,$A569)=0),"Plot ID not in Plot &amp; Site Log. ","")&amp;IF(AND(ISNUMBER($E569),ISNUMBER($F569),$F569&lt;=$E569),"Bottom depth is not below top depth. ","")&amp;IF($I569="","Say which bulk-density basis the lab reported. ","")&amp;IF(AND(ISNUMBER($J569),OR($J569&lt;QC_BD_MIN,$J569&gt;QC_BD_MAX)),"Bulk density outside "&amp;QC_BD_MIN&amp;"–"&amp;QC_BD_MAX&amp;" g/cm³ for peat. Above the top of that range usually means the mineral contact has been passed. ","")&amp;IF(AND(ISNUMBER($N569),$N569&gt;QC_CARBON_PCT_MAX),"Carbon above "&amp;QC_CARBON_PCT_MAX&amp;"% — check units; this may be organic matter rather than carbon. ","")&amp;IF(AND($L569&lt;&gt;"",$M569&lt;&gt;""),"Both LOI and measured carbon given — the measured value is used. ","")&amp;IF(AND($M569="",$L569&lt;&gt;"",OM_FACTOR_IS_LOCAL&lt;&gt;"Yes"),"Carbon derived from LOI using the default factor of "&amp;CARBON_FRACTION_OM&amp;", which has not been calibrated locally. See R1. Reference. ","")&amp;IF(AND(ISNUMBER($O569),$O569=0,ISNUMBER($E569)),"Section lies entirely below the reference depth — it counts to the full-profile stock only. ",""))</f>
        <v/>
      </c>
      <c r="U569" s="14" t="n"/>
    </row>
    <row r="570">
      <c r="A570" s="14" t="n"/>
      <c r="B570" s="14" t="n"/>
      <c r="C570" s="14" t="n"/>
      <c r="D570" s="14" t="n"/>
      <c r="E570" s="14" t="n"/>
      <c r="F570" s="14" t="n"/>
      <c r="G570" s="14">
        <f>IF(OR($E570="",$F570=""),"",$F570-$E570)</f>
        <v/>
      </c>
      <c r="H570" s="14" t="n"/>
      <c r="I570" s="14" t="n"/>
      <c r="J570" s="19" t="n"/>
      <c r="K570" s="19" t="n"/>
      <c r="L570" s="19" t="n"/>
      <c r="M570" s="19" t="n"/>
      <c r="N570" s="18">
        <f>IF($M570&lt;&gt;"",$M570,IF($L570&lt;&gt;"",$L570*CARBON_FRACTION_OM,""))</f>
        <v/>
      </c>
      <c r="O570" s="18">
        <f>IF(OR($E570="",$F570=""),"",MAX(0,MIN($F570,REFERENCE_DEPTH_CM)-MIN($E570,REFERENCE_DEPTH_CM)))</f>
        <v/>
      </c>
      <c r="P570" s="18">
        <f>IF(OR($J570="",$N570="",$G570=""),"",$J570*($N570/100)*$G570*10)</f>
        <v/>
      </c>
      <c r="Q570" s="18">
        <f>IF(OR($J570="",$N570="",$O570=""),"",$J570*($N570/100)*$O570*10)</f>
        <v/>
      </c>
      <c r="R570" s="18">
        <f>IF(OR(NOT(ISNUMBER($P570)),NOT(ISNUMBER($G570)),$G570=0),0,$P570/$G570)</f>
        <v/>
      </c>
      <c r="S570" s="18">
        <f>IF(OR($B570="",NOT(ISNUMBER($F570))),"",SUMIFS('3. Peat Data'!$P$5:$P$604,'3. Peat Data'!$B$5:$B$604,$B570,'3. Peat Data'!$F$5:$F$604,"&lt;="&amp;$F570))</f>
        <v/>
      </c>
      <c r="T570" s="18">
        <f>IF(AND($A570="",$B570="",$E570=""),"",IF(AND($B570&lt;&gt;"",COUNTIF('2. Core Log'!$A$5:$A$124,$B570)=0),"Core ID not in Core Log. ","")&amp;IF(AND($A570&lt;&gt;"",COUNTIF('1. Plot &amp; Site Log'!$A$5:$A$64,$A570)=0),"Plot ID not in Plot &amp; Site Log. ","")&amp;IF(AND(ISNUMBER($E570),ISNUMBER($F570),$F570&lt;=$E570),"Bottom depth is not below top depth. ","")&amp;IF($I570="","Say which bulk-density basis the lab reported. ","")&amp;IF(AND(ISNUMBER($J570),OR($J570&lt;QC_BD_MIN,$J570&gt;QC_BD_MAX)),"Bulk density outside "&amp;QC_BD_MIN&amp;"–"&amp;QC_BD_MAX&amp;" g/cm³ for peat. Above the top of that range usually means the mineral contact has been passed. ","")&amp;IF(AND(ISNUMBER($N570),$N570&gt;QC_CARBON_PCT_MAX),"Carbon above "&amp;QC_CARBON_PCT_MAX&amp;"% — check units; this may be organic matter rather than carbon. ","")&amp;IF(AND($L570&lt;&gt;"",$M570&lt;&gt;""),"Both LOI and measured carbon given — the measured value is used. ","")&amp;IF(AND($M570="",$L570&lt;&gt;"",OM_FACTOR_IS_LOCAL&lt;&gt;"Yes"),"Carbon derived from LOI using the default factor of "&amp;CARBON_FRACTION_OM&amp;", which has not been calibrated locally. See R1. Reference. ","")&amp;IF(AND(ISNUMBER($O570),$O570=0,ISNUMBER($E570)),"Section lies entirely below the reference depth — it counts to the full-profile stock only. ",""))</f>
        <v/>
      </c>
      <c r="U570" s="14" t="n"/>
    </row>
    <row r="571">
      <c r="A571" s="14" t="n"/>
      <c r="B571" s="14" t="n"/>
      <c r="C571" s="14" t="n"/>
      <c r="D571" s="14" t="n"/>
      <c r="E571" s="14" t="n"/>
      <c r="F571" s="14" t="n"/>
      <c r="G571" s="14">
        <f>IF(OR($E571="",$F571=""),"",$F571-$E571)</f>
        <v/>
      </c>
      <c r="H571" s="14" t="n"/>
      <c r="I571" s="14" t="n"/>
      <c r="J571" s="19" t="n"/>
      <c r="K571" s="19" t="n"/>
      <c r="L571" s="19" t="n"/>
      <c r="M571" s="19" t="n"/>
      <c r="N571" s="18">
        <f>IF($M571&lt;&gt;"",$M571,IF($L571&lt;&gt;"",$L571*CARBON_FRACTION_OM,""))</f>
        <v/>
      </c>
      <c r="O571" s="18">
        <f>IF(OR($E571="",$F571=""),"",MAX(0,MIN($F571,REFERENCE_DEPTH_CM)-MIN($E571,REFERENCE_DEPTH_CM)))</f>
        <v/>
      </c>
      <c r="P571" s="18">
        <f>IF(OR($J571="",$N571="",$G571=""),"",$J571*($N571/100)*$G571*10)</f>
        <v/>
      </c>
      <c r="Q571" s="18">
        <f>IF(OR($J571="",$N571="",$O571=""),"",$J571*($N571/100)*$O571*10)</f>
        <v/>
      </c>
      <c r="R571" s="18">
        <f>IF(OR(NOT(ISNUMBER($P571)),NOT(ISNUMBER($G571)),$G571=0),0,$P571/$G571)</f>
        <v/>
      </c>
      <c r="S571" s="18">
        <f>IF(OR($B571="",NOT(ISNUMBER($F571))),"",SUMIFS('3. Peat Data'!$P$5:$P$604,'3. Peat Data'!$B$5:$B$604,$B571,'3. Peat Data'!$F$5:$F$604,"&lt;="&amp;$F571))</f>
        <v/>
      </c>
      <c r="T571" s="18">
        <f>IF(AND($A571="",$B571="",$E571=""),"",IF(AND($B571&lt;&gt;"",COUNTIF('2. Core Log'!$A$5:$A$124,$B571)=0),"Core ID not in Core Log. ","")&amp;IF(AND($A571&lt;&gt;"",COUNTIF('1. Plot &amp; Site Log'!$A$5:$A$64,$A571)=0),"Plot ID not in Plot &amp; Site Log. ","")&amp;IF(AND(ISNUMBER($E571),ISNUMBER($F571),$F571&lt;=$E571),"Bottom depth is not below top depth. ","")&amp;IF($I571="","Say which bulk-density basis the lab reported. ","")&amp;IF(AND(ISNUMBER($J571),OR($J571&lt;QC_BD_MIN,$J571&gt;QC_BD_MAX)),"Bulk density outside "&amp;QC_BD_MIN&amp;"–"&amp;QC_BD_MAX&amp;" g/cm³ for peat. Above the top of that range usually means the mineral contact has been passed. ","")&amp;IF(AND(ISNUMBER($N571),$N571&gt;QC_CARBON_PCT_MAX),"Carbon above "&amp;QC_CARBON_PCT_MAX&amp;"% — check units; this may be organic matter rather than carbon. ","")&amp;IF(AND($L571&lt;&gt;"",$M571&lt;&gt;""),"Both LOI and measured carbon given — the measured value is used. ","")&amp;IF(AND($M571="",$L571&lt;&gt;"",OM_FACTOR_IS_LOCAL&lt;&gt;"Yes"),"Carbon derived from LOI using the default factor of "&amp;CARBON_FRACTION_OM&amp;", which has not been calibrated locally. See R1. Reference. ","")&amp;IF(AND(ISNUMBER($O571),$O571=0,ISNUMBER($E571)),"Section lies entirely below the reference depth — it counts to the full-profile stock only. ",""))</f>
        <v/>
      </c>
      <c r="U571" s="14" t="n"/>
    </row>
    <row r="572">
      <c r="A572" s="14" t="n"/>
      <c r="B572" s="14" t="n"/>
      <c r="C572" s="14" t="n"/>
      <c r="D572" s="14" t="n"/>
      <c r="E572" s="14" t="n"/>
      <c r="F572" s="14" t="n"/>
      <c r="G572" s="14">
        <f>IF(OR($E572="",$F572=""),"",$F572-$E572)</f>
        <v/>
      </c>
      <c r="H572" s="14" t="n"/>
      <c r="I572" s="14" t="n"/>
      <c r="J572" s="19" t="n"/>
      <c r="K572" s="19" t="n"/>
      <c r="L572" s="19" t="n"/>
      <c r="M572" s="19" t="n"/>
      <c r="N572" s="18">
        <f>IF($M572&lt;&gt;"",$M572,IF($L572&lt;&gt;"",$L572*CARBON_FRACTION_OM,""))</f>
        <v/>
      </c>
      <c r="O572" s="18">
        <f>IF(OR($E572="",$F572=""),"",MAX(0,MIN($F572,REFERENCE_DEPTH_CM)-MIN($E572,REFERENCE_DEPTH_CM)))</f>
        <v/>
      </c>
      <c r="P572" s="18">
        <f>IF(OR($J572="",$N572="",$G572=""),"",$J572*($N572/100)*$G572*10)</f>
        <v/>
      </c>
      <c r="Q572" s="18">
        <f>IF(OR($J572="",$N572="",$O572=""),"",$J572*($N572/100)*$O572*10)</f>
        <v/>
      </c>
      <c r="R572" s="18">
        <f>IF(OR(NOT(ISNUMBER($P572)),NOT(ISNUMBER($G572)),$G572=0),0,$P572/$G572)</f>
        <v/>
      </c>
      <c r="S572" s="18">
        <f>IF(OR($B572="",NOT(ISNUMBER($F572))),"",SUMIFS('3. Peat Data'!$P$5:$P$604,'3. Peat Data'!$B$5:$B$604,$B572,'3. Peat Data'!$F$5:$F$604,"&lt;="&amp;$F572))</f>
        <v/>
      </c>
      <c r="T572" s="18">
        <f>IF(AND($A572="",$B572="",$E572=""),"",IF(AND($B572&lt;&gt;"",COUNTIF('2. Core Log'!$A$5:$A$124,$B572)=0),"Core ID not in Core Log. ","")&amp;IF(AND($A572&lt;&gt;"",COUNTIF('1. Plot &amp; Site Log'!$A$5:$A$64,$A572)=0),"Plot ID not in Plot &amp; Site Log. ","")&amp;IF(AND(ISNUMBER($E572),ISNUMBER($F572),$F572&lt;=$E572),"Bottom depth is not below top depth. ","")&amp;IF($I572="","Say which bulk-density basis the lab reported. ","")&amp;IF(AND(ISNUMBER($J572),OR($J572&lt;QC_BD_MIN,$J572&gt;QC_BD_MAX)),"Bulk density outside "&amp;QC_BD_MIN&amp;"–"&amp;QC_BD_MAX&amp;" g/cm³ for peat. Above the top of that range usually means the mineral contact has been passed. ","")&amp;IF(AND(ISNUMBER($N572),$N572&gt;QC_CARBON_PCT_MAX),"Carbon above "&amp;QC_CARBON_PCT_MAX&amp;"% — check units; this may be organic matter rather than carbon. ","")&amp;IF(AND($L572&lt;&gt;"",$M572&lt;&gt;""),"Both LOI and measured carbon given — the measured value is used. ","")&amp;IF(AND($M572="",$L572&lt;&gt;"",OM_FACTOR_IS_LOCAL&lt;&gt;"Yes"),"Carbon derived from LOI using the default factor of "&amp;CARBON_FRACTION_OM&amp;", which has not been calibrated locally. See R1. Reference. ","")&amp;IF(AND(ISNUMBER($O572),$O572=0,ISNUMBER($E572)),"Section lies entirely below the reference depth — it counts to the full-profile stock only. ",""))</f>
        <v/>
      </c>
      <c r="U572" s="14" t="n"/>
    </row>
    <row r="573">
      <c r="A573" s="14" t="n"/>
      <c r="B573" s="14" t="n"/>
      <c r="C573" s="14" t="n"/>
      <c r="D573" s="14" t="n"/>
      <c r="E573" s="14" t="n"/>
      <c r="F573" s="14" t="n"/>
      <c r="G573" s="14">
        <f>IF(OR($E573="",$F573=""),"",$F573-$E573)</f>
        <v/>
      </c>
      <c r="H573" s="14" t="n"/>
      <c r="I573" s="14" t="n"/>
      <c r="J573" s="19" t="n"/>
      <c r="K573" s="19" t="n"/>
      <c r="L573" s="19" t="n"/>
      <c r="M573" s="19" t="n"/>
      <c r="N573" s="18">
        <f>IF($M573&lt;&gt;"",$M573,IF($L573&lt;&gt;"",$L573*CARBON_FRACTION_OM,""))</f>
        <v/>
      </c>
      <c r="O573" s="18">
        <f>IF(OR($E573="",$F573=""),"",MAX(0,MIN($F573,REFERENCE_DEPTH_CM)-MIN($E573,REFERENCE_DEPTH_CM)))</f>
        <v/>
      </c>
      <c r="P573" s="18">
        <f>IF(OR($J573="",$N573="",$G573=""),"",$J573*($N573/100)*$G573*10)</f>
        <v/>
      </c>
      <c r="Q573" s="18">
        <f>IF(OR($J573="",$N573="",$O573=""),"",$J573*($N573/100)*$O573*10)</f>
        <v/>
      </c>
      <c r="R573" s="18">
        <f>IF(OR(NOT(ISNUMBER($P573)),NOT(ISNUMBER($G573)),$G573=0),0,$P573/$G573)</f>
        <v/>
      </c>
      <c r="S573" s="18">
        <f>IF(OR($B573="",NOT(ISNUMBER($F573))),"",SUMIFS('3. Peat Data'!$P$5:$P$604,'3. Peat Data'!$B$5:$B$604,$B573,'3. Peat Data'!$F$5:$F$604,"&lt;="&amp;$F573))</f>
        <v/>
      </c>
      <c r="T573" s="18">
        <f>IF(AND($A573="",$B573="",$E573=""),"",IF(AND($B573&lt;&gt;"",COUNTIF('2. Core Log'!$A$5:$A$124,$B573)=0),"Core ID not in Core Log. ","")&amp;IF(AND($A573&lt;&gt;"",COUNTIF('1. Plot &amp; Site Log'!$A$5:$A$64,$A573)=0),"Plot ID not in Plot &amp; Site Log. ","")&amp;IF(AND(ISNUMBER($E573),ISNUMBER($F573),$F573&lt;=$E573),"Bottom depth is not below top depth. ","")&amp;IF($I573="","Say which bulk-density basis the lab reported. ","")&amp;IF(AND(ISNUMBER($J573),OR($J573&lt;QC_BD_MIN,$J573&gt;QC_BD_MAX)),"Bulk density outside "&amp;QC_BD_MIN&amp;"–"&amp;QC_BD_MAX&amp;" g/cm³ for peat. Above the top of that range usually means the mineral contact has been passed. ","")&amp;IF(AND(ISNUMBER($N573),$N573&gt;QC_CARBON_PCT_MAX),"Carbon above "&amp;QC_CARBON_PCT_MAX&amp;"% — check units; this may be organic matter rather than carbon. ","")&amp;IF(AND($L573&lt;&gt;"",$M573&lt;&gt;""),"Both LOI and measured carbon given — the measured value is used. ","")&amp;IF(AND($M573="",$L573&lt;&gt;"",OM_FACTOR_IS_LOCAL&lt;&gt;"Yes"),"Carbon derived from LOI using the default factor of "&amp;CARBON_FRACTION_OM&amp;", which has not been calibrated locally. See R1. Reference. ","")&amp;IF(AND(ISNUMBER($O573),$O573=0,ISNUMBER($E573)),"Section lies entirely below the reference depth — it counts to the full-profile stock only. ",""))</f>
        <v/>
      </c>
      <c r="U573" s="14" t="n"/>
    </row>
    <row r="574">
      <c r="A574" s="14" t="n"/>
      <c r="B574" s="14" t="n"/>
      <c r="C574" s="14" t="n"/>
      <c r="D574" s="14" t="n"/>
      <c r="E574" s="14" t="n"/>
      <c r="F574" s="14" t="n"/>
      <c r="G574" s="14">
        <f>IF(OR($E574="",$F574=""),"",$F574-$E574)</f>
        <v/>
      </c>
      <c r="H574" s="14" t="n"/>
      <c r="I574" s="14" t="n"/>
      <c r="J574" s="19" t="n"/>
      <c r="K574" s="19" t="n"/>
      <c r="L574" s="19" t="n"/>
      <c r="M574" s="19" t="n"/>
      <c r="N574" s="18">
        <f>IF($M574&lt;&gt;"",$M574,IF($L574&lt;&gt;"",$L574*CARBON_FRACTION_OM,""))</f>
        <v/>
      </c>
      <c r="O574" s="18">
        <f>IF(OR($E574="",$F574=""),"",MAX(0,MIN($F574,REFERENCE_DEPTH_CM)-MIN($E574,REFERENCE_DEPTH_CM)))</f>
        <v/>
      </c>
      <c r="P574" s="18">
        <f>IF(OR($J574="",$N574="",$G574=""),"",$J574*($N574/100)*$G574*10)</f>
        <v/>
      </c>
      <c r="Q574" s="18">
        <f>IF(OR($J574="",$N574="",$O574=""),"",$J574*($N574/100)*$O574*10)</f>
        <v/>
      </c>
      <c r="R574" s="18">
        <f>IF(OR(NOT(ISNUMBER($P574)),NOT(ISNUMBER($G574)),$G574=0),0,$P574/$G574)</f>
        <v/>
      </c>
      <c r="S574" s="18">
        <f>IF(OR($B574="",NOT(ISNUMBER($F574))),"",SUMIFS('3. Peat Data'!$P$5:$P$604,'3. Peat Data'!$B$5:$B$604,$B574,'3. Peat Data'!$F$5:$F$604,"&lt;="&amp;$F574))</f>
        <v/>
      </c>
      <c r="T574" s="18">
        <f>IF(AND($A574="",$B574="",$E574=""),"",IF(AND($B574&lt;&gt;"",COUNTIF('2. Core Log'!$A$5:$A$124,$B574)=0),"Core ID not in Core Log. ","")&amp;IF(AND($A574&lt;&gt;"",COUNTIF('1. Plot &amp; Site Log'!$A$5:$A$64,$A574)=0),"Plot ID not in Plot &amp; Site Log. ","")&amp;IF(AND(ISNUMBER($E574),ISNUMBER($F574),$F574&lt;=$E574),"Bottom depth is not below top depth. ","")&amp;IF($I574="","Say which bulk-density basis the lab reported. ","")&amp;IF(AND(ISNUMBER($J574),OR($J574&lt;QC_BD_MIN,$J574&gt;QC_BD_MAX)),"Bulk density outside "&amp;QC_BD_MIN&amp;"–"&amp;QC_BD_MAX&amp;" g/cm³ for peat. Above the top of that range usually means the mineral contact has been passed. ","")&amp;IF(AND(ISNUMBER($N574),$N574&gt;QC_CARBON_PCT_MAX),"Carbon above "&amp;QC_CARBON_PCT_MAX&amp;"% — check units; this may be organic matter rather than carbon. ","")&amp;IF(AND($L574&lt;&gt;"",$M574&lt;&gt;""),"Both LOI and measured carbon given — the measured value is used. ","")&amp;IF(AND($M574="",$L574&lt;&gt;"",OM_FACTOR_IS_LOCAL&lt;&gt;"Yes"),"Carbon derived from LOI using the default factor of "&amp;CARBON_FRACTION_OM&amp;", which has not been calibrated locally. See R1. Reference. ","")&amp;IF(AND(ISNUMBER($O574),$O574=0,ISNUMBER($E574)),"Section lies entirely below the reference depth — it counts to the full-profile stock only. ",""))</f>
        <v/>
      </c>
      <c r="U574" s="14" t="n"/>
    </row>
    <row r="575">
      <c r="A575" s="14" t="n"/>
      <c r="B575" s="14" t="n"/>
      <c r="C575" s="14" t="n"/>
      <c r="D575" s="14" t="n"/>
      <c r="E575" s="14" t="n"/>
      <c r="F575" s="14" t="n"/>
      <c r="G575" s="14">
        <f>IF(OR($E575="",$F575=""),"",$F575-$E575)</f>
        <v/>
      </c>
      <c r="H575" s="14" t="n"/>
      <c r="I575" s="14" t="n"/>
      <c r="J575" s="19" t="n"/>
      <c r="K575" s="19" t="n"/>
      <c r="L575" s="19" t="n"/>
      <c r="M575" s="19" t="n"/>
      <c r="N575" s="18">
        <f>IF($M575&lt;&gt;"",$M575,IF($L575&lt;&gt;"",$L575*CARBON_FRACTION_OM,""))</f>
        <v/>
      </c>
      <c r="O575" s="18">
        <f>IF(OR($E575="",$F575=""),"",MAX(0,MIN($F575,REFERENCE_DEPTH_CM)-MIN($E575,REFERENCE_DEPTH_CM)))</f>
        <v/>
      </c>
      <c r="P575" s="18">
        <f>IF(OR($J575="",$N575="",$G575=""),"",$J575*($N575/100)*$G575*10)</f>
        <v/>
      </c>
      <c r="Q575" s="18">
        <f>IF(OR($J575="",$N575="",$O575=""),"",$J575*($N575/100)*$O575*10)</f>
        <v/>
      </c>
      <c r="R575" s="18">
        <f>IF(OR(NOT(ISNUMBER($P575)),NOT(ISNUMBER($G575)),$G575=0),0,$P575/$G575)</f>
        <v/>
      </c>
      <c r="S575" s="18">
        <f>IF(OR($B575="",NOT(ISNUMBER($F575))),"",SUMIFS('3. Peat Data'!$P$5:$P$604,'3. Peat Data'!$B$5:$B$604,$B575,'3. Peat Data'!$F$5:$F$604,"&lt;="&amp;$F575))</f>
        <v/>
      </c>
      <c r="T575" s="18">
        <f>IF(AND($A575="",$B575="",$E575=""),"",IF(AND($B575&lt;&gt;"",COUNTIF('2. Core Log'!$A$5:$A$124,$B575)=0),"Core ID not in Core Log. ","")&amp;IF(AND($A575&lt;&gt;"",COUNTIF('1. Plot &amp; Site Log'!$A$5:$A$64,$A575)=0),"Plot ID not in Plot &amp; Site Log. ","")&amp;IF(AND(ISNUMBER($E575),ISNUMBER($F575),$F575&lt;=$E575),"Bottom depth is not below top depth. ","")&amp;IF($I575="","Say which bulk-density basis the lab reported. ","")&amp;IF(AND(ISNUMBER($J575),OR($J575&lt;QC_BD_MIN,$J575&gt;QC_BD_MAX)),"Bulk density outside "&amp;QC_BD_MIN&amp;"–"&amp;QC_BD_MAX&amp;" g/cm³ for peat. Above the top of that range usually means the mineral contact has been passed. ","")&amp;IF(AND(ISNUMBER($N575),$N575&gt;QC_CARBON_PCT_MAX),"Carbon above "&amp;QC_CARBON_PCT_MAX&amp;"% — check units; this may be organic matter rather than carbon. ","")&amp;IF(AND($L575&lt;&gt;"",$M575&lt;&gt;""),"Both LOI and measured carbon given — the measured value is used. ","")&amp;IF(AND($M575="",$L575&lt;&gt;"",OM_FACTOR_IS_LOCAL&lt;&gt;"Yes"),"Carbon derived from LOI using the default factor of "&amp;CARBON_FRACTION_OM&amp;", which has not been calibrated locally. See R1. Reference. ","")&amp;IF(AND(ISNUMBER($O575),$O575=0,ISNUMBER($E575)),"Section lies entirely below the reference depth — it counts to the full-profile stock only. ",""))</f>
        <v/>
      </c>
      <c r="U575" s="14" t="n"/>
    </row>
    <row r="576">
      <c r="A576" s="14" t="n"/>
      <c r="B576" s="14" t="n"/>
      <c r="C576" s="14" t="n"/>
      <c r="D576" s="14" t="n"/>
      <c r="E576" s="14" t="n"/>
      <c r="F576" s="14" t="n"/>
      <c r="G576" s="14">
        <f>IF(OR($E576="",$F576=""),"",$F576-$E576)</f>
        <v/>
      </c>
      <c r="H576" s="14" t="n"/>
      <c r="I576" s="14" t="n"/>
      <c r="J576" s="19" t="n"/>
      <c r="K576" s="19" t="n"/>
      <c r="L576" s="19" t="n"/>
      <c r="M576" s="19" t="n"/>
      <c r="N576" s="18">
        <f>IF($M576&lt;&gt;"",$M576,IF($L576&lt;&gt;"",$L576*CARBON_FRACTION_OM,""))</f>
        <v/>
      </c>
      <c r="O576" s="18">
        <f>IF(OR($E576="",$F576=""),"",MAX(0,MIN($F576,REFERENCE_DEPTH_CM)-MIN($E576,REFERENCE_DEPTH_CM)))</f>
        <v/>
      </c>
      <c r="P576" s="18">
        <f>IF(OR($J576="",$N576="",$G576=""),"",$J576*($N576/100)*$G576*10)</f>
        <v/>
      </c>
      <c r="Q576" s="18">
        <f>IF(OR($J576="",$N576="",$O576=""),"",$J576*($N576/100)*$O576*10)</f>
        <v/>
      </c>
      <c r="R576" s="18">
        <f>IF(OR(NOT(ISNUMBER($P576)),NOT(ISNUMBER($G576)),$G576=0),0,$P576/$G576)</f>
        <v/>
      </c>
      <c r="S576" s="18">
        <f>IF(OR($B576="",NOT(ISNUMBER($F576))),"",SUMIFS('3. Peat Data'!$P$5:$P$604,'3. Peat Data'!$B$5:$B$604,$B576,'3. Peat Data'!$F$5:$F$604,"&lt;="&amp;$F576))</f>
        <v/>
      </c>
      <c r="T576" s="18">
        <f>IF(AND($A576="",$B576="",$E576=""),"",IF(AND($B576&lt;&gt;"",COUNTIF('2. Core Log'!$A$5:$A$124,$B576)=0),"Core ID not in Core Log. ","")&amp;IF(AND($A576&lt;&gt;"",COUNTIF('1. Plot &amp; Site Log'!$A$5:$A$64,$A576)=0),"Plot ID not in Plot &amp; Site Log. ","")&amp;IF(AND(ISNUMBER($E576),ISNUMBER($F576),$F576&lt;=$E576),"Bottom depth is not below top depth. ","")&amp;IF($I576="","Say which bulk-density basis the lab reported. ","")&amp;IF(AND(ISNUMBER($J576),OR($J576&lt;QC_BD_MIN,$J576&gt;QC_BD_MAX)),"Bulk density outside "&amp;QC_BD_MIN&amp;"–"&amp;QC_BD_MAX&amp;" g/cm³ for peat. Above the top of that range usually means the mineral contact has been passed. ","")&amp;IF(AND(ISNUMBER($N576),$N576&gt;QC_CARBON_PCT_MAX),"Carbon above "&amp;QC_CARBON_PCT_MAX&amp;"% — check units; this may be organic matter rather than carbon. ","")&amp;IF(AND($L576&lt;&gt;"",$M576&lt;&gt;""),"Both LOI and measured carbon given — the measured value is used. ","")&amp;IF(AND($M576="",$L576&lt;&gt;"",OM_FACTOR_IS_LOCAL&lt;&gt;"Yes"),"Carbon derived from LOI using the default factor of "&amp;CARBON_FRACTION_OM&amp;", which has not been calibrated locally. See R1. Reference. ","")&amp;IF(AND(ISNUMBER($O576),$O576=0,ISNUMBER($E576)),"Section lies entirely below the reference depth — it counts to the full-profile stock only. ",""))</f>
        <v/>
      </c>
      <c r="U576" s="14" t="n"/>
    </row>
    <row r="577">
      <c r="A577" s="14" t="n"/>
      <c r="B577" s="14" t="n"/>
      <c r="C577" s="14" t="n"/>
      <c r="D577" s="14" t="n"/>
      <c r="E577" s="14" t="n"/>
      <c r="F577" s="14" t="n"/>
      <c r="G577" s="14">
        <f>IF(OR($E577="",$F577=""),"",$F577-$E577)</f>
        <v/>
      </c>
      <c r="H577" s="14" t="n"/>
      <c r="I577" s="14" t="n"/>
      <c r="J577" s="19" t="n"/>
      <c r="K577" s="19" t="n"/>
      <c r="L577" s="19" t="n"/>
      <c r="M577" s="19" t="n"/>
      <c r="N577" s="18">
        <f>IF($M577&lt;&gt;"",$M577,IF($L577&lt;&gt;"",$L577*CARBON_FRACTION_OM,""))</f>
        <v/>
      </c>
      <c r="O577" s="18">
        <f>IF(OR($E577="",$F577=""),"",MAX(0,MIN($F577,REFERENCE_DEPTH_CM)-MIN($E577,REFERENCE_DEPTH_CM)))</f>
        <v/>
      </c>
      <c r="P577" s="18">
        <f>IF(OR($J577="",$N577="",$G577=""),"",$J577*($N577/100)*$G577*10)</f>
        <v/>
      </c>
      <c r="Q577" s="18">
        <f>IF(OR($J577="",$N577="",$O577=""),"",$J577*($N577/100)*$O577*10)</f>
        <v/>
      </c>
      <c r="R577" s="18">
        <f>IF(OR(NOT(ISNUMBER($P577)),NOT(ISNUMBER($G577)),$G577=0),0,$P577/$G577)</f>
        <v/>
      </c>
      <c r="S577" s="18">
        <f>IF(OR($B577="",NOT(ISNUMBER($F577))),"",SUMIFS('3. Peat Data'!$P$5:$P$604,'3. Peat Data'!$B$5:$B$604,$B577,'3. Peat Data'!$F$5:$F$604,"&lt;="&amp;$F577))</f>
        <v/>
      </c>
      <c r="T577" s="18">
        <f>IF(AND($A577="",$B577="",$E577=""),"",IF(AND($B577&lt;&gt;"",COUNTIF('2. Core Log'!$A$5:$A$124,$B577)=0),"Core ID not in Core Log. ","")&amp;IF(AND($A577&lt;&gt;"",COUNTIF('1. Plot &amp; Site Log'!$A$5:$A$64,$A577)=0),"Plot ID not in Plot &amp; Site Log. ","")&amp;IF(AND(ISNUMBER($E577),ISNUMBER($F577),$F577&lt;=$E577),"Bottom depth is not below top depth. ","")&amp;IF($I577="","Say which bulk-density basis the lab reported. ","")&amp;IF(AND(ISNUMBER($J577),OR($J577&lt;QC_BD_MIN,$J577&gt;QC_BD_MAX)),"Bulk density outside "&amp;QC_BD_MIN&amp;"–"&amp;QC_BD_MAX&amp;" g/cm³ for peat. Above the top of that range usually means the mineral contact has been passed. ","")&amp;IF(AND(ISNUMBER($N577),$N577&gt;QC_CARBON_PCT_MAX),"Carbon above "&amp;QC_CARBON_PCT_MAX&amp;"% — check units; this may be organic matter rather than carbon. ","")&amp;IF(AND($L577&lt;&gt;"",$M577&lt;&gt;""),"Both LOI and measured carbon given — the measured value is used. ","")&amp;IF(AND($M577="",$L577&lt;&gt;"",OM_FACTOR_IS_LOCAL&lt;&gt;"Yes"),"Carbon derived from LOI using the default factor of "&amp;CARBON_FRACTION_OM&amp;", which has not been calibrated locally. See R1. Reference. ","")&amp;IF(AND(ISNUMBER($O577),$O577=0,ISNUMBER($E577)),"Section lies entirely below the reference depth — it counts to the full-profile stock only. ",""))</f>
        <v/>
      </c>
      <c r="U577" s="14" t="n"/>
    </row>
    <row r="578">
      <c r="A578" s="14" t="n"/>
      <c r="B578" s="14" t="n"/>
      <c r="C578" s="14" t="n"/>
      <c r="D578" s="14" t="n"/>
      <c r="E578" s="14" t="n"/>
      <c r="F578" s="14" t="n"/>
      <c r="G578" s="14">
        <f>IF(OR($E578="",$F578=""),"",$F578-$E578)</f>
        <v/>
      </c>
      <c r="H578" s="14" t="n"/>
      <c r="I578" s="14" t="n"/>
      <c r="J578" s="19" t="n"/>
      <c r="K578" s="19" t="n"/>
      <c r="L578" s="19" t="n"/>
      <c r="M578" s="19" t="n"/>
      <c r="N578" s="18">
        <f>IF($M578&lt;&gt;"",$M578,IF($L578&lt;&gt;"",$L578*CARBON_FRACTION_OM,""))</f>
        <v/>
      </c>
      <c r="O578" s="18">
        <f>IF(OR($E578="",$F578=""),"",MAX(0,MIN($F578,REFERENCE_DEPTH_CM)-MIN($E578,REFERENCE_DEPTH_CM)))</f>
        <v/>
      </c>
      <c r="P578" s="18">
        <f>IF(OR($J578="",$N578="",$G578=""),"",$J578*($N578/100)*$G578*10)</f>
        <v/>
      </c>
      <c r="Q578" s="18">
        <f>IF(OR($J578="",$N578="",$O578=""),"",$J578*($N578/100)*$O578*10)</f>
        <v/>
      </c>
      <c r="R578" s="18">
        <f>IF(OR(NOT(ISNUMBER($P578)),NOT(ISNUMBER($G578)),$G578=0),0,$P578/$G578)</f>
        <v/>
      </c>
      <c r="S578" s="18">
        <f>IF(OR($B578="",NOT(ISNUMBER($F578))),"",SUMIFS('3. Peat Data'!$P$5:$P$604,'3. Peat Data'!$B$5:$B$604,$B578,'3. Peat Data'!$F$5:$F$604,"&lt;="&amp;$F578))</f>
        <v/>
      </c>
      <c r="T578" s="18">
        <f>IF(AND($A578="",$B578="",$E578=""),"",IF(AND($B578&lt;&gt;"",COUNTIF('2. Core Log'!$A$5:$A$124,$B578)=0),"Core ID not in Core Log. ","")&amp;IF(AND($A578&lt;&gt;"",COUNTIF('1. Plot &amp; Site Log'!$A$5:$A$64,$A578)=0),"Plot ID not in Plot &amp; Site Log. ","")&amp;IF(AND(ISNUMBER($E578),ISNUMBER($F578),$F578&lt;=$E578),"Bottom depth is not below top depth. ","")&amp;IF($I578="","Say which bulk-density basis the lab reported. ","")&amp;IF(AND(ISNUMBER($J578),OR($J578&lt;QC_BD_MIN,$J578&gt;QC_BD_MAX)),"Bulk density outside "&amp;QC_BD_MIN&amp;"–"&amp;QC_BD_MAX&amp;" g/cm³ for peat. Above the top of that range usually means the mineral contact has been passed. ","")&amp;IF(AND(ISNUMBER($N578),$N578&gt;QC_CARBON_PCT_MAX),"Carbon above "&amp;QC_CARBON_PCT_MAX&amp;"% — check units; this may be organic matter rather than carbon. ","")&amp;IF(AND($L578&lt;&gt;"",$M578&lt;&gt;""),"Both LOI and measured carbon given — the measured value is used. ","")&amp;IF(AND($M578="",$L578&lt;&gt;"",OM_FACTOR_IS_LOCAL&lt;&gt;"Yes"),"Carbon derived from LOI using the default factor of "&amp;CARBON_FRACTION_OM&amp;", which has not been calibrated locally. See R1. Reference. ","")&amp;IF(AND(ISNUMBER($O578),$O578=0,ISNUMBER($E578)),"Section lies entirely below the reference depth — it counts to the full-profile stock only. ",""))</f>
        <v/>
      </c>
      <c r="U578" s="14" t="n"/>
    </row>
    <row r="579">
      <c r="A579" s="14" t="n"/>
      <c r="B579" s="14" t="n"/>
      <c r="C579" s="14" t="n"/>
      <c r="D579" s="14" t="n"/>
      <c r="E579" s="14" t="n"/>
      <c r="F579" s="14" t="n"/>
      <c r="G579" s="14">
        <f>IF(OR($E579="",$F579=""),"",$F579-$E579)</f>
        <v/>
      </c>
      <c r="H579" s="14" t="n"/>
      <c r="I579" s="14" t="n"/>
      <c r="J579" s="19" t="n"/>
      <c r="K579" s="19" t="n"/>
      <c r="L579" s="19" t="n"/>
      <c r="M579" s="19" t="n"/>
      <c r="N579" s="18">
        <f>IF($M579&lt;&gt;"",$M579,IF($L579&lt;&gt;"",$L579*CARBON_FRACTION_OM,""))</f>
        <v/>
      </c>
      <c r="O579" s="18">
        <f>IF(OR($E579="",$F579=""),"",MAX(0,MIN($F579,REFERENCE_DEPTH_CM)-MIN($E579,REFERENCE_DEPTH_CM)))</f>
        <v/>
      </c>
      <c r="P579" s="18">
        <f>IF(OR($J579="",$N579="",$G579=""),"",$J579*($N579/100)*$G579*10)</f>
        <v/>
      </c>
      <c r="Q579" s="18">
        <f>IF(OR($J579="",$N579="",$O579=""),"",$J579*($N579/100)*$O579*10)</f>
        <v/>
      </c>
      <c r="R579" s="18">
        <f>IF(OR(NOT(ISNUMBER($P579)),NOT(ISNUMBER($G579)),$G579=0),0,$P579/$G579)</f>
        <v/>
      </c>
      <c r="S579" s="18">
        <f>IF(OR($B579="",NOT(ISNUMBER($F579))),"",SUMIFS('3. Peat Data'!$P$5:$P$604,'3. Peat Data'!$B$5:$B$604,$B579,'3. Peat Data'!$F$5:$F$604,"&lt;="&amp;$F579))</f>
        <v/>
      </c>
      <c r="T579" s="18">
        <f>IF(AND($A579="",$B579="",$E579=""),"",IF(AND($B579&lt;&gt;"",COUNTIF('2. Core Log'!$A$5:$A$124,$B579)=0),"Core ID not in Core Log. ","")&amp;IF(AND($A579&lt;&gt;"",COUNTIF('1. Plot &amp; Site Log'!$A$5:$A$64,$A579)=0),"Plot ID not in Plot &amp; Site Log. ","")&amp;IF(AND(ISNUMBER($E579),ISNUMBER($F579),$F579&lt;=$E579),"Bottom depth is not below top depth. ","")&amp;IF($I579="","Say which bulk-density basis the lab reported. ","")&amp;IF(AND(ISNUMBER($J579),OR($J579&lt;QC_BD_MIN,$J579&gt;QC_BD_MAX)),"Bulk density outside "&amp;QC_BD_MIN&amp;"–"&amp;QC_BD_MAX&amp;" g/cm³ for peat. Above the top of that range usually means the mineral contact has been passed. ","")&amp;IF(AND(ISNUMBER($N579),$N579&gt;QC_CARBON_PCT_MAX),"Carbon above "&amp;QC_CARBON_PCT_MAX&amp;"% — check units; this may be organic matter rather than carbon. ","")&amp;IF(AND($L579&lt;&gt;"",$M579&lt;&gt;""),"Both LOI and measured carbon given — the measured value is used. ","")&amp;IF(AND($M579="",$L579&lt;&gt;"",OM_FACTOR_IS_LOCAL&lt;&gt;"Yes"),"Carbon derived from LOI using the default factor of "&amp;CARBON_FRACTION_OM&amp;", which has not been calibrated locally. See R1. Reference. ","")&amp;IF(AND(ISNUMBER($O579),$O579=0,ISNUMBER($E579)),"Section lies entirely below the reference depth — it counts to the full-profile stock only. ",""))</f>
        <v/>
      </c>
      <c r="U579" s="14" t="n"/>
    </row>
    <row r="580">
      <c r="A580" s="14" t="n"/>
      <c r="B580" s="14" t="n"/>
      <c r="C580" s="14" t="n"/>
      <c r="D580" s="14" t="n"/>
      <c r="E580" s="14" t="n"/>
      <c r="F580" s="14" t="n"/>
      <c r="G580" s="14">
        <f>IF(OR($E580="",$F580=""),"",$F580-$E580)</f>
        <v/>
      </c>
      <c r="H580" s="14" t="n"/>
      <c r="I580" s="14" t="n"/>
      <c r="J580" s="19" t="n"/>
      <c r="K580" s="19" t="n"/>
      <c r="L580" s="19" t="n"/>
      <c r="M580" s="19" t="n"/>
      <c r="N580" s="18">
        <f>IF($M580&lt;&gt;"",$M580,IF($L580&lt;&gt;"",$L580*CARBON_FRACTION_OM,""))</f>
        <v/>
      </c>
      <c r="O580" s="18">
        <f>IF(OR($E580="",$F580=""),"",MAX(0,MIN($F580,REFERENCE_DEPTH_CM)-MIN($E580,REFERENCE_DEPTH_CM)))</f>
        <v/>
      </c>
      <c r="P580" s="18">
        <f>IF(OR($J580="",$N580="",$G580=""),"",$J580*($N580/100)*$G580*10)</f>
        <v/>
      </c>
      <c r="Q580" s="18">
        <f>IF(OR($J580="",$N580="",$O580=""),"",$J580*($N580/100)*$O580*10)</f>
        <v/>
      </c>
      <c r="R580" s="18">
        <f>IF(OR(NOT(ISNUMBER($P580)),NOT(ISNUMBER($G580)),$G580=0),0,$P580/$G580)</f>
        <v/>
      </c>
      <c r="S580" s="18">
        <f>IF(OR($B580="",NOT(ISNUMBER($F580))),"",SUMIFS('3. Peat Data'!$P$5:$P$604,'3. Peat Data'!$B$5:$B$604,$B580,'3. Peat Data'!$F$5:$F$604,"&lt;="&amp;$F580))</f>
        <v/>
      </c>
      <c r="T580" s="18">
        <f>IF(AND($A580="",$B580="",$E580=""),"",IF(AND($B580&lt;&gt;"",COUNTIF('2. Core Log'!$A$5:$A$124,$B580)=0),"Core ID not in Core Log. ","")&amp;IF(AND($A580&lt;&gt;"",COUNTIF('1. Plot &amp; Site Log'!$A$5:$A$64,$A580)=0),"Plot ID not in Plot &amp; Site Log. ","")&amp;IF(AND(ISNUMBER($E580),ISNUMBER($F580),$F580&lt;=$E580),"Bottom depth is not below top depth. ","")&amp;IF($I580="","Say which bulk-density basis the lab reported. ","")&amp;IF(AND(ISNUMBER($J580),OR($J580&lt;QC_BD_MIN,$J580&gt;QC_BD_MAX)),"Bulk density outside "&amp;QC_BD_MIN&amp;"–"&amp;QC_BD_MAX&amp;" g/cm³ for peat. Above the top of that range usually means the mineral contact has been passed. ","")&amp;IF(AND(ISNUMBER($N580),$N580&gt;QC_CARBON_PCT_MAX),"Carbon above "&amp;QC_CARBON_PCT_MAX&amp;"% — check units; this may be organic matter rather than carbon. ","")&amp;IF(AND($L580&lt;&gt;"",$M580&lt;&gt;""),"Both LOI and measured carbon given — the measured value is used. ","")&amp;IF(AND($M580="",$L580&lt;&gt;"",OM_FACTOR_IS_LOCAL&lt;&gt;"Yes"),"Carbon derived from LOI using the default factor of "&amp;CARBON_FRACTION_OM&amp;", which has not been calibrated locally. See R1. Reference. ","")&amp;IF(AND(ISNUMBER($O580),$O580=0,ISNUMBER($E580)),"Section lies entirely below the reference depth — it counts to the full-profile stock only. ",""))</f>
        <v/>
      </c>
      <c r="U580" s="14" t="n"/>
    </row>
    <row r="581">
      <c r="A581" s="14" t="n"/>
      <c r="B581" s="14" t="n"/>
      <c r="C581" s="14" t="n"/>
      <c r="D581" s="14" t="n"/>
      <c r="E581" s="14" t="n"/>
      <c r="F581" s="14" t="n"/>
      <c r="G581" s="14">
        <f>IF(OR($E581="",$F581=""),"",$F581-$E581)</f>
        <v/>
      </c>
      <c r="H581" s="14" t="n"/>
      <c r="I581" s="14" t="n"/>
      <c r="J581" s="19" t="n"/>
      <c r="K581" s="19" t="n"/>
      <c r="L581" s="19" t="n"/>
      <c r="M581" s="19" t="n"/>
      <c r="N581" s="18">
        <f>IF($M581&lt;&gt;"",$M581,IF($L581&lt;&gt;"",$L581*CARBON_FRACTION_OM,""))</f>
        <v/>
      </c>
      <c r="O581" s="18">
        <f>IF(OR($E581="",$F581=""),"",MAX(0,MIN($F581,REFERENCE_DEPTH_CM)-MIN($E581,REFERENCE_DEPTH_CM)))</f>
        <v/>
      </c>
      <c r="P581" s="18">
        <f>IF(OR($J581="",$N581="",$G581=""),"",$J581*($N581/100)*$G581*10)</f>
        <v/>
      </c>
      <c r="Q581" s="18">
        <f>IF(OR($J581="",$N581="",$O581=""),"",$J581*($N581/100)*$O581*10)</f>
        <v/>
      </c>
      <c r="R581" s="18">
        <f>IF(OR(NOT(ISNUMBER($P581)),NOT(ISNUMBER($G581)),$G581=0),0,$P581/$G581)</f>
        <v/>
      </c>
      <c r="S581" s="18">
        <f>IF(OR($B581="",NOT(ISNUMBER($F581))),"",SUMIFS('3. Peat Data'!$P$5:$P$604,'3. Peat Data'!$B$5:$B$604,$B581,'3. Peat Data'!$F$5:$F$604,"&lt;="&amp;$F581))</f>
        <v/>
      </c>
      <c r="T581" s="18">
        <f>IF(AND($A581="",$B581="",$E581=""),"",IF(AND($B581&lt;&gt;"",COUNTIF('2. Core Log'!$A$5:$A$124,$B581)=0),"Core ID not in Core Log. ","")&amp;IF(AND($A581&lt;&gt;"",COUNTIF('1. Plot &amp; Site Log'!$A$5:$A$64,$A581)=0),"Plot ID not in Plot &amp; Site Log. ","")&amp;IF(AND(ISNUMBER($E581),ISNUMBER($F581),$F581&lt;=$E581),"Bottom depth is not below top depth. ","")&amp;IF($I581="","Say which bulk-density basis the lab reported. ","")&amp;IF(AND(ISNUMBER($J581),OR($J581&lt;QC_BD_MIN,$J581&gt;QC_BD_MAX)),"Bulk density outside "&amp;QC_BD_MIN&amp;"–"&amp;QC_BD_MAX&amp;" g/cm³ for peat. Above the top of that range usually means the mineral contact has been passed. ","")&amp;IF(AND(ISNUMBER($N581),$N581&gt;QC_CARBON_PCT_MAX),"Carbon above "&amp;QC_CARBON_PCT_MAX&amp;"% — check units; this may be organic matter rather than carbon. ","")&amp;IF(AND($L581&lt;&gt;"",$M581&lt;&gt;""),"Both LOI and measured carbon given — the measured value is used. ","")&amp;IF(AND($M581="",$L581&lt;&gt;"",OM_FACTOR_IS_LOCAL&lt;&gt;"Yes"),"Carbon derived from LOI using the default factor of "&amp;CARBON_FRACTION_OM&amp;", which has not been calibrated locally. See R1. Reference. ","")&amp;IF(AND(ISNUMBER($O581),$O581=0,ISNUMBER($E581)),"Section lies entirely below the reference depth — it counts to the full-profile stock only. ",""))</f>
        <v/>
      </c>
      <c r="U581" s="14" t="n"/>
    </row>
    <row r="582">
      <c r="A582" s="14" t="n"/>
      <c r="B582" s="14" t="n"/>
      <c r="C582" s="14" t="n"/>
      <c r="D582" s="14" t="n"/>
      <c r="E582" s="14" t="n"/>
      <c r="F582" s="14" t="n"/>
      <c r="G582" s="14">
        <f>IF(OR($E582="",$F582=""),"",$F582-$E582)</f>
        <v/>
      </c>
      <c r="H582" s="14" t="n"/>
      <c r="I582" s="14" t="n"/>
      <c r="J582" s="19" t="n"/>
      <c r="K582" s="19" t="n"/>
      <c r="L582" s="19" t="n"/>
      <c r="M582" s="19" t="n"/>
      <c r="N582" s="18">
        <f>IF($M582&lt;&gt;"",$M582,IF($L582&lt;&gt;"",$L582*CARBON_FRACTION_OM,""))</f>
        <v/>
      </c>
      <c r="O582" s="18">
        <f>IF(OR($E582="",$F582=""),"",MAX(0,MIN($F582,REFERENCE_DEPTH_CM)-MIN($E582,REFERENCE_DEPTH_CM)))</f>
        <v/>
      </c>
      <c r="P582" s="18">
        <f>IF(OR($J582="",$N582="",$G582=""),"",$J582*($N582/100)*$G582*10)</f>
        <v/>
      </c>
      <c r="Q582" s="18">
        <f>IF(OR($J582="",$N582="",$O582=""),"",$J582*($N582/100)*$O582*10)</f>
        <v/>
      </c>
      <c r="R582" s="18">
        <f>IF(OR(NOT(ISNUMBER($P582)),NOT(ISNUMBER($G582)),$G582=0),0,$P582/$G582)</f>
        <v/>
      </c>
      <c r="S582" s="18">
        <f>IF(OR($B582="",NOT(ISNUMBER($F582))),"",SUMIFS('3. Peat Data'!$P$5:$P$604,'3. Peat Data'!$B$5:$B$604,$B582,'3. Peat Data'!$F$5:$F$604,"&lt;="&amp;$F582))</f>
        <v/>
      </c>
      <c r="T582" s="18">
        <f>IF(AND($A582="",$B582="",$E582=""),"",IF(AND($B582&lt;&gt;"",COUNTIF('2. Core Log'!$A$5:$A$124,$B582)=0),"Core ID not in Core Log. ","")&amp;IF(AND($A582&lt;&gt;"",COUNTIF('1. Plot &amp; Site Log'!$A$5:$A$64,$A582)=0),"Plot ID not in Plot &amp; Site Log. ","")&amp;IF(AND(ISNUMBER($E582),ISNUMBER($F582),$F582&lt;=$E582),"Bottom depth is not below top depth. ","")&amp;IF($I582="","Say which bulk-density basis the lab reported. ","")&amp;IF(AND(ISNUMBER($J582),OR($J582&lt;QC_BD_MIN,$J582&gt;QC_BD_MAX)),"Bulk density outside "&amp;QC_BD_MIN&amp;"–"&amp;QC_BD_MAX&amp;" g/cm³ for peat. Above the top of that range usually means the mineral contact has been passed. ","")&amp;IF(AND(ISNUMBER($N582),$N582&gt;QC_CARBON_PCT_MAX),"Carbon above "&amp;QC_CARBON_PCT_MAX&amp;"% — check units; this may be organic matter rather than carbon. ","")&amp;IF(AND($L582&lt;&gt;"",$M582&lt;&gt;""),"Both LOI and measured carbon given — the measured value is used. ","")&amp;IF(AND($M582="",$L582&lt;&gt;"",OM_FACTOR_IS_LOCAL&lt;&gt;"Yes"),"Carbon derived from LOI using the default factor of "&amp;CARBON_FRACTION_OM&amp;", which has not been calibrated locally. See R1. Reference. ","")&amp;IF(AND(ISNUMBER($O582),$O582=0,ISNUMBER($E582)),"Section lies entirely below the reference depth — it counts to the full-profile stock only. ",""))</f>
        <v/>
      </c>
      <c r="U582" s="14" t="n"/>
    </row>
    <row r="583">
      <c r="A583" s="14" t="n"/>
      <c r="B583" s="14" t="n"/>
      <c r="C583" s="14" t="n"/>
      <c r="D583" s="14" t="n"/>
      <c r="E583" s="14" t="n"/>
      <c r="F583" s="14" t="n"/>
      <c r="G583" s="14">
        <f>IF(OR($E583="",$F583=""),"",$F583-$E583)</f>
        <v/>
      </c>
      <c r="H583" s="14" t="n"/>
      <c r="I583" s="14" t="n"/>
      <c r="J583" s="19" t="n"/>
      <c r="K583" s="19" t="n"/>
      <c r="L583" s="19" t="n"/>
      <c r="M583" s="19" t="n"/>
      <c r="N583" s="18">
        <f>IF($M583&lt;&gt;"",$M583,IF($L583&lt;&gt;"",$L583*CARBON_FRACTION_OM,""))</f>
        <v/>
      </c>
      <c r="O583" s="18">
        <f>IF(OR($E583="",$F583=""),"",MAX(0,MIN($F583,REFERENCE_DEPTH_CM)-MIN($E583,REFERENCE_DEPTH_CM)))</f>
        <v/>
      </c>
      <c r="P583" s="18">
        <f>IF(OR($J583="",$N583="",$G583=""),"",$J583*($N583/100)*$G583*10)</f>
        <v/>
      </c>
      <c r="Q583" s="18">
        <f>IF(OR($J583="",$N583="",$O583=""),"",$J583*($N583/100)*$O583*10)</f>
        <v/>
      </c>
      <c r="R583" s="18">
        <f>IF(OR(NOT(ISNUMBER($P583)),NOT(ISNUMBER($G583)),$G583=0),0,$P583/$G583)</f>
        <v/>
      </c>
      <c r="S583" s="18">
        <f>IF(OR($B583="",NOT(ISNUMBER($F583))),"",SUMIFS('3. Peat Data'!$P$5:$P$604,'3. Peat Data'!$B$5:$B$604,$B583,'3. Peat Data'!$F$5:$F$604,"&lt;="&amp;$F583))</f>
        <v/>
      </c>
      <c r="T583" s="18">
        <f>IF(AND($A583="",$B583="",$E583=""),"",IF(AND($B583&lt;&gt;"",COUNTIF('2. Core Log'!$A$5:$A$124,$B583)=0),"Core ID not in Core Log. ","")&amp;IF(AND($A583&lt;&gt;"",COUNTIF('1. Plot &amp; Site Log'!$A$5:$A$64,$A583)=0),"Plot ID not in Plot &amp; Site Log. ","")&amp;IF(AND(ISNUMBER($E583),ISNUMBER($F583),$F583&lt;=$E583),"Bottom depth is not below top depth. ","")&amp;IF($I583="","Say which bulk-density basis the lab reported. ","")&amp;IF(AND(ISNUMBER($J583),OR($J583&lt;QC_BD_MIN,$J583&gt;QC_BD_MAX)),"Bulk density outside "&amp;QC_BD_MIN&amp;"–"&amp;QC_BD_MAX&amp;" g/cm³ for peat. Above the top of that range usually means the mineral contact has been passed. ","")&amp;IF(AND(ISNUMBER($N583),$N583&gt;QC_CARBON_PCT_MAX),"Carbon above "&amp;QC_CARBON_PCT_MAX&amp;"% — check units; this may be organic matter rather than carbon. ","")&amp;IF(AND($L583&lt;&gt;"",$M583&lt;&gt;""),"Both LOI and measured carbon given — the measured value is used. ","")&amp;IF(AND($M583="",$L583&lt;&gt;"",OM_FACTOR_IS_LOCAL&lt;&gt;"Yes"),"Carbon derived from LOI using the default factor of "&amp;CARBON_FRACTION_OM&amp;", which has not been calibrated locally. See R1. Reference. ","")&amp;IF(AND(ISNUMBER($O583),$O583=0,ISNUMBER($E583)),"Section lies entirely below the reference depth — it counts to the full-profile stock only. ",""))</f>
        <v/>
      </c>
      <c r="U583" s="14" t="n"/>
    </row>
    <row r="584">
      <c r="A584" s="14" t="n"/>
      <c r="B584" s="14" t="n"/>
      <c r="C584" s="14" t="n"/>
      <c r="D584" s="14" t="n"/>
      <c r="E584" s="14" t="n"/>
      <c r="F584" s="14" t="n"/>
      <c r="G584" s="14">
        <f>IF(OR($E584="",$F584=""),"",$F584-$E584)</f>
        <v/>
      </c>
      <c r="H584" s="14" t="n"/>
      <c r="I584" s="14" t="n"/>
      <c r="J584" s="19" t="n"/>
      <c r="K584" s="19" t="n"/>
      <c r="L584" s="19" t="n"/>
      <c r="M584" s="19" t="n"/>
      <c r="N584" s="18">
        <f>IF($M584&lt;&gt;"",$M584,IF($L584&lt;&gt;"",$L584*CARBON_FRACTION_OM,""))</f>
        <v/>
      </c>
      <c r="O584" s="18">
        <f>IF(OR($E584="",$F584=""),"",MAX(0,MIN($F584,REFERENCE_DEPTH_CM)-MIN($E584,REFERENCE_DEPTH_CM)))</f>
        <v/>
      </c>
      <c r="P584" s="18">
        <f>IF(OR($J584="",$N584="",$G584=""),"",$J584*($N584/100)*$G584*10)</f>
        <v/>
      </c>
      <c r="Q584" s="18">
        <f>IF(OR($J584="",$N584="",$O584=""),"",$J584*($N584/100)*$O584*10)</f>
        <v/>
      </c>
      <c r="R584" s="18">
        <f>IF(OR(NOT(ISNUMBER($P584)),NOT(ISNUMBER($G584)),$G584=0),0,$P584/$G584)</f>
        <v/>
      </c>
      <c r="S584" s="18">
        <f>IF(OR($B584="",NOT(ISNUMBER($F584))),"",SUMIFS('3. Peat Data'!$P$5:$P$604,'3. Peat Data'!$B$5:$B$604,$B584,'3. Peat Data'!$F$5:$F$604,"&lt;="&amp;$F584))</f>
        <v/>
      </c>
      <c r="T584" s="18">
        <f>IF(AND($A584="",$B584="",$E584=""),"",IF(AND($B584&lt;&gt;"",COUNTIF('2. Core Log'!$A$5:$A$124,$B584)=0),"Core ID not in Core Log. ","")&amp;IF(AND($A584&lt;&gt;"",COUNTIF('1. Plot &amp; Site Log'!$A$5:$A$64,$A584)=0),"Plot ID not in Plot &amp; Site Log. ","")&amp;IF(AND(ISNUMBER($E584),ISNUMBER($F584),$F584&lt;=$E584),"Bottom depth is not below top depth. ","")&amp;IF($I584="","Say which bulk-density basis the lab reported. ","")&amp;IF(AND(ISNUMBER($J584),OR($J584&lt;QC_BD_MIN,$J584&gt;QC_BD_MAX)),"Bulk density outside "&amp;QC_BD_MIN&amp;"–"&amp;QC_BD_MAX&amp;" g/cm³ for peat. Above the top of that range usually means the mineral contact has been passed. ","")&amp;IF(AND(ISNUMBER($N584),$N584&gt;QC_CARBON_PCT_MAX),"Carbon above "&amp;QC_CARBON_PCT_MAX&amp;"% — check units; this may be organic matter rather than carbon. ","")&amp;IF(AND($L584&lt;&gt;"",$M584&lt;&gt;""),"Both LOI and measured carbon given — the measured value is used. ","")&amp;IF(AND($M584="",$L584&lt;&gt;"",OM_FACTOR_IS_LOCAL&lt;&gt;"Yes"),"Carbon derived from LOI using the default factor of "&amp;CARBON_FRACTION_OM&amp;", which has not been calibrated locally. See R1. Reference. ","")&amp;IF(AND(ISNUMBER($O584),$O584=0,ISNUMBER($E584)),"Section lies entirely below the reference depth — it counts to the full-profile stock only. ",""))</f>
        <v/>
      </c>
      <c r="U584" s="14" t="n"/>
    </row>
    <row r="585">
      <c r="A585" s="14" t="n"/>
      <c r="B585" s="14" t="n"/>
      <c r="C585" s="14" t="n"/>
      <c r="D585" s="14" t="n"/>
      <c r="E585" s="14" t="n"/>
      <c r="F585" s="14" t="n"/>
      <c r="G585" s="14">
        <f>IF(OR($E585="",$F585=""),"",$F585-$E585)</f>
        <v/>
      </c>
      <c r="H585" s="14" t="n"/>
      <c r="I585" s="14" t="n"/>
      <c r="J585" s="19" t="n"/>
      <c r="K585" s="19" t="n"/>
      <c r="L585" s="19" t="n"/>
      <c r="M585" s="19" t="n"/>
      <c r="N585" s="18">
        <f>IF($M585&lt;&gt;"",$M585,IF($L585&lt;&gt;"",$L585*CARBON_FRACTION_OM,""))</f>
        <v/>
      </c>
      <c r="O585" s="18">
        <f>IF(OR($E585="",$F585=""),"",MAX(0,MIN($F585,REFERENCE_DEPTH_CM)-MIN($E585,REFERENCE_DEPTH_CM)))</f>
        <v/>
      </c>
      <c r="P585" s="18">
        <f>IF(OR($J585="",$N585="",$G585=""),"",$J585*($N585/100)*$G585*10)</f>
        <v/>
      </c>
      <c r="Q585" s="18">
        <f>IF(OR($J585="",$N585="",$O585=""),"",$J585*($N585/100)*$O585*10)</f>
        <v/>
      </c>
      <c r="R585" s="18">
        <f>IF(OR(NOT(ISNUMBER($P585)),NOT(ISNUMBER($G585)),$G585=0),0,$P585/$G585)</f>
        <v/>
      </c>
      <c r="S585" s="18">
        <f>IF(OR($B585="",NOT(ISNUMBER($F585))),"",SUMIFS('3. Peat Data'!$P$5:$P$604,'3. Peat Data'!$B$5:$B$604,$B585,'3. Peat Data'!$F$5:$F$604,"&lt;="&amp;$F585))</f>
        <v/>
      </c>
      <c r="T585" s="18">
        <f>IF(AND($A585="",$B585="",$E585=""),"",IF(AND($B585&lt;&gt;"",COUNTIF('2. Core Log'!$A$5:$A$124,$B585)=0),"Core ID not in Core Log. ","")&amp;IF(AND($A585&lt;&gt;"",COUNTIF('1. Plot &amp; Site Log'!$A$5:$A$64,$A585)=0),"Plot ID not in Plot &amp; Site Log. ","")&amp;IF(AND(ISNUMBER($E585),ISNUMBER($F585),$F585&lt;=$E585),"Bottom depth is not below top depth. ","")&amp;IF($I585="","Say which bulk-density basis the lab reported. ","")&amp;IF(AND(ISNUMBER($J585),OR($J585&lt;QC_BD_MIN,$J585&gt;QC_BD_MAX)),"Bulk density outside "&amp;QC_BD_MIN&amp;"–"&amp;QC_BD_MAX&amp;" g/cm³ for peat. Above the top of that range usually means the mineral contact has been passed. ","")&amp;IF(AND(ISNUMBER($N585),$N585&gt;QC_CARBON_PCT_MAX),"Carbon above "&amp;QC_CARBON_PCT_MAX&amp;"% — check units; this may be organic matter rather than carbon. ","")&amp;IF(AND($L585&lt;&gt;"",$M585&lt;&gt;""),"Both LOI and measured carbon given — the measured value is used. ","")&amp;IF(AND($M585="",$L585&lt;&gt;"",OM_FACTOR_IS_LOCAL&lt;&gt;"Yes"),"Carbon derived from LOI using the default factor of "&amp;CARBON_FRACTION_OM&amp;", which has not been calibrated locally. See R1. Reference. ","")&amp;IF(AND(ISNUMBER($O585),$O585=0,ISNUMBER($E585)),"Section lies entirely below the reference depth — it counts to the full-profile stock only. ",""))</f>
        <v/>
      </c>
      <c r="U585" s="14" t="n"/>
    </row>
    <row r="586">
      <c r="A586" s="14" t="n"/>
      <c r="B586" s="14" t="n"/>
      <c r="C586" s="14" t="n"/>
      <c r="D586" s="14" t="n"/>
      <c r="E586" s="14" t="n"/>
      <c r="F586" s="14" t="n"/>
      <c r="G586" s="14">
        <f>IF(OR($E586="",$F586=""),"",$F586-$E586)</f>
        <v/>
      </c>
      <c r="H586" s="14" t="n"/>
      <c r="I586" s="14" t="n"/>
      <c r="J586" s="19" t="n"/>
      <c r="K586" s="19" t="n"/>
      <c r="L586" s="19" t="n"/>
      <c r="M586" s="19" t="n"/>
      <c r="N586" s="18">
        <f>IF($M586&lt;&gt;"",$M586,IF($L586&lt;&gt;"",$L586*CARBON_FRACTION_OM,""))</f>
        <v/>
      </c>
      <c r="O586" s="18">
        <f>IF(OR($E586="",$F586=""),"",MAX(0,MIN($F586,REFERENCE_DEPTH_CM)-MIN($E586,REFERENCE_DEPTH_CM)))</f>
        <v/>
      </c>
      <c r="P586" s="18">
        <f>IF(OR($J586="",$N586="",$G586=""),"",$J586*($N586/100)*$G586*10)</f>
        <v/>
      </c>
      <c r="Q586" s="18">
        <f>IF(OR($J586="",$N586="",$O586=""),"",$J586*($N586/100)*$O586*10)</f>
        <v/>
      </c>
      <c r="R586" s="18">
        <f>IF(OR(NOT(ISNUMBER($P586)),NOT(ISNUMBER($G586)),$G586=0),0,$P586/$G586)</f>
        <v/>
      </c>
      <c r="S586" s="18">
        <f>IF(OR($B586="",NOT(ISNUMBER($F586))),"",SUMIFS('3. Peat Data'!$P$5:$P$604,'3. Peat Data'!$B$5:$B$604,$B586,'3. Peat Data'!$F$5:$F$604,"&lt;="&amp;$F586))</f>
        <v/>
      </c>
      <c r="T586" s="18">
        <f>IF(AND($A586="",$B586="",$E586=""),"",IF(AND($B586&lt;&gt;"",COUNTIF('2. Core Log'!$A$5:$A$124,$B586)=0),"Core ID not in Core Log. ","")&amp;IF(AND($A586&lt;&gt;"",COUNTIF('1. Plot &amp; Site Log'!$A$5:$A$64,$A586)=0),"Plot ID not in Plot &amp; Site Log. ","")&amp;IF(AND(ISNUMBER($E586),ISNUMBER($F586),$F586&lt;=$E586),"Bottom depth is not below top depth. ","")&amp;IF($I586="","Say which bulk-density basis the lab reported. ","")&amp;IF(AND(ISNUMBER($J586),OR($J586&lt;QC_BD_MIN,$J586&gt;QC_BD_MAX)),"Bulk density outside "&amp;QC_BD_MIN&amp;"–"&amp;QC_BD_MAX&amp;" g/cm³ for peat. Above the top of that range usually means the mineral contact has been passed. ","")&amp;IF(AND(ISNUMBER($N586),$N586&gt;QC_CARBON_PCT_MAX),"Carbon above "&amp;QC_CARBON_PCT_MAX&amp;"% — check units; this may be organic matter rather than carbon. ","")&amp;IF(AND($L586&lt;&gt;"",$M586&lt;&gt;""),"Both LOI and measured carbon given — the measured value is used. ","")&amp;IF(AND($M586="",$L586&lt;&gt;"",OM_FACTOR_IS_LOCAL&lt;&gt;"Yes"),"Carbon derived from LOI using the default factor of "&amp;CARBON_FRACTION_OM&amp;", which has not been calibrated locally. See R1. Reference. ","")&amp;IF(AND(ISNUMBER($O586),$O586=0,ISNUMBER($E586)),"Section lies entirely below the reference depth — it counts to the full-profile stock only. ",""))</f>
        <v/>
      </c>
      <c r="U586" s="14" t="n"/>
    </row>
    <row r="587">
      <c r="A587" s="14" t="n"/>
      <c r="B587" s="14" t="n"/>
      <c r="C587" s="14" t="n"/>
      <c r="D587" s="14" t="n"/>
      <c r="E587" s="14" t="n"/>
      <c r="F587" s="14" t="n"/>
      <c r="G587" s="14">
        <f>IF(OR($E587="",$F587=""),"",$F587-$E587)</f>
        <v/>
      </c>
      <c r="H587" s="14" t="n"/>
      <c r="I587" s="14" t="n"/>
      <c r="J587" s="19" t="n"/>
      <c r="K587" s="19" t="n"/>
      <c r="L587" s="19" t="n"/>
      <c r="M587" s="19" t="n"/>
      <c r="N587" s="18">
        <f>IF($M587&lt;&gt;"",$M587,IF($L587&lt;&gt;"",$L587*CARBON_FRACTION_OM,""))</f>
        <v/>
      </c>
      <c r="O587" s="18">
        <f>IF(OR($E587="",$F587=""),"",MAX(0,MIN($F587,REFERENCE_DEPTH_CM)-MIN($E587,REFERENCE_DEPTH_CM)))</f>
        <v/>
      </c>
      <c r="P587" s="18">
        <f>IF(OR($J587="",$N587="",$G587=""),"",$J587*($N587/100)*$G587*10)</f>
        <v/>
      </c>
      <c r="Q587" s="18">
        <f>IF(OR($J587="",$N587="",$O587=""),"",$J587*($N587/100)*$O587*10)</f>
        <v/>
      </c>
      <c r="R587" s="18">
        <f>IF(OR(NOT(ISNUMBER($P587)),NOT(ISNUMBER($G587)),$G587=0),0,$P587/$G587)</f>
        <v/>
      </c>
      <c r="S587" s="18">
        <f>IF(OR($B587="",NOT(ISNUMBER($F587))),"",SUMIFS('3. Peat Data'!$P$5:$P$604,'3. Peat Data'!$B$5:$B$604,$B587,'3. Peat Data'!$F$5:$F$604,"&lt;="&amp;$F587))</f>
        <v/>
      </c>
      <c r="T587" s="18">
        <f>IF(AND($A587="",$B587="",$E587=""),"",IF(AND($B587&lt;&gt;"",COUNTIF('2. Core Log'!$A$5:$A$124,$B587)=0),"Core ID not in Core Log. ","")&amp;IF(AND($A587&lt;&gt;"",COUNTIF('1. Plot &amp; Site Log'!$A$5:$A$64,$A587)=0),"Plot ID not in Plot &amp; Site Log. ","")&amp;IF(AND(ISNUMBER($E587),ISNUMBER($F587),$F587&lt;=$E587),"Bottom depth is not below top depth. ","")&amp;IF($I587="","Say which bulk-density basis the lab reported. ","")&amp;IF(AND(ISNUMBER($J587),OR($J587&lt;QC_BD_MIN,$J587&gt;QC_BD_MAX)),"Bulk density outside "&amp;QC_BD_MIN&amp;"–"&amp;QC_BD_MAX&amp;" g/cm³ for peat. Above the top of that range usually means the mineral contact has been passed. ","")&amp;IF(AND(ISNUMBER($N587),$N587&gt;QC_CARBON_PCT_MAX),"Carbon above "&amp;QC_CARBON_PCT_MAX&amp;"% — check units; this may be organic matter rather than carbon. ","")&amp;IF(AND($L587&lt;&gt;"",$M587&lt;&gt;""),"Both LOI and measured carbon given — the measured value is used. ","")&amp;IF(AND($M587="",$L587&lt;&gt;"",OM_FACTOR_IS_LOCAL&lt;&gt;"Yes"),"Carbon derived from LOI using the default factor of "&amp;CARBON_FRACTION_OM&amp;", which has not been calibrated locally. See R1. Reference. ","")&amp;IF(AND(ISNUMBER($O587),$O587=0,ISNUMBER($E587)),"Section lies entirely below the reference depth — it counts to the full-profile stock only. ",""))</f>
        <v/>
      </c>
      <c r="U587" s="14" t="n"/>
    </row>
    <row r="588">
      <c r="A588" s="14" t="n"/>
      <c r="B588" s="14" t="n"/>
      <c r="C588" s="14" t="n"/>
      <c r="D588" s="14" t="n"/>
      <c r="E588" s="14" t="n"/>
      <c r="F588" s="14" t="n"/>
      <c r="G588" s="14">
        <f>IF(OR($E588="",$F588=""),"",$F588-$E588)</f>
        <v/>
      </c>
      <c r="H588" s="14" t="n"/>
      <c r="I588" s="14" t="n"/>
      <c r="J588" s="19" t="n"/>
      <c r="K588" s="19" t="n"/>
      <c r="L588" s="19" t="n"/>
      <c r="M588" s="19" t="n"/>
      <c r="N588" s="18">
        <f>IF($M588&lt;&gt;"",$M588,IF($L588&lt;&gt;"",$L588*CARBON_FRACTION_OM,""))</f>
        <v/>
      </c>
      <c r="O588" s="18">
        <f>IF(OR($E588="",$F588=""),"",MAX(0,MIN($F588,REFERENCE_DEPTH_CM)-MIN($E588,REFERENCE_DEPTH_CM)))</f>
        <v/>
      </c>
      <c r="P588" s="18">
        <f>IF(OR($J588="",$N588="",$G588=""),"",$J588*($N588/100)*$G588*10)</f>
        <v/>
      </c>
      <c r="Q588" s="18">
        <f>IF(OR($J588="",$N588="",$O588=""),"",$J588*($N588/100)*$O588*10)</f>
        <v/>
      </c>
      <c r="R588" s="18">
        <f>IF(OR(NOT(ISNUMBER($P588)),NOT(ISNUMBER($G588)),$G588=0),0,$P588/$G588)</f>
        <v/>
      </c>
      <c r="S588" s="18">
        <f>IF(OR($B588="",NOT(ISNUMBER($F588))),"",SUMIFS('3. Peat Data'!$P$5:$P$604,'3. Peat Data'!$B$5:$B$604,$B588,'3. Peat Data'!$F$5:$F$604,"&lt;="&amp;$F588))</f>
        <v/>
      </c>
      <c r="T588" s="18">
        <f>IF(AND($A588="",$B588="",$E588=""),"",IF(AND($B588&lt;&gt;"",COUNTIF('2. Core Log'!$A$5:$A$124,$B588)=0),"Core ID not in Core Log. ","")&amp;IF(AND($A588&lt;&gt;"",COUNTIF('1. Plot &amp; Site Log'!$A$5:$A$64,$A588)=0),"Plot ID not in Plot &amp; Site Log. ","")&amp;IF(AND(ISNUMBER($E588),ISNUMBER($F588),$F588&lt;=$E588),"Bottom depth is not below top depth. ","")&amp;IF($I588="","Say which bulk-density basis the lab reported. ","")&amp;IF(AND(ISNUMBER($J588),OR($J588&lt;QC_BD_MIN,$J588&gt;QC_BD_MAX)),"Bulk density outside "&amp;QC_BD_MIN&amp;"–"&amp;QC_BD_MAX&amp;" g/cm³ for peat. Above the top of that range usually means the mineral contact has been passed. ","")&amp;IF(AND(ISNUMBER($N588),$N588&gt;QC_CARBON_PCT_MAX),"Carbon above "&amp;QC_CARBON_PCT_MAX&amp;"% — check units; this may be organic matter rather than carbon. ","")&amp;IF(AND($L588&lt;&gt;"",$M588&lt;&gt;""),"Both LOI and measured carbon given — the measured value is used. ","")&amp;IF(AND($M588="",$L588&lt;&gt;"",OM_FACTOR_IS_LOCAL&lt;&gt;"Yes"),"Carbon derived from LOI using the default factor of "&amp;CARBON_FRACTION_OM&amp;", which has not been calibrated locally. See R1. Reference. ","")&amp;IF(AND(ISNUMBER($O588),$O588=0,ISNUMBER($E588)),"Section lies entirely below the reference depth — it counts to the full-profile stock only. ",""))</f>
        <v/>
      </c>
      <c r="U588" s="14" t="n"/>
    </row>
    <row r="589">
      <c r="A589" s="14" t="n"/>
      <c r="B589" s="14" t="n"/>
      <c r="C589" s="14" t="n"/>
      <c r="D589" s="14" t="n"/>
      <c r="E589" s="14" t="n"/>
      <c r="F589" s="14" t="n"/>
      <c r="G589" s="14">
        <f>IF(OR($E589="",$F589=""),"",$F589-$E589)</f>
        <v/>
      </c>
      <c r="H589" s="14" t="n"/>
      <c r="I589" s="14" t="n"/>
      <c r="J589" s="19" t="n"/>
      <c r="K589" s="19" t="n"/>
      <c r="L589" s="19" t="n"/>
      <c r="M589" s="19" t="n"/>
      <c r="N589" s="18">
        <f>IF($M589&lt;&gt;"",$M589,IF($L589&lt;&gt;"",$L589*CARBON_FRACTION_OM,""))</f>
        <v/>
      </c>
      <c r="O589" s="18">
        <f>IF(OR($E589="",$F589=""),"",MAX(0,MIN($F589,REFERENCE_DEPTH_CM)-MIN($E589,REFERENCE_DEPTH_CM)))</f>
        <v/>
      </c>
      <c r="P589" s="18">
        <f>IF(OR($J589="",$N589="",$G589=""),"",$J589*($N589/100)*$G589*10)</f>
        <v/>
      </c>
      <c r="Q589" s="18">
        <f>IF(OR($J589="",$N589="",$O589=""),"",$J589*($N589/100)*$O589*10)</f>
        <v/>
      </c>
      <c r="R589" s="18">
        <f>IF(OR(NOT(ISNUMBER($P589)),NOT(ISNUMBER($G589)),$G589=0),0,$P589/$G589)</f>
        <v/>
      </c>
      <c r="S589" s="18">
        <f>IF(OR($B589="",NOT(ISNUMBER($F589))),"",SUMIFS('3. Peat Data'!$P$5:$P$604,'3. Peat Data'!$B$5:$B$604,$B589,'3. Peat Data'!$F$5:$F$604,"&lt;="&amp;$F589))</f>
        <v/>
      </c>
      <c r="T589" s="18">
        <f>IF(AND($A589="",$B589="",$E589=""),"",IF(AND($B589&lt;&gt;"",COUNTIF('2. Core Log'!$A$5:$A$124,$B589)=0),"Core ID not in Core Log. ","")&amp;IF(AND($A589&lt;&gt;"",COUNTIF('1. Plot &amp; Site Log'!$A$5:$A$64,$A589)=0),"Plot ID not in Plot &amp; Site Log. ","")&amp;IF(AND(ISNUMBER($E589),ISNUMBER($F589),$F589&lt;=$E589),"Bottom depth is not below top depth. ","")&amp;IF($I589="","Say which bulk-density basis the lab reported. ","")&amp;IF(AND(ISNUMBER($J589),OR($J589&lt;QC_BD_MIN,$J589&gt;QC_BD_MAX)),"Bulk density outside "&amp;QC_BD_MIN&amp;"–"&amp;QC_BD_MAX&amp;" g/cm³ for peat. Above the top of that range usually means the mineral contact has been passed. ","")&amp;IF(AND(ISNUMBER($N589),$N589&gt;QC_CARBON_PCT_MAX),"Carbon above "&amp;QC_CARBON_PCT_MAX&amp;"% — check units; this may be organic matter rather than carbon. ","")&amp;IF(AND($L589&lt;&gt;"",$M589&lt;&gt;""),"Both LOI and measured carbon given — the measured value is used. ","")&amp;IF(AND($M589="",$L589&lt;&gt;"",OM_FACTOR_IS_LOCAL&lt;&gt;"Yes"),"Carbon derived from LOI using the default factor of "&amp;CARBON_FRACTION_OM&amp;", which has not been calibrated locally. See R1. Reference. ","")&amp;IF(AND(ISNUMBER($O589),$O589=0,ISNUMBER($E589)),"Section lies entirely below the reference depth — it counts to the full-profile stock only. ",""))</f>
        <v/>
      </c>
      <c r="U589" s="14" t="n"/>
    </row>
    <row r="590">
      <c r="A590" s="14" t="n"/>
      <c r="B590" s="14" t="n"/>
      <c r="C590" s="14" t="n"/>
      <c r="D590" s="14" t="n"/>
      <c r="E590" s="14" t="n"/>
      <c r="F590" s="14" t="n"/>
      <c r="G590" s="14">
        <f>IF(OR($E590="",$F590=""),"",$F590-$E590)</f>
        <v/>
      </c>
      <c r="H590" s="14" t="n"/>
      <c r="I590" s="14" t="n"/>
      <c r="J590" s="19" t="n"/>
      <c r="K590" s="19" t="n"/>
      <c r="L590" s="19" t="n"/>
      <c r="M590" s="19" t="n"/>
      <c r="N590" s="18">
        <f>IF($M590&lt;&gt;"",$M590,IF($L590&lt;&gt;"",$L590*CARBON_FRACTION_OM,""))</f>
        <v/>
      </c>
      <c r="O590" s="18">
        <f>IF(OR($E590="",$F590=""),"",MAX(0,MIN($F590,REFERENCE_DEPTH_CM)-MIN($E590,REFERENCE_DEPTH_CM)))</f>
        <v/>
      </c>
      <c r="P590" s="18">
        <f>IF(OR($J590="",$N590="",$G590=""),"",$J590*($N590/100)*$G590*10)</f>
        <v/>
      </c>
      <c r="Q590" s="18">
        <f>IF(OR($J590="",$N590="",$O590=""),"",$J590*($N590/100)*$O590*10)</f>
        <v/>
      </c>
      <c r="R590" s="18">
        <f>IF(OR(NOT(ISNUMBER($P590)),NOT(ISNUMBER($G590)),$G590=0),0,$P590/$G590)</f>
        <v/>
      </c>
      <c r="S590" s="18">
        <f>IF(OR($B590="",NOT(ISNUMBER($F590))),"",SUMIFS('3. Peat Data'!$P$5:$P$604,'3. Peat Data'!$B$5:$B$604,$B590,'3. Peat Data'!$F$5:$F$604,"&lt;="&amp;$F590))</f>
        <v/>
      </c>
      <c r="T590" s="18">
        <f>IF(AND($A590="",$B590="",$E590=""),"",IF(AND($B590&lt;&gt;"",COUNTIF('2. Core Log'!$A$5:$A$124,$B590)=0),"Core ID not in Core Log. ","")&amp;IF(AND($A590&lt;&gt;"",COUNTIF('1. Plot &amp; Site Log'!$A$5:$A$64,$A590)=0),"Plot ID not in Plot &amp; Site Log. ","")&amp;IF(AND(ISNUMBER($E590),ISNUMBER($F590),$F590&lt;=$E590),"Bottom depth is not below top depth. ","")&amp;IF($I590="","Say which bulk-density basis the lab reported. ","")&amp;IF(AND(ISNUMBER($J590),OR($J590&lt;QC_BD_MIN,$J590&gt;QC_BD_MAX)),"Bulk density outside "&amp;QC_BD_MIN&amp;"–"&amp;QC_BD_MAX&amp;" g/cm³ for peat. Above the top of that range usually means the mineral contact has been passed. ","")&amp;IF(AND(ISNUMBER($N590),$N590&gt;QC_CARBON_PCT_MAX),"Carbon above "&amp;QC_CARBON_PCT_MAX&amp;"% — check units; this may be organic matter rather than carbon. ","")&amp;IF(AND($L590&lt;&gt;"",$M590&lt;&gt;""),"Both LOI and measured carbon given — the measured value is used. ","")&amp;IF(AND($M590="",$L590&lt;&gt;"",OM_FACTOR_IS_LOCAL&lt;&gt;"Yes"),"Carbon derived from LOI using the default factor of "&amp;CARBON_FRACTION_OM&amp;", which has not been calibrated locally. See R1. Reference. ","")&amp;IF(AND(ISNUMBER($O590),$O590=0,ISNUMBER($E590)),"Section lies entirely below the reference depth — it counts to the full-profile stock only. ",""))</f>
        <v/>
      </c>
      <c r="U590" s="14" t="n"/>
    </row>
    <row r="591">
      <c r="A591" s="14" t="n"/>
      <c r="B591" s="14" t="n"/>
      <c r="C591" s="14" t="n"/>
      <c r="D591" s="14" t="n"/>
      <c r="E591" s="14" t="n"/>
      <c r="F591" s="14" t="n"/>
      <c r="G591" s="14">
        <f>IF(OR($E591="",$F591=""),"",$F591-$E591)</f>
        <v/>
      </c>
      <c r="H591" s="14" t="n"/>
      <c r="I591" s="14" t="n"/>
      <c r="J591" s="19" t="n"/>
      <c r="K591" s="19" t="n"/>
      <c r="L591" s="19" t="n"/>
      <c r="M591" s="19" t="n"/>
      <c r="N591" s="18">
        <f>IF($M591&lt;&gt;"",$M591,IF($L591&lt;&gt;"",$L591*CARBON_FRACTION_OM,""))</f>
        <v/>
      </c>
      <c r="O591" s="18">
        <f>IF(OR($E591="",$F591=""),"",MAX(0,MIN($F591,REFERENCE_DEPTH_CM)-MIN($E591,REFERENCE_DEPTH_CM)))</f>
        <v/>
      </c>
      <c r="P591" s="18">
        <f>IF(OR($J591="",$N591="",$G591=""),"",$J591*($N591/100)*$G591*10)</f>
        <v/>
      </c>
      <c r="Q591" s="18">
        <f>IF(OR($J591="",$N591="",$O591=""),"",$J591*($N591/100)*$O591*10)</f>
        <v/>
      </c>
      <c r="R591" s="18">
        <f>IF(OR(NOT(ISNUMBER($P591)),NOT(ISNUMBER($G591)),$G591=0),0,$P591/$G591)</f>
        <v/>
      </c>
      <c r="S591" s="18">
        <f>IF(OR($B591="",NOT(ISNUMBER($F591))),"",SUMIFS('3. Peat Data'!$P$5:$P$604,'3. Peat Data'!$B$5:$B$604,$B591,'3. Peat Data'!$F$5:$F$604,"&lt;="&amp;$F591))</f>
        <v/>
      </c>
      <c r="T591" s="18">
        <f>IF(AND($A591="",$B591="",$E591=""),"",IF(AND($B591&lt;&gt;"",COUNTIF('2. Core Log'!$A$5:$A$124,$B591)=0),"Core ID not in Core Log. ","")&amp;IF(AND($A591&lt;&gt;"",COUNTIF('1. Plot &amp; Site Log'!$A$5:$A$64,$A591)=0),"Plot ID not in Plot &amp; Site Log. ","")&amp;IF(AND(ISNUMBER($E591),ISNUMBER($F591),$F591&lt;=$E591),"Bottom depth is not below top depth. ","")&amp;IF($I591="","Say which bulk-density basis the lab reported. ","")&amp;IF(AND(ISNUMBER($J591),OR($J591&lt;QC_BD_MIN,$J591&gt;QC_BD_MAX)),"Bulk density outside "&amp;QC_BD_MIN&amp;"–"&amp;QC_BD_MAX&amp;" g/cm³ for peat. Above the top of that range usually means the mineral contact has been passed. ","")&amp;IF(AND(ISNUMBER($N591),$N591&gt;QC_CARBON_PCT_MAX),"Carbon above "&amp;QC_CARBON_PCT_MAX&amp;"% — check units; this may be organic matter rather than carbon. ","")&amp;IF(AND($L591&lt;&gt;"",$M591&lt;&gt;""),"Both LOI and measured carbon given — the measured value is used. ","")&amp;IF(AND($M591="",$L591&lt;&gt;"",OM_FACTOR_IS_LOCAL&lt;&gt;"Yes"),"Carbon derived from LOI using the default factor of "&amp;CARBON_FRACTION_OM&amp;", which has not been calibrated locally. See R1. Reference. ","")&amp;IF(AND(ISNUMBER($O591),$O591=0,ISNUMBER($E591)),"Section lies entirely below the reference depth — it counts to the full-profile stock only. ",""))</f>
        <v/>
      </c>
      <c r="U591" s="14" t="n"/>
    </row>
    <row r="592">
      <c r="A592" s="14" t="n"/>
      <c r="B592" s="14" t="n"/>
      <c r="C592" s="14" t="n"/>
      <c r="D592" s="14" t="n"/>
      <c r="E592" s="14" t="n"/>
      <c r="F592" s="14" t="n"/>
      <c r="G592" s="14">
        <f>IF(OR($E592="",$F592=""),"",$F592-$E592)</f>
        <v/>
      </c>
      <c r="H592" s="14" t="n"/>
      <c r="I592" s="14" t="n"/>
      <c r="J592" s="19" t="n"/>
      <c r="K592" s="19" t="n"/>
      <c r="L592" s="19" t="n"/>
      <c r="M592" s="19" t="n"/>
      <c r="N592" s="18">
        <f>IF($M592&lt;&gt;"",$M592,IF($L592&lt;&gt;"",$L592*CARBON_FRACTION_OM,""))</f>
        <v/>
      </c>
      <c r="O592" s="18">
        <f>IF(OR($E592="",$F592=""),"",MAX(0,MIN($F592,REFERENCE_DEPTH_CM)-MIN($E592,REFERENCE_DEPTH_CM)))</f>
        <v/>
      </c>
      <c r="P592" s="18">
        <f>IF(OR($J592="",$N592="",$G592=""),"",$J592*($N592/100)*$G592*10)</f>
        <v/>
      </c>
      <c r="Q592" s="18">
        <f>IF(OR($J592="",$N592="",$O592=""),"",$J592*($N592/100)*$O592*10)</f>
        <v/>
      </c>
      <c r="R592" s="18">
        <f>IF(OR(NOT(ISNUMBER($P592)),NOT(ISNUMBER($G592)),$G592=0),0,$P592/$G592)</f>
        <v/>
      </c>
      <c r="S592" s="18">
        <f>IF(OR($B592="",NOT(ISNUMBER($F592))),"",SUMIFS('3. Peat Data'!$P$5:$P$604,'3. Peat Data'!$B$5:$B$604,$B592,'3. Peat Data'!$F$5:$F$604,"&lt;="&amp;$F592))</f>
        <v/>
      </c>
      <c r="T592" s="18">
        <f>IF(AND($A592="",$B592="",$E592=""),"",IF(AND($B592&lt;&gt;"",COUNTIF('2. Core Log'!$A$5:$A$124,$B592)=0),"Core ID not in Core Log. ","")&amp;IF(AND($A592&lt;&gt;"",COUNTIF('1. Plot &amp; Site Log'!$A$5:$A$64,$A592)=0),"Plot ID not in Plot &amp; Site Log. ","")&amp;IF(AND(ISNUMBER($E592),ISNUMBER($F592),$F592&lt;=$E592),"Bottom depth is not below top depth. ","")&amp;IF($I592="","Say which bulk-density basis the lab reported. ","")&amp;IF(AND(ISNUMBER($J592),OR($J592&lt;QC_BD_MIN,$J592&gt;QC_BD_MAX)),"Bulk density outside "&amp;QC_BD_MIN&amp;"–"&amp;QC_BD_MAX&amp;" g/cm³ for peat. Above the top of that range usually means the mineral contact has been passed. ","")&amp;IF(AND(ISNUMBER($N592),$N592&gt;QC_CARBON_PCT_MAX),"Carbon above "&amp;QC_CARBON_PCT_MAX&amp;"% — check units; this may be organic matter rather than carbon. ","")&amp;IF(AND($L592&lt;&gt;"",$M592&lt;&gt;""),"Both LOI and measured carbon given — the measured value is used. ","")&amp;IF(AND($M592="",$L592&lt;&gt;"",OM_FACTOR_IS_LOCAL&lt;&gt;"Yes"),"Carbon derived from LOI using the default factor of "&amp;CARBON_FRACTION_OM&amp;", which has not been calibrated locally. See R1. Reference. ","")&amp;IF(AND(ISNUMBER($O592),$O592=0,ISNUMBER($E592)),"Section lies entirely below the reference depth — it counts to the full-profile stock only. ",""))</f>
        <v/>
      </c>
      <c r="U592" s="14" t="n"/>
    </row>
    <row r="593">
      <c r="A593" s="14" t="n"/>
      <c r="B593" s="14" t="n"/>
      <c r="C593" s="14" t="n"/>
      <c r="D593" s="14" t="n"/>
      <c r="E593" s="14" t="n"/>
      <c r="F593" s="14" t="n"/>
      <c r="G593" s="14">
        <f>IF(OR($E593="",$F593=""),"",$F593-$E593)</f>
        <v/>
      </c>
      <c r="H593" s="14" t="n"/>
      <c r="I593" s="14" t="n"/>
      <c r="J593" s="19" t="n"/>
      <c r="K593" s="19" t="n"/>
      <c r="L593" s="19" t="n"/>
      <c r="M593" s="19" t="n"/>
      <c r="N593" s="18">
        <f>IF($M593&lt;&gt;"",$M593,IF($L593&lt;&gt;"",$L593*CARBON_FRACTION_OM,""))</f>
        <v/>
      </c>
      <c r="O593" s="18">
        <f>IF(OR($E593="",$F593=""),"",MAX(0,MIN($F593,REFERENCE_DEPTH_CM)-MIN($E593,REFERENCE_DEPTH_CM)))</f>
        <v/>
      </c>
      <c r="P593" s="18">
        <f>IF(OR($J593="",$N593="",$G593=""),"",$J593*($N593/100)*$G593*10)</f>
        <v/>
      </c>
      <c r="Q593" s="18">
        <f>IF(OR($J593="",$N593="",$O593=""),"",$J593*($N593/100)*$O593*10)</f>
        <v/>
      </c>
      <c r="R593" s="18">
        <f>IF(OR(NOT(ISNUMBER($P593)),NOT(ISNUMBER($G593)),$G593=0),0,$P593/$G593)</f>
        <v/>
      </c>
      <c r="S593" s="18">
        <f>IF(OR($B593="",NOT(ISNUMBER($F593))),"",SUMIFS('3. Peat Data'!$P$5:$P$604,'3. Peat Data'!$B$5:$B$604,$B593,'3. Peat Data'!$F$5:$F$604,"&lt;="&amp;$F593))</f>
        <v/>
      </c>
      <c r="T593" s="18">
        <f>IF(AND($A593="",$B593="",$E593=""),"",IF(AND($B593&lt;&gt;"",COUNTIF('2. Core Log'!$A$5:$A$124,$B593)=0),"Core ID not in Core Log. ","")&amp;IF(AND($A593&lt;&gt;"",COUNTIF('1. Plot &amp; Site Log'!$A$5:$A$64,$A593)=0),"Plot ID not in Plot &amp; Site Log. ","")&amp;IF(AND(ISNUMBER($E593),ISNUMBER($F593),$F593&lt;=$E593),"Bottom depth is not below top depth. ","")&amp;IF($I593="","Say which bulk-density basis the lab reported. ","")&amp;IF(AND(ISNUMBER($J593),OR($J593&lt;QC_BD_MIN,$J593&gt;QC_BD_MAX)),"Bulk density outside "&amp;QC_BD_MIN&amp;"–"&amp;QC_BD_MAX&amp;" g/cm³ for peat. Above the top of that range usually means the mineral contact has been passed. ","")&amp;IF(AND(ISNUMBER($N593),$N593&gt;QC_CARBON_PCT_MAX),"Carbon above "&amp;QC_CARBON_PCT_MAX&amp;"% — check units; this may be organic matter rather than carbon. ","")&amp;IF(AND($L593&lt;&gt;"",$M593&lt;&gt;""),"Both LOI and measured carbon given — the measured value is used. ","")&amp;IF(AND($M593="",$L593&lt;&gt;"",OM_FACTOR_IS_LOCAL&lt;&gt;"Yes"),"Carbon derived from LOI using the default factor of "&amp;CARBON_FRACTION_OM&amp;", which has not been calibrated locally. See R1. Reference. ","")&amp;IF(AND(ISNUMBER($O593),$O593=0,ISNUMBER($E593)),"Section lies entirely below the reference depth — it counts to the full-profile stock only. ",""))</f>
        <v/>
      </c>
      <c r="U593" s="14" t="n"/>
    </row>
    <row r="594">
      <c r="A594" s="14" t="n"/>
      <c r="B594" s="14" t="n"/>
      <c r="C594" s="14" t="n"/>
      <c r="D594" s="14" t="n"/>
      <c r="E594" s="14" t="n"/>
      <c r="F594" s="14" t="n"/>
      <c r="G594" s="14">
        <f>IF(OR($E594="",$F594=""),"",$F594-$E594)</f>
        <v/>
      </c>
      <c r="H594" s="14" t="n"/>
      <c r="I594" s="14" t="n"/>
      <c r="J594" s="19" t="n"/>
      <c r="K594" s="19" t="n"/>
      <c r="L594" s="19" t="n"/>
      <c r="M594" s="19" t="n"/>
      <c r="N594" s="18">
        <f>IF($M594&lt;&gt;"",$M594,IF($L594&lt;&gt;"",$L594*CARBON_FRACTION_OM,""))</f>
        <v/>
      </c>
      <c r="O594" s="18">
        <f>IF(OR($E594="",$F594=""),"",MAX(0,MIN($F594,REFERENCE_DEPTH_CM)-MIN($E594,REFERENCE_DEPTH_CM)))</f>
        <v/>
      </c>
      <c r="P594" s="18">
        <f>IF(OR($J594="",$N594="",$G594=""),"",$J594*($N594/100)*$G594*10)</f>
        <v/>
      </c>
      <c r="Q594" s="18">
        <f>IF(OR($J594="",$N594="",$O594=""),"",$J594*($N594/100)*$O594*10)</f>
        <v/>
      </c>
      <c r="R594" s="18">
        <f>IF(OR(NOT(ISNUMBER($P594)),NOT(ISNUMBER($G594)),$G594=0),0,$P594/$G594)</f>
        <v/>
      </c>
      <c r="S594" s="18">
        <f>IF(OR($B594="",NOT(ISNUMBER($F594))),"",SUMIFS('3. Peat Data'!$P$5:$P$604,'3. Peat Data'!$B$5:$B$604,$B594,'3. Peat Data'!$F$5:$F$604,"&lt;="&amp;$F594))</f>
        <v/>
      </c>
      <c r="T594" s="18">
        <f>IF(AND($A594="",$B594="",$E594=""),"",IF(AND($B594&lt;&gt;"",COUNTIF('2. Core Log'!$A$5:$A$124,$B594)=0),"Core ID not in Core Log. ","")&amp;IF(AND($A594&lt;&gt;"",COUNTIF('1. Plot &amp; Site Log'!$A$5:$A$64,$A594)=0),"Plot ID not in Plot &amp; Site Log. ","")&amp;IF(AND(ISNUMBER($E594),ISNUMBER($F594),$F594&lt;=$E594),"Bottom depth is not below top depth. ","")&amp;IF($I594="","Say which bulk-density basis the lab reported. ","")&amp;IF(AND(ISNUMBER($J594),OR($J594&lt;QC_BD_MIN,$J594&gt;QC_BD_MAX)),"Bulk density outside "&amp;QC_BD_MIN&amp;"–"&amp;QC_BD_MAX&amp;" g/cm³ for peat. Above the top of that range usually means the mineral contact has been passed. ","")&amp;IF(AND(ISNUMBER($N594),$N594&gt;QC_CARBON_PCT_MAX),"Carbon above "&amp;QC_CARBON_PCT_MAX&amp;"% — check units; this may be organic matter rather than carbon. ","")&amp;IF(AND($L594&lt;&gt;"",$M594&lt;&gt;""),"Both LOI and measured carbon given — the measured value is used. ","")&amp;IF(AND($M594="",$L594&lt;&gt;"",OM_FACTOR_IS_LOCAL&lt;&gt;"Yes"),"Carbon derived from LOI using the default factor of "&amp;CARBON_FRACTION_OM&amp;", which has not been calibrated locally. See R1. Reference. ","")&amp;IF(AND(ISNUMBER($O594),$O594=0,ISNUMBER($E594)),"Section lies entirely below the reference depth — it counts to the full-profile stock only. ",""))</f>
        <v/>
      </c>
      <c r="U594" s="14" t="n"/>
    </row>
    <row r="595">
      <c r="A595" s="14" t="n"/>
      <c r="B595" s="14" t="n"/>
      <c r="C595" s="14" t="n"/>
      <c r="D595" s="14" t="n"/>
      <c r="E595" s="14" t="n"/>
      <c r="F595" s="14" t="n"/>
      <c r="G595" s="14">
        <f>IF(OR($E595="",$F595=""),"",$F595-$E595)</f>
        <v/>
      </c>
      <c r="H595" s="14" t="n"/>
      <c r="I595" s="14" t="n"/>
      <c r="J595" s="19" t="n"/>
      <c r="K595" s="19" t="n"/>
      <c r="L595" s="19" t="n"/>
      <c r="M595" s="19" t="n"/>
      <c r="N595" s="18">
        <f>IF($M595&lt;&gt;"",$M595,IF($L595&lt;&gt;"",$L595*CARBON_FRACTION_OM,""))</f>
        <v/>
      </c>
      <c r="O595" s="18">
        <f>IF(OR($E595="",$F595=""),"",MAX(0,MIN($F595,REFERENCE_DEPTH_CM)-MIN($E595,REFERENCE_DEPTH_CM)))</f>
        <v/>
      </c>
      <c r="P595" s="18">
        <f>IF(OR($J595="",$N595="",$G595=""),"",$J595*($N595/100)*$G595*10)</f>
        <v/>
      </c>
      <c r="Q595" s="18">
        <f>IF(OR($J595="",$N595="",$O595=""),"",$J595*($N595/100)*$O595*10)</f>
        <v/>
      </c>
      <c r="R595" s="18">
        <f>IF(OR(NOT(ISNUMBER($P595)),NOT(ISNUMBER($G595)),$G595=0),0,$P595/$G595)</f>
        <v/>
      </c>
      <c r="S595" s="18">
        <f>IF(OR($B595="",NOT(ISNUMBER($F595))),"",SUMIFS('3. Peat Data'!$P$5:$P$604,'3. Peat Data'!$B$5:$B$604,$B595,'3. Peat Data'!$F$5:$F$604,"&lt;="&amp;$F595))</f>
        <v/>
      </c>
      <c r="T595" s="18">
        <f>IF(AND($A595="",$B595="",$E595=""),"",IF(AND($B595&lt;&gt;"",COUNTIF('2. Core Log'!$A$5:$A$124,$B595)=0),"Core ID not in Core Log. ","")&amp;IF(AND($A595&lt;&gt;"",COUNTIF('1. Plot &amp; Site Log'!$A$5:$A$64,$A595)=0),"Plot ID not in Plot &amp; Site Log. ","")&amp;IF(AND(ISNUMBER($E595),ISNUMBER($F595),$F595&lt;=$E595),"Bottom depth is not below top depth. ","")&amp;IF($I595="","Say which bulk-density basis the lab reported. ","")&amp;IF(AND(ISNUMBER($J595),OR($J595&lt;QC_BD_MIN,$J595&gt;QC_BD_MAX)),"Bulk density outside "&amp;QC_BD_MIN&amp;"–"&amp;QC_BD_MAX&amp;" g/cm³ for peat. Above the top of that range usually means the mineral contact has been passed. ","")&amp;IF(AND(ISNUMBER($N595),$N595&gt;QC_CARBON_PCT_MAX),"Carbon above "&amp;QC_CARBON_PCT_MAX&amp;"% — check units; this may be organic matter rather than carbon. ","")&amp;IF(AND($L595&lt;&gt;"",$M595&lt;&gt;""),"Both LOI and measured carbon given — the measured value is used. ","")&amp;IF(AND($M595="",$L595&lt;&gt;"",OM_FACTOR_IS_LOCAL&lt;&gt;"Yes"),"Carbon derived from LOI using the default factor of "&amp;CARBON_FRACTION_OM&amp;", which has not been calibrated locally. See R1. Reference. ","")&amp;IF(AND(ISNUMBER($O595),$O595=0,ISNUMBER($E595)),"Section lies entirely below the reference depth — it counts to the full-profile stock only. ",""))</f>
        <v/>
      </c>
      <c r="U595" s="14" t="n"/>
    </row>
    <row r="596">
      <c r="A596" s="14" t="n"/>
      <c r="B596" s="14" t="n"/>
      <c r="C596" s="14" t="n"/>
      <c r="D596" s="14" t="n"/>
      <c r="E596" s="14" t="n"/>
      <c r="F596" s="14" t="n"/>
      <c r="G596" s="14">
        <f>IF(OR($E596="",$F596=""),"",$F596-$E596)</f>
        <v/>
      </c>
      <c r="H596" s="14" t="n"/>
      <c r="I596" s="14" t="n"/>
      <c r="J596" s="19" t="n"/>
      <c r="K596" s="19" t="n"/>
      <c r="L596" s="19" t="n"/>
      <c r="M596" s="19" t="n"/>
      <c r="N596" s="18">
        <f>IF($M596&lt;&gt;"",$M596,IF($L596&lt;&gt;"",$L596*CARBON_FRACTION_OM,""))</f>
        <v/>
      </c>
      <c r="O596" s="18">
        <f>IF(OR($E596="",$F596=""),"",MAX(0,MIN($F596,REFERENCE_DEPTH_CM)-MIN($E596,REFERENCE_DEPTH_CM)))</f>
        <v/>
      </c>
      <c r="P596" s="18">
        <f>IF(OR($J596="",$N596="",$G596=""),"",$J596*($N596/100)*$G596*10)</f>
        <v/>
      </c>
      <c r="Q596" s="18">
        <f>IF(OR($J596="",$N596="",$O596=""),"",$J596*($N596/100)*$O596*10)</f>
        <v/>
      </c>
      <c r="R596" s="18">
        <f>IF(OR(NOT(ISNUMBER($P596)),NOT(ISNUMBER($G596)),$G596=0),0,$P596/$G596)</f>
        <v/>
      </c>
      <c r="S596" s="18">
        <f>IF(OR($B596="",NOT(ISNUMBER($F596))),"",SUMIFS('3. Peat Data'!$P$5:$P$604,'3. Peat Data'!$B$5:$B$604,$B596,'3. Peat Data'!$F$5:$F$604,"&lt;="&amp;$F596))</f>
        <v/>
      </c>
      <c r="T596" s="18">
        <f>IF(AND($A596="",$B596="",$E596=""),"",IF(AND($B596&lt;&gt;"",COUNTIF('2. Core Log'!$A$5:$A$124,$B596)=0),"Core ID not in Core Log. ","")&amp;IF(AND($A596&lt;&gt;"",COUNTIF('1. Plot &amp; Site Log'!$A$5:$A$64,$A596)=0),"Plot ID not in Plot &amp; Site Log. ","")&amp;IF(AND(ISNUMBER($E596),ISNUMBER($F596),$F596&lt;=$E596),"Bottom depth is not below top depth. ","")&amp;IF($I596="","Say which bulk-density basis the lab reported. ","")&amp;IF(AND(ISNUMBER($J596),OR($J596&lt;QC_BD_MIN,$J596&gt;QC_BD_MAX)),"Bulk density outside "&amp;QC_BD_MIN&amp;"–"&amp;QC_BD_MAX&amp;" g/cm³ for peat. Above the top of that range usually means the mineral contact has been passed. ","")&amp;IF(AND(ISNUMBER($N596),$N596&gt;QC_CARBON_PCT_MAX),"Carbon above "&amp;QC_CARBON_PCT_MAX&amp;"% — check units; this may be organic matter rather than carbon. ","")&amp;IF(AND($L596&lt;&gt;"",$M596&lt;&gt;""),"Both LOI and measured carbon given — the measured value is used. ","")&amp;IF(AND($M596="",$L596&lt;&gt;"",OM_FACTOR_IS_LOCAL&lt;&gt;"Yes"),"Carbon derived from LOI using the default factor of "&amp;CARBON_FRACTION_OM&amp;", which has not been calibrated locally. See R1. Reference. ","")&amp;IF(AND(ISNUMBER($O596),$O596=0,ISNUMBER($E596)),"Section lies entirely below the reference depth — it counts to the full-profile stock only. ",""))</f>
        <v/>
      </c>
      <c r="U596" s="14" t="n"/>
    </row>
    <row r="597">
      <c r="A597" s="14" t="n"/>
      <c r="B597" s="14" t="n"/>
      <c r="C597" s="14" t="n"/>
      <c r="D597" s="14" t="n"/>
      <c r="E597" s="14" t="n"/>
      <c r="F597" s="14" t="n"/>
      <c r="G597" s="14">
        <f>IF(OR($E597="",$F597=""),"",$F597-$E597)</f>
        <v/>
      </c>
      <c r="H597" s="14" t="n"/>
      <c r="I597" s="14" t="n"/>
      <c r="J597" s="19" t="n"/>
      <c r="K597" s="19" t="n"/>
      <c r="L597" s="19" t="n"/>
      <c r="M597" s="19" t="n"/>
      <c r="N597" s="18">
        <f>IF($M597&lt;&gt;"",$M597,IF($L597&lt;&gt;"",$L597*CARBON_FRACTION_OM,""))</f>
        <v/>
      </c>
      <c r="O597" s="18">
        <f>IF(OR($E597="",$F597=""),"",MAX(0,MIN($F597,REFERENCE_DEPTH_CM)-MIN($E597,REFERENCE_DEPTH_CM)))</f>
        <v/>
      </c>
      <c r="P597" s="18">
        <f>IF(OR($J597="",$N597="",$G597=""),"",$J597*($N597/100)*$G597*10)</f>
        <v/>
      </c>
      <c r="Q597" s="18">
        <f>IF(OR($J597="",$N597="",$O597=""),"",$J597*($N597/100)*$O597*10)</f>
        <v/>
      </c>
      <c r="R597" s="18">
        <f>IF(OR(NOT(ISNUMBER($P597)),NOT(ISNUMBER($G597)),$G597=0),0,$P597/$G597)</f>
        <v/>
      </c>
      <c r="S597" s="18">
        <f>IF(OR($B597="",NOT(ISNUMBER($F597))),"",SUMIFS('3. Peat Data'!$P$5:$P$604,'3. Peat Data'!$B$5:$B$604,$B597,'3. Peat Data'!$F$5:$F$604,"&lt;="&amp;$F597))</f>
        <v/>
      </c>
      <c r="T597" s="18">
        <f>IF(AND($A597="",$B597="",$E597=""),"",IF(AND($B597&lt;&gt;"",COUNTIF('2. Core Log'!$A$5:$A$124,$B597)=0),"Core ID not in Core Log. ","")&amp;IF(AND($A597&lt;&gt;"",COUNTIF('1. Plot &amp; Site Log'!$A$5:$A$64,$A597)=0),"Plot ID not in Plot &amp; Site Log. ","")&amp;IF(AND(ISNUMBER($E597),ISNUMBER($F597),$F597&lt;=$E597),"Bottom depth is not below top depth. ","")&amp;IF($I597="","Say which bulk-density basis the lab reported. ","")&amp;IF(AND(ISNUMBER($J597),OR($J597&lt;QC_BD_MIN,$J597&gt;QC_BD_MAX)),"Bulk density outside "&amp;QC_BD_MIN&amp;"–"&amp;QC_BD_MAX&amp;" g/cm³ for peat. Above the top of that range usually means the mineral contact has been passed. ","")&amp;IF(AND(ISNUMBER($N597),$N597&gt;QC_CARBON_PCT_MAX),"Carbon above "&amp;QC_CARBON_PCT_MAX&amp;"% — check units; this may be organic matter rather than carbon. ","")&amp;IF(AND($L597&lt;&gt;"",$M597&lt;&gt;""),"Both LOI and measured carbon given — the measured value is used. ","")&amp;IF(AND($M597="",$L597&lt;&gt;"",OM_FACTOR_IS_LOCAL&lt;&gt;"Yes"),"Carbon derived from LOI using the default factor of "&amp;CARBON_FRACTION_OM&amp;", which has not been calibrated locally. See R1. Reference. ","")&amp;IF(AND(ISNUMBER($O597),$O597=0,ISNUMBER($E597)),"Section lies entirely below the reference depth — it counts to the full-profile stock only. ",""))</f>
        <v/>
      </c>
      <c r="U597" s="14" t="n"/>
    </row>
    <row r="598">
      <c r="A598" s="14" t="n"/>
      <c r="B598" s="14" t="n"/>
      <c r="C598" s="14" t="n"/>
      <c r="D598" s="14" t="n"/>
      <c r="E598" s="14" t="n"/>
      <c r="F598" s="14" t="n"/>
      <c r="G598" s="14">
        <f>IF(OR($E598="",$F598=""),"",$F598-$E598)</f>
        <v/>
      </c>
      <c r="H598" s="14" t="n"/>
      <c r="I598" s="14" t="n"/>
      <c r="J598" s="19" t="n"/>
      <c r="K598" s="19" t="n"/>
      <c r="L598" s="19" t="n"/>
      <c r="M598" s="19" t="n"/>
      <c r="N598" s="18">
        <f>IF($M598&lt;&gt;"",$M598,IF($L598&lt;&gt;"",$L598*CARBON_FRACTION_OM,""))</f>
        <v/>
      </c>
      <c r="O598" s="18">
        <f>IF(OR($E598="",$F598=""),"",MAX(0,MIN($F598,REFERENCE_DEPTH_CM)-MIN($E598,REFERENCE_DEPTH_CM)))</f>
        <v/>
      </c>
      <c r="P598" s="18">
        <f>IF(OR($J598="",$N598="",$G598=""),"",$J598*($N598/100)*$G598*10)</f>
        <v/>
      </c>
      <c r="Q598" s="18">
        <f>IF(OR($J598="",$N598="",$O598=""),"",$J598*($N598/100)*$O598*10)</f>
        <v/>
      </c>
      <c r="R598" s="18">
        <f>IF(OR(NOT(ISNUMBER($P598)),NOT(ISNUMBER($G598)),$G598=0),0,$P598/$G598)</f>
        <v/>
      </c>
      <c r="S598" s="18">
        <f>IF(OR($B598="",NOT(ISNUMBER($F598))),"",SUMIFS('3. Peat Data'!$P$5:$P$604,'3. Peat Data'!$B$5:$B$604,$B598,'3. Peat Data'!$F$5:$F$604,"&lt;="&amp;$F598))</f>
        <v/>
      </c>
      <c r="T598" s="18">
        <f>IF(AND($A598="",$B598="",$E598=""),"",IF(AND($B598&lt;&gt;"",COUNTIF('2. Core Log'!$A$5:$A$124,$B598)=0),"Core ID not in Core Log. ","")&amp;IF(AND($A598&lt;&gt;"",COUNTIF('1. Plot &amp; Site Log'!$A$5:$A$64,$A598)=0),"Plot ID not in Plot &amp; Site Log. ","")&amp;IF(AND(ISNUMBER($E598),ISNUMBER($F598),$F598&lt;=$E598),"Bottom depth is not below top depth. ","")&amp;IF($I598="","Say which bulk-density basis the lab reported. ","")&amp;IF(AND(ISNUMBER($J598),OR($J598&lt;QC_BD_MIN,$J598&gt;QC_BD_MAX)),"Bulk density outside "&amp;QC_BD_MIN&amp;"–"&amp;QC_BD_MAX&amp;" g/cm³ for peat. Above the top of that range usually means the mineral contact has been passed. ","")&amp;IF(AND(ISNUMBER($N598),$N598&gt;QC_CARBON_PCT_MAX),"Carbon above "&amp;QC_CARBON_PCT_MAX&amp;"% — check units; this may be organic matter rather than carbon. ","")&amp;IF(AND($L598&lt;&gt;"",$M598&lt;&gt;""),"Both LOI and measured carbon given — the measured value is used. ","")&amp;IF(AND($M598="",$L598&lt;&gt;"",OM_FACTOR_IS_LOCAL&lt;&gt;"Yes"),"Carbon derived from LOI using the default factor of "&amp;CARBON_FRACTION_OM&amp;", which has not been calibrated locally. See R1. Reference. ","")&amp;IF(AND(ISNUMBER($O598),$O598=0,ISNUMBER($E598)),"Section lies entirely below the reference depth — it counts to the full-profile stock only. ",""))</f>
        <v/>
      </c>
      <c r="U598" s="14" t="n"/>
    </row>
    <row r="599">
      <c r="A599" s="14" t="n"/>
      <c r="B599" s="14" t="n"/>
      <c r="C599" s="14" t="n"/>
      <c r="D599" s="14" t="n"/>
      <c r="E599" s="14" t="n"/>
      <c r="F599" s="14" t="n"/>
      <c r="G599" s="14">
        <f>IF(OR($E599="",$F599=""),"",$F599-$E599)</f>
        <v/>
      </c>
      <c r="H599" s="14" t="n"/>
      <c r="I599" s="14" t="n"/>
      <c r="J599" s="19" t="n"/>
      <c r="K599" s="19" t="n"/>
      <c r="L599" s="19" t="n"/>
      <c r="M599" s="19" t="n"/>
      <c r="N599" s="18">
        <f>IF($M599&lt;&gt;"",$M599,IF($L599&lt;&gt;"",$L599*CARBON_FRACTION_OM,""))</f>
        <v/>
      </c>
      <c r="O599" s="18">
        <f>IF(OR($E599="",$F599=""),"",MAX(0,MIN($F599,REFERENCE_DEPTH_CM)-MIN($E599,REFERENCE_DEPTH_CM)))</f>
        <v/>
      </c>
      <c r="P599" s="18">
        <f>IF(OR($J599="",$N599="",$G599=""),"",$J599*($N599/100)*$G599*10)</f>
        <v/>
      </c>
      <c r="Q599" s="18">
        <f>IF(OR($J599="",$N599="",$O599=""),"",$J599*($N599/100)*$O599*10)</f>
        <v/>
      </c>
      <c r="R599" s="18">
        <f>IF(OR(NOT(ISNUMBER($P599)),NOT(ISNUMBER($G599)),$G599=0),0,$P599/$G599)</f>
        <v/>
      </c>
      <c r="S599" s="18">
        <f>IF(OR($B599="",NOT(ISNUMBER($F599))),"",SUMIFS('3. Peat Data'!$P$5:$P$604,'3. Peat Data'!$B$5:$B$604,$B599,'3. Peat Data'!$F$5:$F$604,"&lt;="&amp;$F599))</f>
        <v/>
      </c>
      <c r="T599" s="18">
        <f>IF(AND($A599="",$B599="",$E599=""),"",IF(AND($B599&lt;&gt;"",COUNTIF('2. Core Log'!$A$5:$A$124,$B599)=0),"Core ID not in Core Log. ","")&amp;IF(AND($A599&lt;&gt;"",COUNTIF('1. Plot &amp; Site Log'!$A$5:$A$64,$A599)=0),"Plot ID not in Plot &amp; Site Log. ","")&amp;IF(AND(ISNUMBER($E599),ISNUMBER($F599),$F599&lt;=$E599),"Bottom depth is not below top depth. ","")&amp;IF($I599="","Say which bulk-density basis the lab reported. ","")&amp;IF(AND(ISNUMBER($J599),OR($J599&lt;QC_BD_MIN,$J599&gt;QC_BD_MAX)),"Bulk density outside "&amp;QC_BD_MIN&amp;"–"&amp;QC_BD_MAX&amp;" g/cm³ for peat. Above the top of that range usually means the mineral contact has been passed. ","")&amp;IF(AND(ISNUMBER($N599),$N599&gt;QC_CARBON_PCT_MAX),"Carbon above "&amp;QC_CARBON_PCT_MAX&amp;"% — check units; this may be organic matter rather than carbon. ","")&amp;IF(AND($L599&lt;&gt;"",$M599&lt;&gt;""),"Both LOI and measured carbon given — the measured value is used. ","")&amp;IF(AND($M599="",$L599&lt;&gt;"",OM_FACTOR_IS_LOCAL&lt;&gt;"Yes"),"Carbon derived from LOI using the default factor of "&amp;CARBON_FRACTION_OM&amp;", which has not been calibrated locally. See R1. Reference. ","")&amp;IF(AND(ISNUMBER($O599),$O599=0,ISNUMBER($E599)),"Section lies entirely below the reference depth — it counts to the full-profile stock only. ",""))</f>
        <v/>
      </c>
      <c r="U599" s="14" t="n"/>
    </row>
    <row r="600">
      <c r="A600" s="14" t="n"/>
      <c r="B600" s="14" t="n"/>
      <c r="C600" s="14" t="n"/>
      <c r="D600" s="14" t="n"/>
      <c r="E600" s="14" t="n"/>
      <c r="F600" s="14" t="n"/>
      <c r="G600" s="14">
        <f>IF(OR($E600="",$F600=""),"",$F600-$E600)</f>
        <v/>
      </c>
      <c r="H600" s="14" t="n"/>
      <c r="I600" s="14" t="n"/>
      <c r="J600" s="19" t="n"/>
      <c r="K600" s="19" t="n"/>
      <c r="L600" s="19" t="n"/>
      <c r="M600" s="19" t="n"/>
      <c r="N600" s="18">
        <f>IF($M600&lt;&gt;"",$M600,IF($L600&lt;&gt;"",$L600*CARBON_FRACTION_OM,""))</f>
        <v/>
      </c>
      <c r="O600" s="18">
        <f>IF(OR($E600="",$F600=""),"",MAX(0,MIN($F600,REFERENCE_DEPTH_CM)-MIN($E600,REFERENCE_DEPTH_CM)))</f>
        <v/>
      </c>
      <c r="P600" s="18">
        <f>IF(OR($J600="",$N600="",$G600=""),"",$J600*($N600/100)*$G600*10)</f>
        <v/>
      </c>
      <c r="Q600" s="18">
        <f>IF(OR($J600="",$N600="",$O600=""),"",$J600*($N600/100)*$O600*10)</f>
        <v/>
      </c>
      <c r="R600" s="18">
        <f>IF(OR(NOT(ISNUMBER($P600)),NOT(ISNUMBER($G600)),$G600=0),0,$P600/$G600)</f>
        <v/>
      </c>
      <c r="S600" s="18">
        <f>IF(OR($B600="",NOT(ISNUMBER($F600))),"",SUMIFS('3. Peat Data'!$P$5:$P$604,'3. Peat Data'!$B$5:$B$604,$B600,'3. Peat Data'!$F$5:$F$604,"&lt;="&amp;$F600))</f>
        <v/>
      </c>
      <c r="T600" s="18">
        <f>IF(AND($A600="",$B600="",$E600=""),"",IF(AND($B600&lt;&gt;"",COUNTIF('2. Core Log'!$A$5:$A$124,$B600)=0),"Core ID not in Core Log. ","")&amp;IF(AND($A600&lt;&gt;"",COUNTIF('1. Plot &amp; Site Log'!$A$5:$A$64,$A600)=0),"Plot ID not in Plot &amp; Site Log. ","")&amp;IF(AND(ISNUMBER($E600),ISNUMBER($F600),$F600&lt;=$E600),"Bottom depth is not below top depth. ","")&amp;IF($I600="","Say which bulk-density basis the lab reported. ","")&amp;IF(AND(ISNUMBER($J600),OR($J600&lt;QC_BD_MIN,$J600&gt;QC_BD_MAX)),"Bulk density outside "&amp;QC_BD_MIN&amp;"–"&amp;QC_BD_MAX&amp;" g/cm³ for peat. Above the top of that range usually means the mineral contact has been passed. ","")&amp;IF(AND(ISNUMBER($N600),$N600&gt;QC_CARBON_PCT_MAX),"Carbon above "&amp;QC_CARBON_PCT_MAX&amp;"% — check units; this may be organic matter rather than carbon. ","")&amp;IF(AND($L600&lt;&gt;"",$M600&lt;&gt;""),"Both LOI and measured carbon given — the measured value is used. ","")&amp;IF(AND($M600="",$L600&lt;&gt;"",OM_FACTOR_IS_LOCAL&lt;&gt;"Yes"),"Carbon derived from LOI using the default factor of "&amp;CARBON_FRACTION_OM&amp;", which has not been calibrated locally. See R1. Reference. ","")&amp;IF(AND(ISNUMBER($O600),$O600=0,ISNUMBER($E600)),"Section lies entirely below the reference depth — it counts to the full-profile stock only. ",""))</f>
        <v/>
      </c>
      <c r="U600" s="14" t="n"/>
    </row>
    <row r="601">
      <c r="A601" s="14" t="n"/>
      <c r="B601" s="14" t="n"/>
      <c r="C601" s="14" t="n"/>
      <c r="D601" s="14" t="n"/>
      <c r="E601" s="14" t="n"/>
      <c r="F601" s="14" t="n"/>
      <c r="G601" s="14">
        <f>IF(OR($E601="",$F601=""),"",$F601-$E601)</f>
        <v/>
      </c>
      <c r="H601" s="14" t="n"/>
      <c r="I601" s="14" t="n"/>
      <c r="J601" s="19" t="n"/>
      <c r="K601" s="19" t="n"/>
      <c r="L601" s="19" t="n"/>
      <c r="M601" s="19" t="n"/>
      <c r="N601" s="18">
        <f>IF($M601&lt;&gt;"",$M601,IF($L601&lt;&gt;"",$L601*CARBON_FRACTION_OM,""))</f>
        <v/>
      </c>
      <c r="O601" s="18">
        <f>IF(OR($E601="",$F601=""),"",MAX(0,MIN($F601,REFERENCE_DEPTH_CM)-MIN($E601,REFERENCE_DEPTH_CM)))</f>
        <v/>
      </c>
      <c r="P601" s="18">
        <f>IF(OR($J601="",$N601="",$G601=""),"",$J601*($N601/100)*$G601*10)</f>
        <v/>
      </c>
      <c r="Q601" s="18">
        <f>IF(OR($J601="",$N601="",$O601=""),"",$J601*($N601/100)*$O601*10)</f>
        <v/>
      </c>
      <c r="R601" s="18">
        <f>IF(OR(NOT(ISNUMBER($P601)),NOT(ISNUMBER($G601)),$G601=0),0,$P601/$G601)</f>
        <v/>
      </c>
      <c r="S601" s="18">
        <f>IF(OR($B601="",NOT(ISNUMBER($F601))),"",SUMIFS('3. Peat Data'!$P$5:$P$604,'3. Peat Data'!$B$5:$B$604,$B601,'3. Peat Data'!$F$5:$F$604,"&lt;="&amp;$F601))</f>
        <v/>
      </c>
      <c r="T601" s="18">
        <f>IF(AND($A601="",$B601="",$E601=""),"",IF(AND($B601&lt;&gt;"",COUNTIF('2. Core Log'!$A$5:$A$124,$B601)=0),"Core ID not in Core Log. ","")&amp;IF(AND($A601&lt;&gt;"",COUNTIF('1. Plot &amp; Site Log'!$A$5:$A$64,$A601)=0),"Plot ID not in Plot &amp; Site Log. ","")&amp;IF(AND(ISNUMBER($E601),ISNUMBER($F601),$F601&lt;=$E601),"Bottom depth is not below top depth. ","")&amp;IF($I601="","Say which bulk-density basis the lab reported. ","")&amp;IF(AND(ISNUMBER($J601),OR($J601&lt;QC_BD_MIN,$J601&gt;QC_BD_MAX)),"Bulk density outside "&amp;QC_BD_MIN&amp;"–"&amp;QC_BD_MAX&amp;" g/cm³ for peat. Above the top of that range usually means the mineral contact has been passed. ","")&amp;IF(AND(ISNUMBER($N601),$N601&gt;QC_CARBON_PCT_MAX),"Carbon above "&amp;QC_CARBON_PCT_MAX&amp;"% — check units; this may be organic matter rather than carbon. ","")&amp;IF(AND($L601&lt;&gt;"",$M601&lt;&gt;""),"Both LOI and measured carbon given — the measured value is used. ","")&amp;IF(AND($M601="",$L601&lt;&gt;"",OM_FACTOR_IS_LOCAL&lt;&gt;"Yes"),"Carbon derived from LOI using the default factor of "&amp;CARBON_FRACTION_OM&amp;", which has not been calibrated locally. See R1. Reference. ","")&amp;IF(AND(ISNUMBER($O601),$O601=0,ISNUMBER($E601)),"Section lies entirely below the reference depth — it counts to the full-profile stock only. ",""))</f>
        <v/>
      </c>
      <c r="U601" s="14" t="n"/>
    </row>
    <row r="602">
      <c r="A602" s="14" t="n"/>
      <c r="B602" s="14" t="n"/>
      <c r="C602" s="14" t="n"/>
      <c r="D602" s="14" t="n"/>
      <c r="E602" s="14" t="n"/>
      <c r="F602" s="14" t="n"/>
      <c r="G602" s="14">
        <f>IF(OR($E602="",$F602=""),"",$F602-$E602)</f>
        <v/>
      </c>
      <c r="H602" s="14" t="n"/>
      <c r="I602" s="14" t="n"/>
      <c r="J602" s="19" t="n"/>
      <c r="K602" s="19" t="n"/>
      <c r="L602" s="19" t="n"/>
      <c r="M602" s="19" t="n"/>
      <c r="N602" s="18">
        <f>IF($M602&lt;&gt;"",$M602,IF($L602&lt;&gt;"",$L602*CARBON_FRACTION_OM,""))</f>
        <v/>
      </c>
      <c r="O602" s="18">
        <f>IF(OR($E602="",$F602=""),"",MAX(0,MIN($F602,REFERENCE_DEPTH_CM)-MIN($E602,REFERENCE_DEPTH_CM)))</f>
        <v/>
      </c>
      <c r="P602" s="18">
        <f>IF(OR($J602="",$N602="",$G602=""),"",$J602*($N602/100)*$G602*10)</f>
        <v/>
      </c>
      <c r="Q602" s="18">
        <f>IF(OR($J602="",$N602="",$O602=""),"",$J602*($N602/100)*$O602*10)</f>
        <v/>
      </c>
      <c r="R602" s="18">
        <f>IF(OR(NOT(ISNUMBER($P602)),NOT(ISNUMBER($G602)),$G602=0),0,$P602/$G602)</f>
        <v/>
      </c>
      <c r="S602" s="18">
        <f>IF(OR($B602="",NOT(ISNUMBER($F602))),"",SUMIFS('3. Peat Data'!$P$5:$P$604,'3. Peat Data'!$B$5:$B$604,$B602,'3. Peat Data'!$F$5:$F$604,"&lt;="&amp;$F602))</f>
        <v/>
      </c>
      <c r="T602" s="18">
        <f>IF(AND($A602="",$B602="",$E602=""),"",IF(AND($B602&lt;&gt;"",COUNTIF('2. Core Log'!$A$5:$A$124,$B602)=0),"Core ID not in Core Log. ","")&amp;IF(AND($A602&lt;&gt;"",COUNTIF('1. Plot &amp; Site Log'!$A$5:$A$64,$A602)=0),"Plot ID not in Plot &amp; Site Log. ","")&amp;IF(AND(ISNUMBER($E602),ISNUMBER($F602),$F602&lt;=$E602),"Bottom depth is not below top depth. ","")&amp;IF($I602="","Say which bulk-density basis the lab reported. ","")&amp;IF(AND(ISNUMBER($J602),OR($J602&lt;QC_BD_MIN,$J602&gt;QC_BD_MAX)),"Bulk density outside "&amp;QC_BD_MIN&amp;"–"&amp;QC_BD_MAX&amp;" g/cm³ for peat. Above the top of that range usually means the mineral contact has been passed. ","")&amp;IF(AND(ISNUMBER($N602),$N602&gt;QC_CARBON_PCT_MAX),"Carbon above "&amp;QC_CARBON_PCT_MAX&amp;"% — check units; this may be organic matter rather than carbon. ","")&amp;IF(AND($L602&lt;&gt;"",$M602&lt;&gt;""),"Both LOI and measured carbon given — the measured value is used. ","")&amp;IF(AND($M602="",$L602&lt;&gt;"",OM_FACTOR_IS_LOCAL&lt;&gt;"Yes"),"Carbon derived from LOI using the default factor of "&amp;CARBON_FRACTION_OM&amp;", which has not been calibrated locally. See R1. Reference. ","")&amp;IF(AND(ISNUMBER($O602),$O602=0,ISNUMBER($E602)),"Section lies entirely below the reference depth — it counts to the full-profile stock only. ",""))</f>
        <v/>
      </c>
      <c r="U602" s="14" t="n"/>
    </row>
    <row r="603">
      <c r="A603" s="14" t="n"/>
      <c r="B603" s="14" t="n"/>
      <c r="C603" s="14" t="n"/>
      <c r="D603" s="14" t="n"/>
      <c r="E603" s="14" t="n"/>
      <c r="F603" s="14" t="n"/>
      <c r="G603" s="14">
        <f>IF(OR($E603="",$F603=""),"",$F603-$E603)</f>
        <v/>
      </c>
      <c r="H603" s="14" t="n"/>
      <c r="I603" s="14" t="n"/>
      <c r="J603" s="19" t="n"/>
      <c r="K603" s="19" t="n"/>
      <c r="L603" s="19" t="n"/>
      <c r="M603" s="19" t="n"/>
      <c r="N603" s="18">
        <f>IF($M603&lt;&gt;"",$M603,IF($L603&lt;&gt;"",$L603*CARBON_FRACTION_OM,""))</f>
        <v/>
      </c>
      <c r="O603" s="18">
        <f>IF(OR($E603="",$F603=""),"",MAX(0,MIN($F603,REFERENCE_DEPTH_CM)-MIN($E603,REFERENCE_DEPTH_CM)))</f>
        <v/>
      </c>
      <c r="P603" s="18">
        <f>IF(OR($J603="",$N603="",$G603=""),"",$J603*($N603/100)*$G603*10)</f>
        <v/>
      </c>
      <c r="Q603" s="18">
        <f>IF(OR($J603="",$N603="",$O603=""),"",$J603*($N603/100)*$O603*10)</f>
        <v/>
      </c>
      <c r="R603" s="18">
        <f>IF(OR(NOT(ISNUMBER($P603)),NOT(ISNUMBER($G603)),$G603=0),0,$P603/$G603)</f>
        <v/>
      </c>
      <c r="S603" s="18">
        <f>IF(OR($B603="",NOT(ISNUMBER($F603))),"",SUMIFS('3. Peat Data'!$P$5:$P$604,'3. Peat Data'!$B$5:$B$604,$B603,'3. Peat Data'!$F$5:$F$604,"&lt;="&amp;$F603))</f>
        <v/>
      </c>
      <c r="T603" s="18">
        <f>IF(AND($A603="",$B603="",$E603=""),"",IF(AND($B603&lt;&gt;"",COUNTIF('2. Core Log'!$A$5:$A$124,$B603)=0),"Core ID not in Core Log. ","")&amp;IF(AND($A603&lt;&gt;"",COUNTIF('1. Plot &amp; Site Log'!$A$5:$A$64,$A603)=0),"Plot ID not in Plot &amp; Site Log. ","")&amp;IF(AND(ISNUMBER($E603),ISNUMBER($F603),$F603&lt;=$E603),"Bottom depth is not below top depth. ","")&amp;IF($I603="","Say which bulk-density basis the lab reported. ","")&amp;IF(AND(ISNUMBER($J603),OR($J603&lt;QC_BD_MIN,$J603&gt;QC_BD_MAX)),"Bulk density outside "&amp;QC_BD_MIN&amp;"–"&amp;QC_BD_MAX&amp;" g/cm³ for peat. Above the top of that range usually means the mineral contact has been passed. ","")&amp;IF(AND(ISNUMBER($N603),$N603&gt;QC_CARBON_PCT_MAX),"Carbon above "&amp;QC_CARBON_PCT_MAX&amp;"% — check units; this may be organic matter rather than carbon. ","")&amp;IF(AND($L603&lt;&gt;"",$M603&lt;&gt;""),"Both LOI and measured carbon given — the measured value is used. ","")&amp;IF(AND($M603="",$L603&lt;&gt;"",OM_FACTOR_IS_LOCAL&lt;&gt;"Yes"),"Carbon derived from LOI using the default factor of "&amp;CARBON_FRACTION_OM&amp;", which has not been calibrated locally. See R1. Reference. ","")&amp;IF(AND(ISNUMBER($O603),$O603=0,ISNUMBER($E603)),"Section lies entirely below the reference depth — it counts to the full-profile stock only. ",""))</f>
        <v/>
      </c>
      <c r="U603" s="14" t="n"/>
    </row>
    <row r="604">
      <c r="A604" s="14" t="n"/>
      <c r="B604" s="14" t="n"/>
      <c r="C604" s="14" t="n"/>
      <c r="D604" s="14" t="n"/>
      <c r="E604" s="14" t="n"/>
      <c r="F604" s="14" t="n"/>
      <c r="G604" s="14">
        <f>IF(OR($E604="",$F604=""),"",$F604-$E604)</f>
        <v/>
      </c>
      <c r="H604" s="14" t="n"/>
      <c r="I604" s="14" t="n"/>
      <c r="J604" s="19" t="n"/>
      <c r="K604" s="19" t="n"/>
      <c r="L604" s="19" t="n"/>
      <c r="M604" s="19" t="n"/>
      <c r="N604" s="18">
        <f>IF($M604&lt;&gt;"",$M604,IF($L604&lt;&gt;"",$L604*CARBON_FRACTION_OM,""))</f>
        <v/>
      </c>
      <c r="O604" s="18">
        <f>IF(OR($E604="",$F604=""),"",MAX(0,MIN($F604,REFERENCE_DEPTH_CM)-MIN($E604,REFERENCE_DEPTH_CM)))</f>
        <v/>
      </c>
      <c r="P604" s="18">
        <f>IF(OR($J604="",$N604="",$G604=""),"",$J604*($N604/100)*$G604*10)</f>
        <v/>
      </c>
      <c r="Q604" s="18">
        <f>IF(OR($J604="",$N604="",$O604=""),"",$J604*($N604/100)*$O604*10)</f>
        <v/>
      </c>
      <c r="R604" s="18">
        <f>IF(OR(NOT(ISNUMBER($P604)),NOT(ISNUMBER($G604)),$G604=0),0,$P604/$G604)</f>
        <v/>
      </c>
      <c r="S604" s="18">
        <f>IF(OR($B604="",NOT(ISNUMBER($F604))),"",SUMIFS('3. Peat Data'!$P$5:$P$604,'3. Peat Data'!$B$5:$B$604,$B604,'3. Peat Data'!$F$5:$F$604,"&lt;="&amp;$F604))</f>
        <v/>
      </c>
      <c r="T604" s="18">
        <f>IF(AND($A604="",$B604="",$E604=""),"",IF(AND($B604&lt;&gt;"",COUNTIF('2. Core Log'!$A$5:$A$124,$B604)=0),"Core ID not in Core Log. ","")&amp;IF(AND($A604&lt;&gt;"",COUNTIF('1. Plot &amp; Site Log'!$A$5:$A$64,$A604)=0),"Plot ID not in Plot &amp; Site Log. ","")&amp;IF(AND(ISNUMBER($E604),ISNUMBER($F604),$F604&lt;=$E604),"Bottom depth is not below top depth. ","")&amp;IF($I604="","Say which bulk-density basis the lab reported. ","")&amp;IF(AND(ISNUMBER($J604),OR($J604&lt;QC_BD_MIN,$J604&gt;QC_BD_MAX)),"Bulk density outside "&amp;QC_BD_MIN&amp;"–"&amp;QC_BD_MAX&amp;" g/cm³ for peat. Above the top of that range usually means the mineral contact has been passed. ","")&amp;IF(AND(ISNUMBER($N604),$N604&gt;QC_CARBON_PCT_MAX),"Carbon above "&amp;QC_CARBON_PCT_MAX&amp;"% — check units; this may be organic matter rather than carbon. ","")&amp;IF(AND($L604&lt;&gt;"",$M604&lt;&gt;""),"Both LOI and measured carbon given — the measured value is used. ","")&amp;IF(AND($M604="",$L604&lt;&gt;"",OM_FACTOR_IS_LOCAL&lt;&gt;"Yes"),"Carbon derived from LOI using the default factor of "&amp;CARBON_FRACTION_OM&amp;", which has not been calibrated locally. See R1. Reference. ","")&amp;IF(AND(ISNUMBER($O604),$O604=0,ISNUMBER($E604)),"Section lies entirely below the reference depth — it counts to the full-profile stock only. ",""))</f>
        <v/>
      </c>
      <c r="U604" s="14" t="n"/>
    </row>
  </sheetData>
  <mergeCells count="1">
    <mergeCell ref="A2:U2"/>
  </mergeCells>
  <dataValidations count="4">
    <dataValidation sqref="A5:A604" showDropDown="0" showInputMessage="0" showErrorMessage="0" allowBlank="1" type="list">
      <formula1>='1. Plot &amp; Site Log'!$A$5:$A$64</formula1>
    </dataValidation>
    <dataValidation sqref="B5:B604" showDropDown="0" showInputMessage="0" showErrorMessage="0" allowBlank="1" type="list">
      <formula1>='2. Core Log'!$A$5:$A$124</formula1>
    </dataValidation>
    <dataValidation sqref="H5:H604" showDropDown="0" showInputMessage="0" showErrorMessage="0" allowBlank="1" type="list">
      <formula1>='R1. Reference'!$A$6:$A$15</formula1>
    </dataValidation>
    <dataValidation sqref="I5:I604" showDropDown="0" showInputMessage="0" showErrorMessage="0" allowBlank="1" type="list">
      <formula1>"Whole sample / sample volume,Fine fraction / fine-fraction volume"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pane ySplit="209" topLeftCell="A210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12" customWidth="1" min="9" max="9"/>
    <col hidden="1" width="52" customWidth="1" min="10" max="10"/>
    <col hidden="1" width="24" customWidth="1" min="11" max="11"/>
  </cols>
  <sheetData>
    <row r="1">
      <c r="A1" s="10" t="inlineStr">
        <is>
          <t>CHRONOLOGY</t>
        </is>
      </c>
    </row>
    <row r="2" ht="34" customHeight="1">
      <c r="A2" s="15" t="inlineStr">
        <is>
          <t>OPTIONAL — only if the core has been dated. ONE ROW PER DATED HORIZON. Age is in years BEFORE THE CORING YEAR, not years BP (which is referenced to 1950). The age-depth modelling itself happens in R — see Part 5 — and what you type here are its outputs. Carbon comes from the peat sheet, so nothing is entered twice.</t>
        </is>
      </c>
    </row>
    <row r="4" ht="42" customHeight="1">
      <c r="A4" s="16" t="inlineStr">
        <is>
          <t>Core ID</t>
        </is>
      </c>
      <c r="B4" s="16" t="inlineStr">
        <is>
          <t>Depth (cm)</t>
        </is>
      </c>
      <c r="C4" s="16" t="inlineStr">
        <is>
          <t>Age (yr before coring)</t>
        </is>
      </c>
      <c r="D4" s="16" t="inlineStr">
        <is>
          <t>Age ± (yr)</t>
        </is>
      </c>
      <c r="E4" s="16" t="inlineStr">
        <is>
          <t>Date source</t>
        </is>
      </c>
      <c r="F4" s="16" t="inlineStr">
        <is>
          <t>Cumulative carbon at depth (kg C/m²)</t>
        </is>
      </c>
      <c r="G4" s="16" t="inlineStr">
        <is>
          <t>Interval SAR (cm/yr)</t>
        </is>
      </c>
      <c r="H4" s="16" t="inlineStr">
        <is>
          <t>Interval CAR (g C/m²/yr)</t>
        </is>
      </c>
      <c r="I4" s="16" t="inlineStr">
        <is>
          <t>QC flags</t>
        </is>
      </c>
      <c r="J4" s="16" t="inlineStr">
        <is>
          <t>_recent</t>
        </is>
      </c>
      <c r="K4" s="16" t="inlineStr">
        <is>
          <t>_prevdepth</t>
        </is>
      </c>
    </row>
    <row r="5">
      <c r="A5" s="14" t="n"/>
      <c r="B5" s="14" t="n"/>
      <c r="C5" s="14" t="n"/>
      <c r="D5" s="14" t="n"/>
      <c r="E5" s="14" t="n"/>
      <c r="F5" s="18">
        <f>IF(OR($A5="",NOT(ISNUMBER($B5))),"",SUMIFS('3. Peat Data'!$P$5:$P$604,'3. Peat Data'!$B$5:$B$604,$A5,'3. Peat Data'!$F$5:$F$604,"&lt;="&amp;$B5)+SUMPRODUCT(('3. Peat Data'!$B$5:$B$604=$A5)*('3. Peat Data'!$E$5:$E$604&lt;$B5)*('3. Peat Data'!$F$5:$F$604&gt;$B5)*'3. Peat Data'!$R$5:$R$604*($B5-'3. Peat Data'!$E$5:$E$604)))</f>
        <v/>
      </c>
      <c r="G5" s="18">
        <f>IF(OR($A5="",NOT(ISNUMBER($B5)),NOT(ISNUMBER($C5))),"",IFERROR(($B5-$K5)/($C5-IF($K5=0,0,SUMIFS('4. Chronology'!$C$5:$C$204,'4. Chronology'!$A$5:$A$204,$A5,'4. Chronology'!$B$5:$B$204,$K5))),""))</f>
        <v/>
      </c>
      <c r="H5" s="18">
        <f>IF(OR($A5="",NOT(ISNUMBER($F5)),NOT(ISNUMBER($C5))),"",IFERROR((($F5-IF($K5=0,0,SUMIFS('4. Chronology'!$F$5:$F$204,'4. Chronology'!$A$5:$A$204,$A5,'4. Chronology'!$B$5:$B$204,$K5)))*1000)/($C5-IF($K5=0,0,SUMIFS('4. Chronology'!$C$5:$C$204,'4. Chronology'!$A$5:$A$204,$A5,'4. Chronology'!$B$5:$B$204,$K5))),""))</f>
        <v/>
      </c>
      <c r="I5" s="18">
        <f>IF($A5="","",IF(COUNTIF('2. Core Log'!$A$5:$A$124,$A5)=0,"Core ID not in Core Log. ","")&amp;IF($E5="","No date source given — RERCA and LORCA need to know which method produced this age. ","")&amp;IF(AND(ISNUMBER($C5),$C5&lt;0),"Negative age: this horizon post-dates the coring year. Check the conversion. ","")&amp;IF(AND(ISNUMBER($G5),$G5&lt;0),"Age reversal — this horizon is younger than one above it. A mixed or disturbed profile may not be datable at all. ","")&amp;IF(AND(ISNUMBER($D5),ISNUMBER($C5),$C5&gt;0,$D5/$C5&gt;0.5),"Age uncertainty exceeds 50% of the age. Usable as an indication only. ","")&amp;IF(AND($D5="",$C5&lt;&gt;""),"No uncertainty given. Every radiometric age has one; a rate without it cannot be defended. ",""))</f>
        <v/>
      </c>
      <c r="J5" s="18">
        <f>IF($E5="",0,IF(OR(LEFT($E5,6)="Pb-210",LEFT($E5,6)="Cs-137"),1,0))</f>
        <v/>
      </c>
      <c r="K5" s="18">
        <f>IF(OR($A5="",NOT(ISNUMBER($B5))),"",SUMPRODUCT(MAX(('4. Chronology'!$A$5:$A$204=$A5)*('4. Chronology'!$B$5:$B$204&lt;$B5)*'4. Chronology'!$B$5:$B$204)))</f>
        <v/>
      </c>
    </row>
    <row r="6">
      <c r="A6" s="14" t="n"/>
      <c r="B6" s="14" t="n"/>
      <c r="C6" s="14" t="n"/>
      <c r="D6" s="14" t="n"/>
      <c r="E6" s="14" t="n"/>
      <c r="F6" s="18">
        <f>IF(OR($A6="",NOT(ISNUMBER($B6))),"",SUMIFS('3. Peat Data'!$P$5:$P$604,'3. Peat Data'!$B$5:$B$604,$A6,'3. Peat Data'!$F$5:$F$604,"&lt;="&amp;$B6)+SUMPRODUCT(('3. Peat Data'!$B$5:$B$604=$A6)*('3. Peat Data'!$E$5:$E$604&lt;$B6)*('3. Peat Data'!$F$5:$F$604&gt;$B6)*'3. Peat Data'!$R$5:$R$604*($B6-'3. Peat Data'!$E$5:$E$604)))</f>
        <v/>
      </c>
      <c r="G6" s="18">
        <f>IF(OR($A6="",NOT(ISNUMBER($B6)),NOT(ISNUMBER($C6))),"",IFERROR(($B6-$K6)/($C6-IF($K6=0,0,SUMIFS('4. Chronology'!$C$5:$C$204,'4. Chronology'!$A$5:$A$204,$A6,'4. Chronology'!$B$5:$B$204,$K6))),""))</f>
        <v/>
      </c>
      <c r="H6" s="18">
        <f>IF(OR($A6="",NOT(ISNUMBER($F6)),NOT(ISNUMBER($C6))),"",IFERROR((($F6-IF($K6=0,0,SUMIFS('4. Chronology'!$F$5:$F$204,'4. Chronology'!$A$5:$A$204,$A6,'4. Chronology'!$B$5:$B$204,$K6)))*1000)/($C6-IF($K6=0,0,SUMIFS('4. Chronology'!$C$5:$C$204,'4. Chronology'!$A$5:$A$204,$A6,'4. Chronology'!$B$5:$B$204,$K6))),""))</f>
        <v/>
      </c>
      <c r="I6" s="18">
        <f>IF($A6="","",IF(COUNTIF('2. Core Log'!$A$5:$A$124,$A6)=0,"Core ID not in Core Log. ","")&amp;IF($E6="","No date source given — RERCA and LORCA need to know which method produced this age. ","")&amp;IF(AND(ISNUMBER($C6),$C6&lt;0),"Negative age: this horizon post-dates the coring year. Check the conversion. ","")&amp;IF(AND(ISNUMBER($G6),$G6&lt;0),"Age reversal — this horizon is younger than one above it. A mixed or disturbed profile may not be datable at all. ","")&amp;IF(AND(ISNUMBER($D6),ISNUMBER($C6),$C6&gt;0,$D6/$C6&gt;0.5),"Age uncertainty exceeds 50% of the age. Usable as an indication only. ","")&amp;IF(AND($D6="",$C6&lt;&gt;""),"No uncertainty given. Every radiometric age has one; a rate without it cannot be defended. ",""))</f>
        <v/>
      </c>
      <c r="J6" s="18">
        <f>IF($E6="",0,IF(OR(LEFT($E6,6)="Pb-210",LEFT($E6,6)="Cs-137"),1,0))</f>
        <v/>
      </c>
      <c r="K6" s="18">
        <f>IF(OR($A6="",NOT(ISNUMBER($B6))),"",SUMPRODUCT(MAX(('4. Chronology'!$A$5:$A$204=$A6)*('4. Chronology'!$B$5:$B$204&lt;$B6)*'4. Chronology'!$B$5:$B$204)))</f>
        <v/>
      </c>
    </row>
    <row r="7">
      <c r="A7" s="14" t="n"/>
      <c r="B7" s="14" t="n"/>
      <c r="C7" s="14" t="n"/>
      <c r="D7" s="14" t="n"/>
      <c r="E7" s="14" t="n"/>
      <c r="F7" s="18">
        <f>IF(OR($A7="",NOT(ISNUMBER($B7))),"",SUMIFS('3. Peat Data'!$P$5:$P$604,'3. Peat Data'!$B$5:$B$604,$A7,'3. Peat Data'!$F$5:$F$604,"&lt;="&amp;$B7)+SUMPRODUCT(('3. Peat Data'!$B$5:$B$604=$A7)*('3. Peat Data'!$E$5:$E$604&lt;$B7)*('3. Peat Data'!$F$5:$F$604&gt;$B7)*'3. Peat Data'!$R$5:$R$604*($B7-'3. Peat Data'!$E$5:$E$604)))</f>
        <v/>
      </c>
      <c r="G7" s="18">
        <f>IF(OR($A7="",NOT(ISNUMBER($B7)),NOT(ISNUMBER($C7))),"",IFERROR(($B7-$K7)/($C7-IF($K7=0,0,SUMIFS('4. Chronology'!$C$5:$C$204,'4. Chronology'!$A$5:$A$204,$A7,'4. Chronology'!$B$5:$B$204,$K7))),""))</f>
        <v/>
      </c>
      <c r="H7" s="18">
        <f>IF(OR($A7="",NOT(ISNUMBER($F7)),NOT(ISNUMBER($C7))),"",IFERROR((($F7-IF($K7=0,0,SUMIFS('4. Chronology'!$F$5:$F$204,'4. Chronology'!$A$5:$A$204,$A7,'4. Chronology'!$B$5:$B$204,$K7)))*1000)/($C7-IF($K7=0,0,SUMIFS('4. Chronology'!$C$5:$C$204,'4. Chronology'!$A$5:$A$204,$A7,'4. Chronology'!$B$5:$B$204,$K7))),""))</f>
        <v/>
      </c>
      <c r="I7" s="18">
        <f>IF($A7="","",IF(COUNTIF('2. Core Log'!$A$5:$A$124,$A7)=0,"Core ID not in Core Log. ","")&amp;IF($E7="","No date source given — RERCA and LORCA need to know which method produced this age. ","")&amp;IF(AND(ISNUMBER($C7),$C7&lt;0),"Negative age: this horizon post-dates the coring year. Check the conversion. ","")&amp;IF(AND(ISNUMBER($G7),$G7&lt;0),"Age reversal — this horizon is younger than one above it. A mixed or disturbed profile may not be datable at all. ","")&amp;IF(AND(ISNUMBER($D7),ISNUMBER($C7),$C7&gt;0,$D7/$C7&gt;0.5),"Age uncertainty exceeds 50% of the age. Usable as an indication only. ","")&amp;IF(AND($D7="",$C7&lt;&gt;""),"No uncertainty given. Every radiometric age has one; a rate without it cannot be defended. ",""))</f>
        <v/>
      </c>
      <c r="J7" s="18">
        <f>IF($E7="",0,IF(OR(LEFT($E7,6)="Pb-210",LEFT($E7,6)="Cs-137"),1,0))</f>
        <v/>
      </c>
      <c r="K7" s="18">
        <f>IF(OR($A7="",NOT(ISNUMBER($B7))),"",SUMPRODUCT(MAX(('4. Chronology'!$A$5:$A$204=$A7)*('4. Chronology'!$B$5:$B$204&lt;$B7)*'4. Chronology'!$B$5:$B$204)))</f>
        <v/>
      </c>
    </row>
    <row r="8">
      <c r="A8" s="14" t="n"/>
      <c r="B8" s="14" t="n"/>
      <c r="C8" s="14" t="n"/>
      <c r="D8" s="14" t="n"/>
      <c r="E8" s="14" t="n"/>
      <c r="F8" s="18">
        <f>IF(OR($A8="",NOT(ISNUMBER($B8))),"",SUMIFS('3. Peat Data'!$P$5:$P$604,'3. Peat Data'!$B$5:$B$604,$A8,'3. Peat Data'!$F$5:$F$604,"&lt;="&amp;$B8)+SUMPRODUCT(('3. Peat Data'!$B$5:$B$604=$A8)*('3. Peat Data'!$E$5:$E$604&lt;$B8)*('3. Peat Data'!$F$5:$F$604&gt;$B8)*'3. Peat Data'!$R$5:$R$604*($B8-'3. Peat Data'!$E$5:$E$604)))</f>
        <v/>
      </c>
      <c r="G8" s="18">
        <f>IF(OR($A8="",NOT(ISNUMBER($B8)),NOT(ISNUMBER($C8))),"",IFERROR(($B8-$K8)/($C8-IF($K8=0,0,SUMIFS('4. Chronology'!$C$5:$C$204,'4. Chronology'!$A$5:$A$204,$A8,'4. Chronology'!$B$5:$B$204,$K8))),""))</f>
        <v/>
      </c>
      <c r="H8" s="18">
        <f>IF(OR($A8="",NOT(ISNUMBER($F8)),NOT(ISNUMBER($C8))),"",IFERROR((($F8-IF($K8=0,0,SUMIFS('4. Chronology'!$F$5:$F$204,'4. Chronology'!$A$5:$A$204,$A8,'4. Chronology'!$B$5:$B$204,$K8)))*1000)/($C8-IF($K8=0,0,SUMIFS('4. Chronology'!$C$5:$C$204,'4. Chronology'!$A$5:$A$204,$A8,'4. Chronology'!$B$5:$B$204,$K8))),""))</f>
        <v/>
      </c>
      <c r="I8" s="18">
        <f>IF($A8="","",IF(COUNTIF('2. Core Log'!$A$5:$A$124,$A8)=0,"Core ID not in Core Log. ","")&amp;IF($E8="","No date source given — RERCA and LORCA need to know which method produced this age. ","")&amp;IF(AND(ISNUMBER($C8),$C8&lt;0),"Negative age: this horizon post-dates the coring year. Check the conversion. ","")&amp;IF(AND(ISNUMBER($G8),$G8&lt;0),"Age reversal — this horizon is younger than one above it. A mixed or disturbed profile may not be datable at all. ","")&amp;IF(AND(ISNUMBER($D8),ISNUMBER($C8),$C8&gt;0,$D8/$C8&gt;0.5),"Age uncertainty exceeds 50% of the age. Usable as an indication only. ","")&amp;IF(AND($D8="",$C8&lt;&gt;""),"No uncertainty given. Every radiometric age has one; a rate without it cannot be defended. ",""))</f>
        <v/>
      </c>
      <c r="J8" s="18">
        <f>IF($E8="",0,IF(OR(LEFT($E8,6)="Pb-210",LEFT($E8,6)="Cs-137"),1,0))</f>
        <v/>
      </c>
      <c r="K8" s="18">
        <f>IF(OR($A8="",NOT(ISNUMBER($B8))),"",SUMPRODUCT(MAX(('4. Chronology'!$A$5:$A$204=$A8)*('4. Chronology'!$B$5:$B$204&lt;$B8)*'4. Chronology'!$B$5:$B$204)))</f>
        <v/>
      </c>
    </row>
    <row r="9">
      <c r="A9" s="14" t="n"/>
      <c r="B9" s="14" t="n"/>
      <c r="C9" s="14" t="n"/>
      <c r="D9" s="14" t="n"/>
      <c r="E9" s="14" t="n"/>
      <c r="F9" s="18">
        <f>IF(OR($A9="",NOT(ISNUMBER($B9))),"",SUMIFS('3. Peat Data'!$P$5:$P$604,'3. Peat Data'!$B$5:$B$604,$A9,'3. Peat Data'!$F$5:$F$604,"&lt;="&amp;$B9)+SUMPRODUCT(('3. Peat Data'!$B$5:$B$604=$A9)*('3. Peat Data'!$E$5:$E$604&lt;$B9)*('3. Peat Data'!$F$5:$F$604&gt;$B9)*'3. Peat Data'!$R$5:$R$604*($B9-'3. Peat Data'!$E$5:$E$604)))</f>
        <v/>
      </c>
      <c r="G9" s="18">
        <f>IF(OR($A9="",NOT(ISNUMBER($B9)),NOT(ISNUMBER($C9))),"",IFERROR(($B9-$K9)/($C9-IF($K9=0,0,SUMIFS('4. Chronology'!$C$5:$C$204,'4. Chronology'!$A$5:$A$204,$A9,'4. Chronology'!$B$5:$B$204,$K9))),""))</f>
        <v/>
      </c>
      <c r="H9" s="18">
        <f>IF(OR($A9="",NOT(ISNUMBER($F9)),NOT(ISNUMBER($C9))),"",IFERROR((($F9-IF($K9=0,0,SUMIFS('4. Chronology'!$F$5:$F$204,'4. Chronology'!$A$5:$A$204,$A9,'4. Chronology'!$B$5:$B$204,$K9)))*1000)/($C9-IF($K9=0,0,SUMIFS('4. Chronology'!$C$5:$C$204,'4. Chronology'!$A$5:$A$204,$A9,'4. Chronology'!$B$5:$B$204,$K9))),""))</f>
        <v/>
      </c>
      <c r="I9" s="18">
        <f>IF($A9="","",IF(COUNTIF('2. Core Log'!$A$5:$A$124,$A9)=0,"Core ID not in Core Log. ","")&amp;IF($E9="","No date source given — RERCA and LORCA need to know which method produced this age. ","")&amp;IF(AND(ISNUMBER($C9),$C9&lt;0),"Negative age: this horizon post-dates the coring year. Check the conversion. ","")&amp;IF(AND(ISNUMBER($G9),$G9&lt;0),"Age reversal — this horizon is younger than one above it. A mixed or disturbed profile may not be datable at all. ","")&amp;IF(AND(ISNUMBER($D9),ISNUMBER($C9),$C9&gt;0,$D9/$C9&gt;0.5),"Age uncertainty exceeds 50% of the age. Usable as an indication only. ","")&amp;IF(AND($D9="",$C9&lt;&gt;""),"No uncertainty given. Every radiometric age has one; a rate without it cannot be defended. ",""))</f>
        <v/>
      </c>
      <c r="J9" s="18">
        <f>IF($E9="",0,IF(OR(LEFT($E9,6)="Pb-210",LEFT($E9,6)="Cs-137"),1,0))</f>
        <v/>
      </c>
      <c r="K9" s="18">
        <f>IF(OR($A9="",NOT(ISNUMBER($B9))),"",SUMPRODUCT(MAX(('4. Chronology'!$A$5:$A$204=$A9)*('4. Chronology'!$B$5:$B$204&lt;$B9)*'4. Chronology'!$B$5:$B$204)))</f>
        <v/>
      </c>
    </row>
    <row r="10">
      <c r="A10" s="14" t="n"/>
      <c r="B10" s="14" t="n"/>
      <c r="C10" s="14" t="n"/>
      <c r="D10" s="14" t="n"/>
      <c r="E10" s="14" t="n"/>
      <c r="F10" s="18">
        <f>IF(OR($A10="",NOT(ISNUMBER($B10))),"",SUMIFS('3. Peat Data'!$P$5:$P$604,'3. Peat Data'!$B$5:$B$604,$A10,'3. Peat Data'!$F$5:$F$604,"&lt;="&amp;$B10)+SUMPRODUCT(('3. Peat Data'!$B$5:$B$604=$A10)*('3. Peat Data'!$E$5:$E$604&lt;$B10)*('3. Peat Data'!$F$5:$F$604&gt;$B10)*'3. Peat Data'!$R$5:$R$604*($B10-'3. Peat Data'!$E$5:$E$604)))</f>
        <v/>
      </c>
      <c r="G10" s="18">
        <f>IF(OR($A10="",NOT(ISNUMBER($B10)),NOT(ISNUMBER($C10))),"",IFERROR(($B10-$K10)/($C10-IF($K10=0,0,SUMIFS('4. Chronology'!$C$5:$C$204,'4. Chronology'!$A$5:$A$204,$A10,'4. Chronology'!$B$5:$B$204,$K10))),""))</f>
        <v/>
      </c>
      <c r="H10" s="18">
        <f>IF(OR($A10="",NOT(ISNUMBER($F10)),NOT(ISNUMBER($C10))),"",IFERROR((($F10-IF($K10=0,0,SUMIFS('4. Chronology'!$F$5:$F$204,'4. Chronology'!$A$5:$A$204,$A10,'4. Chronology'!$B$5:$B$204,$K10)))*1000)/($C10-IF($K10=0,0,SUMIFS('4. Chronology'!$C$5:$C$204,'4. Chronology'!$A$5:$A$204,$A10,'4. Chronology'!$B$5:$B$204,$K10))),""))</f>
        <v/>
      </c>
      <c r="I10" s="18">
        <f>IF($A10="","",IF(COUNTIF('2. Core Log'!$A$5:$A$124,$A10)=0,"Core ID not in Core Log. ","")&amp;IF($E10="","No date source given — RERCA and LORCA need to know which method produced this age. ","")&amp;IF(AND(ISNUMBER($C10),$C10&lt;0),"Negative age: this horizon post-dates the coring year. Check the conversion. ","")&amp;IF(AND(ISNUMBER($G10),$G10&lt;0),"Age reversal — this horizon is younger than one above it. A mixed or disturbed profile may not be datable at all. ","")&amp;IF(AND(ISNUMBER($D10),ISNUMBER($C10),$C10&gt;0,$D10/$C10&gt;0.5),"Age uncertainty exceeds 50% of the age. Usable as an indication only. ","")&amp;IF(AND($D10="",$C10&lt;&gt;""),"No uncertainty given. Every radiometric age has one; a rate without it cannot be defended. ",""))</f>
        <v/>
      </c>
      <c r="J10" s="18">
        <f>IF($E10="",0,IF(OR(LEFT($E10,6)="Pb-210",LEFT($E10,6)="Cs-137"),1,0))</f>
        <v/>
      </c>
      <c r="K10" s="18">
        <f>IF(OR($A10="",NOT(ISNUMBER($B10))),"",SUMPRODUCT(MAX(('4. Chronology'!$A$5:$A$204=$A10)*('4. Chronology'!$B$5:$B$204&lt;$B10)*'4. Chronology'!$B$5:$B$204)))</f>
        <v/>
      </c>
    </row>
    <row r="11">
      <c r="A11" s="14" t="n"/>
      <c r="B11" s="14" t="n"/>
      <c r="C11" s="14" t="n"/>
      <c r="D11" s="14" t="n"/>
      <c r="E11" s="14" t="n"/>
      <c r="F11" s="18">
        <f>IF(OR($A11="",NOT(ISNUMBER($B11))),"",SUMIFS('3. Peat Data'!$P$5:$P$604,'3. Peat Data'!$B$5:$B$604,$A11,'3. Peat Data'!$F$5:$F$604,"&lt;="&amp;$B11)+SUMPRODUCT(('3. Peat Data'!$B$5:$B$604=$A11)*('3. Peat Data'!$E$5:$E$604&lt;$B11)*('3. Peat Data'!$F$5:$F$604&gt;$B11)*'3. Peat Data'!$R$5:$R$604*($B11-'3. Peat Data'!$E$5:$E$604)))</f>
        <v/>
      </c>
      <c r="G11" s="18">
        <f>IF(OR($A11="",NOT(ISNUMBER($B11)),NOT(ISNUMBER($C11))),"",IFERROR(($B11-$K11)/($C11-IF($K11=0,0,SUMIFS('4. Chronology'!$C$5:$C$204,'4. Chronology'!$A$5:$A$204,$A11,'4. Chronology'!$B$5:$B$204,$K11))),""))</f>
        <v/>
      </c>
      <c r="H11" s="18">
        <f>IF(OR($A11="",NOT(ISNUMBER($F11)),NOT(ISNUMBER($C11))),"",IFERROR((($F11-IF($K11=0,0,SUMIFS('4. Chronology'!$F$5:$F$204,'4. Chronology'!$A$5:$A$204,$A11,'4. Chronology'!$B$5:$B$204,$K11)))*1000)/($C11-IF($K11=0,0,SUMIFS('4. Chronology'!$C$5:$C$204,'4. Chronology'!$A$5:$A$204,$A11,'4. Chronology'!$B$5:$B$204,$K11))),""))</f>
        <v/>
      </c>
      <c r="I11" s="18">
        <f>IF($A11="","",IF(COUNTIF('2. Core Log'!$A$5:$A$124,$A11)=0,"Core ID not in Core Log. ","")&amp;IF($E11="","No date source given — RERCA and LORCA need to know which method produced this age. ","")&amp;IF(AND(ISNUMBER($C11),$C11&lt;0),"Negative age: this horizon post-dates the coring year. Check the conversion. ","")&amp;IF(AND(ISNUMBER($G11),$G11&lt;0),"Age reversal — this horizon is younger than one above it. A mixed or disturbed profile may not be datable at all. ","")&amp;IF(AND(ISNUMBER($D11),ISNUMBER($C11),$C11&gt;0,$D11/$C11&gt;0.5),"Age uncertainty exceeds 50% of the age. Usable as an indication only. ","")&amp;IF(AND($D11="",$C11&lt;&gt;""),"No uncertainty given. Every radiometric age has one; a rate without it cannot be defended. ",""))</f>
        <v/>
      </c>
      <c r="J11" s="18">
        <f>IF($E11="",0,IF(OR(LEFT($E11,6)="Pb-210",LEFT($E11,6)="Cs-137"),1,0))</f>
        <v/>
      </c>
      <c r="K11" s="18">
        <f>IF(OR($A11="",NOT(ISNUMBER($B11))),"",SUMPRODUCT(MAX(('4. Chronology'!$A$5:$A$204=$A11)*('4. Chronology'!$B$5:$B$204&lt;$B11)*'4. Chronology'!$B$5:$B$204)))</f>
        <v/>
      </c>
    </row>
    <row r="12">
      <c r="A12" s="14" t="n"/>
      <c r="B12" s="14" t="n"/>
      <c r="C12" s="14" t="n"/>
      <c r="D12" s="14" t="n"/>
      <c r="E12" s="14" t="n"/>
      <c r="F12" s="18">
        <f>IF(OR($A12="",NOT(ISNUMBER($B12))),"",SUMIFS('3. Peat Data'!$P$5:$P$604,'3. Peat Data'!$B$5:$B$604,$A12,'3. Peat Data'!$F$5:$F$604,"&lt;="&amp;$B12)+SUMPRODUCT(('3. Peat Data'!$B$5:$B$604=$A12)*('3. Peat Data'!$E$5:$E$604&lt;$B12)*('3. Peat Data'!$F$5:$F$604&gt;$B12)*'3. Peat Data'!$R$5:$R$604*($B12-'3. Peat Data'!$E$5:$E$604)))</f>
        <v/>
      </c>
      <c r="G12" s="18">
        <f>IF(OR($A12="",NOT(ISNUMBER($B12)),NOT(ISNUMBER($C12))),"",IFERROR(($B12-$K12)/($C12-IF($K12=0,0,SUMIFS('4. Chronology'!$C$5:$C$204,'4. Chronology'!$A$5:$A$204,$A12,'4. Chronology'!$B$5:$B$204,$K12))),""))</f>
        <v/>
      </c>
      <c r="H12" s="18">
        <f>IF(OR($A12="",NOT(ISNUMBER($F12)),NOT(ISNUMBER($C12))),"",IFERROR((($F12-IF($K12=0,0,SUMIFS('4. Chronology'!$F$5:$F$204,'4. Chronology'!$A$5:$A$204,$A12,'4. Chronology'!$B$5:$B$204,$K12)))*1000)/($C12-IF($K12=0,0,SUMIFS('4. Chronology'!$C$5:$C$204,'4. Chronology'!$A$5:$A$204,$A12,'4. Chronology'!$B$5:$B$204,$K12))),""))</f>
        <v/>
      </c>
      <c r="I12" s="18">
        <f>IF($A12="","",IF(COUNTIF('2. Core Log'!$A$5:$A$124,$A12)=0,"Core ID not in Core Log. ","")&amp;IF($E12="","No date source given — RERCA and LORCA need to know which method produced this age. ","")&amp;IF(AND(ISNUMBER($C12),$C12&lt;0),"Negative age: this horizon post-dates the coring year. Check the conversion. ","")&amp;IF(AND(ISNUMBER($G12),$G12&lt;0),"Age reversal — this horizon is younger than one above it. A mixed or disturbed profile may not be datable at all. ","")&amp;IF(AND(ISNUMBER($D12),ISNUMBER($C12),$C12&gt;0,$D12/$C12&gt;0.5),"Age uncertainty exceeds 50% of the age. Usable as an indication only. ","")&amp;IF(AND($D12="",$C12&lt;&gt;""),"No uncertainty given. Every radiometric age has one; a rate without it cannot be defended. ",""))</f>
        <v/>
      </c>
      <c r="J12" s="18">
        <f>IF($E12="",0,IF(OR(LEFT($E12,6)="Pb-210",LEFT($E12,6)="Cs-137"),1,0))</f>
        <v/>
      </c>
      <c r="K12" s="18">
        <f>IF(OR($A12="",NOT(ISNUMBER($B12))),"",SUMPRODUCT(MAX(('4. Chronology'!$A$5:$A$204=$A12)*('4. Chronology'!$B$5:$B$204&lt;$B12)*'4. Chronology'!$B$5:$B$204)))</f>
        <v/>
      </c>
    </row>
    <row r="13">
      <c r="A13" s="14" t="n"/>
      <c r="B13" s="14" t="n"/>
      <c r="C13" s="14" t="n"/>
      <c r="D13" s="14" t="n"/>
      <c r="E13" s="14" t="n"/>
      <c r="F13" s="18">
        <f>IF(OR($A13="",NOT(ISNUMBER($B13))),"",SUMIFS('3. Peat Data'!$P$5:$P$604,'3. Peat Data'!$B$5:$B$604,$A13,'3. Peat Data'!$F$5:$F$604,"&lt;="&amp;$B13)+SUMPRODUCT(('3. Peat Data'!$B$5:$B$604=$A13)*('3. Peat Data'!$E$5:$E$604&lt;$B13)*('3. Peat Data'!$F$5:$F$604&gt;$B13)*'3. Peat Data'!$R$5:$R$604*($B13-'3. Peat Data'!$E$5:$E$604)))</f>
        <v/>
      </c>
      <c r="G13" s="18">
        <f>IF(OR($A13="",NOT(ISNUMBER($B13)),NOT(ISNUMBER($C13))),"",IFERROR(($B13-$K13)/($C13-IF($K13=0,0,SUMIFS('4. Chronology'!$C$5:$C$204,'4. Chronology'!$A$5:$A$204,$A13,'4. Chronology'!$B$5:$B$204,$K13))),""))</f>
        <v/>
      </c>
      <c r="H13" s="18">
        <f>IF(OR($A13="",NOT(ISNUMBER($F13)),NOT(ISNUMBER($C13))),"",IFERROR((($F13-IF($K13=0,0,SUMIFS('4. Chronology'!$F$5:$F$204,'4. Chronology'!$A$5:$A$204,$A13,'4. Chronology'!$B$5:$B$204,$K13)))*1000)/($C13-IF($K13=0,0,SUMIFS('4. Chronology'!$C$5:$C$204,'4. Chronology'!$A$5:$A$204,$A13,'4. Chronology'!$B$5:$B$204,$K13))),""))</f>
        <v/>
      </c>
      <c r="I13" s="18">
        <f>IF($A13="","",IF(COUNTIF('2. Core Log'!$A$5:$A$124,$A13)=0,"Core ID not in Core Log. ","")&amp;IF($E13="","No date source given — RERCA and LORCA need to know which method produced this age. ","")&amp;IF(AND(ISNUMBER($C13),$C13&lt;0),"Negative age: this horizon post-dates the coring year. Check the conversion. ","")&amp;IF(AND(ISNUMBER($G13),$G13&lt;0),"Age reversal — this horizon is younger than one above it. A mixed or disturbed profile may not be datable at all. ","")&amp;IF(AND(ISNUMBER($D13),ISNUMBER($C13),$C13&gt;0,$D13/$C13&gt;0.5),"Age uncertainty exceeds 50% of the age. Usable as an indication only. ","")&amp;IF(AND($D13="",$C13&lt;&gt;""),"No uncertainty given. Every radiometric age has one; a rate without it cannot be defended. ",""))</f>
        <v/>
      </c>
      <c r="J13" s="18">
        <f>IF($E13="",0,IF(OR(LEFT($E13,6)="Pb-210",LEFT($E13,6)="Cs-137"),1,0))</f>
        <v/>
      </c>
      <c r="K13" s="18">
        <f>IF(OR($A13="",NOT(ISNUMBER($B13))),"",SUMPRODUCT(MAX(('4. Chronology'!$A$5:$A$204=$A13)*('4. Chronology'!$B$5:$B$204&lt;$B13)*'4. Chronology'!$B$5:$B$204)))</f>
        <v/>
      </c>
    </row>
    <row r="14">
      <c r="A14" s="14" t="n"/>
      <c r="B14" s="14" t="n"/>
      <c r="C14" s="14" t="n"/>
      <c r="D14" s="14" t="n"/>
      <c r="E14" s="14" t="n"/>
      <c r="F14" s="18">
        <f>IF(OR($A14="",NOT(ISNUMBER($B14))),"",SUMIFS('3. Peat Data'!$P$5:$P$604,'3. Peat Data'!$B$5:$B$604,$A14,'3. Peat Data'!$F$5:$F$604,"&lt;="&amp;$B14)+SUMPRODUCT(('3. Peat Data'!$B$5:$B$604=$A14)*('3. Peat Data'!$E$5:$E$604&lt;$B14)*('3. Peat Data'!$F$5:$F$604&gt;$B14)*'3. Peat Data'!$R$5:$R$604*($B14-'3. Peat Data'!$E$5:$E$604)))</f>
        <v/>
      </c>
      <c r="G14" s="18">
        <f>IF(OR($A14="",NOT(ISNUMBER($B14)),NOT(ISNUMBER($C14))),"",IFERROR(($B14-$K14)/($C14-IF($K14=0,0,SUMIFS('4. Chronology'!$C$5:$C$204,'4. Chronology'!$A$5:$A$204,$A14,'4. Chronology'!$B$5:$B$204,$K14))),""))</f>
        <v/>
      </c>
      <c r="H14" s="18">
        <f>IF(OR($A14="",NOT(ISNUMBER($F14)),NOT(ISNUMBER($C14))),"",IFERROR((($F14-IF($K14=0,0,SUMIFS('4. Chronology'!$F$5:$F$204,'4. Chronology'!$A$5:$A$204,$A14,'4. Chronology'!$B$5:$B$204,$K14)))*1000)/($C14-IF($K14=0,0,SUMIFS('4. Chronology'!$C$5:$C$204,'4. Chronology'!$A$5:$A$204,$A14,'4. Chronology'!$B$5:$B$204,$K14))),""))</f>
        <v/>
      </c>
      <c r="I14" s="18">
        <f>IF($A14="","",IF(COUNTIF('2. Core Log'!$A$5:$A$124,$A14)=0,"Core ID not in Core Log. ","")&amp;IF($E14="","No date source given — RERCA and LORCA need to know which method produced this age. ","")&amp;IF(AND(ISNUMBER($C14),$C14&lt;0),"Negative age: this horizon post-dates the coring year. Check the conversion. ","")&amp;IF(AND(ISNUMBER($G14),$G14&lt;0),"Age reversal — this horizon is younger than one above it. A mixed or disturbed profile may not be datable at all. ","")&amp;IF(AND(ISNUMBER($D14),ISNUMBER($C14),$C14&gt;0,$D14/$C14&gt;0.5),"Age uncertainty exceeds 50% of the age. Usable as an indication only. ","")&amp;IF(AND($D14="",$C14&lt;&gt;""),"No uncertainty given. Every radiometric age has one; a rate without it cannot be defended. ",""))</f>
        <v/>
      </c>
      <c r="J14" s="18">
        <f>IF($E14="",0,IF(OR(LEFT($E14,6)="Pb-210",LEFT($E14,6)="Cs-137"),1,0))</f>
        <v/>
      </c>
      <c r="K14" s="18">
        <f>IF(OR($A14="",NOT(ISNUMBER($B14))),"",SUMPRODUCT(MAX(('4. Chronology'!$A$5:$A$204=$A14)*('4. Chronology'!$B$5:$B$204&lt;$B14)*'4. Chronology'!$B$5:$B$204)))</f>
        <v/>
      </c>
    </row>
    <row r="15">
      <c r="A15" s="14" t="n"/>
      <c r="B15" s="14" t="n"/>
      <c r="C15" s="14" t="n"/>
      <c r="D15" s="14" t="n"/>
      <c r="E15" s="14" t="n"/>
      <c r="F15" s="18">
        <f>IF(OR($A15="",NOT(ISNUMBER($B15))),"",SUMIFS('3. Peat Data'!$P$5:$P$604,'3. Peat Data'!$B$5:$B$604,$A15,'3. Peat Data'!$F$5:$F$604,"&lt;="&amp;$B15)+SUMPRODUCT(('3. Peat Data'!$B$5:$B$604=$A15)*('3. Peat Data'!$E$5:$E$604&lt;$B15)*('3. Peat Data'!$F$5:$F$604&gt;$B15)*'3. Peat Data'!$R$5:$R$604*($B15-'3. Peat Data'!$E$5:$E$604)))</f>
        <v/>
      </c>
      <c r="G15" s="18">
        <f>IF(OR($A15="",NOT(ISNUMBER($B15)),NOT(ISNUMBER($C15))),"",IFERROR(($B15-$K15)/($C15-IF($K15=0,0,SUMIFS('4. Chronology'!$C$5:$C$204,'4. Chronology'!$A$5:$A$204,$A15,'4. Chronology'!$B$5:$B$204,$K15))),""))</f>
        <v/>
      </c>
      <c r="H15" s="18">
        <f>IF(OR($A15="",NOT(ISNUMBER($F15)),NOT(ISNUMBER($C15))),"",IFERROR((($F15-IF($K15=0,0,SUMIFS('4. Chronology'!$F$5:$F$204,'4. Chronology'!$A$5:$A$204,$A15,'4. Chronology'!$B$5:$B$204,$K15)))*1000)/($C15-IF($K15=0,0,SUMIFS('4. Chronology'!$C$5:$C$204,'4. Chronology'!$A$5:$A$204,$A15,'4. Chronology'!$B$5:$B$204,$K15))),""))</f>
        <v/>
      </c>
      <c r="I15" s="18">
        <f>IF($A15="","",IF(COUNTIF('2. Core Log'!$A$5:$A$124,$A15)=0,"Core ID not in Core Log. ","")&amp;IF($E15="","No date source given — RERCA and LORCA need to know which method produced this age. ","")&amp;IF(AND(ISNUMBER($C15),$C15&lt;0),"Negative age: this horizon post-dates the coring year. Check the conversion. ","")&amp;IF(AND(ISNUMBER($G15),$G15&lt;0),"Age reversal — this horizon is younger than one above it. A mixed or disturbed profile may not be datable at all. ","")&amp;IF(AND(ISNUMBER($D15),ISNUMBER($C15),$C15&gt;0,$D15/$C15&gt;0.5),"Age uncertainty exceeds 50% of the age. Usable as an indication only. ","")&amp;IF(AND($D15="",$C15&lt;&gt;""),"No uncertainty given. Every radiometric age has one; a rate without it cannot be defended. ",""))</f>
        <v/>
      </c>
      <c r="J15" s="18">
        <f>IF($E15="",0,IF(OR(LEFT($E15,6)="Pb-210",LEFT($E15,6)="Cs-137"),1,0))</f>
        <v/>
      </c>
      <c r="K15" s="18">
        <f>IF(OR($A15="",NOT(ISNUMBER($B15))),"",SUMPRODUCT(MAX(('4. Chronology'!$A$5:$A$204=$A15)*('4. Chronology'!$B$5:$B$204&lt;$B15)*'4. Chronology'!$B$5:$B$204)))</f>
        <v/>
      </c>
    </row>
    <row r="16">
      <c r="A16" s="14" t="n"/>
      <c r="B16" s="14" t="n"/>
      <c r="C16" s="14" t="n"/>
      <c r="D16" s="14" t="n"/>
      <c r="E16" s="14" t="n"/>
      <c r="F16" s="18">
        <f>IF(OR($A16="",NOT(ISNUMBER($B16))),"",SUMIFS('3. Peat Data'!$P$5:$P$604,'3. Peat Data'!$B$5:$B$604,$A16,'3. Peat Data'!$F$5:$F$604,"&lt;="&amp;$B16)+SUMPRODUCT(('3. Peat Data'!$B$5:$B$604=$A16)*('3. Peat Data'!$E$5:$E$604&lt;$B16)*('3. Peat Data'!$F$5:$F$604&gt;$B16)*'3. Peat Data'!$R$5:$R$604*($B16-'3. Peat Data'!$E$5:$E$604)))</f>
        <v/>
      </c>
      <c r="G16" s="18">
        <f>IF(OR($A16="",NOT(ISNUMBER($B16)),NOT(ISNUMBER($C16))),"",IFERROR(($B16-$K16)/($C16-IF($K16=0,0,SUMIFS('4. Chronology'!$C$5:$C$204,'4. Chronology'!$A$5:$A$204,$A16,'4. Chronology'!$B$5:$B$204,$K16))),""))</f>
        <v/>
      </c>
      <c r="H16" s="18">
        <f>IF(OR($A16="",NOT(ISNUMBER($F16)),NOT(ISNUMBER($C16))),"",IFERROR((($F16-IF($K16=0,0,SUMIFS('4. Chronology'!$F$5:$F$204,'4. Chronology'!$A$5:$A$204,$A16,'4. Chronology'!$B$5:$B$204,$K16)))*1000)/($C16-IF($K16=0,0,SUMIFS('4. Chronology'!$C$5:$C$204,'4. Chronology'!$A$5:$A$204,$A16,'4. Chronology'!$B$5:$B$204,$K16))),""))</f>
        <v/>
      </c>
      <c r="I16" s="18">
        <f>IF($A16="","",IF(COUNTIF('2. Core Log'!$A$5:$A$124,$A16)=0,"Core ID not in Core Log. ","")&amp;IF($E16="","No date source given — RERCA and LORCA need to know which method produced this age. ","")&amp;IF(AND(ISNUMBER($C16),$C16&lt;0),"Negative age: this horizon post-dates the coring year. Check the conversion. ","")&amp;IF(AND(ISNUMBER($G16),$G16&lt;0),"Age reversal — this horizon is younger than one above it. A mixed or disturbed profile may not be datable at all. ","")&amp;IF(AND(ISNUMBER($D16),ISNUMBER($C16),$C16&gt;0,$D16/$C16&gt;0.5),"Age uncertainty exceeds 50% of the age. Usable as an indication only. ","")&amp;IF(AND($D16="",$C16&lt;&gt;""),"No uncertainty given. Every radiometric age has one; a rate without it cannot be defended. ",""))</f>
        <v/>
      </c>
      <c r="J16" s="18">
        <f>IF($E16="",0,IF(OR(LEFT($E16,6)="Pb-210",LEFT($E16,6)="Cs-137"),1,0))</f>
        <v/>
      </c>
      <c r="K16" s="18">
        <f>IF(OR($A16="",NOT(ISNUMBER($B16))),"",SUMPRODUCT(MAX(('4. Chronology'!$A$5:$A$204=$A16)*('4. Chronology'!$B$5:$B$204&lt;$B16)*'4. Chronology'!$B$5:$B$204)))</f>
        <v/>
      </c>
    </row>
    <row r="17">
      <c r="A17" s="14" t="n"/>
      <c r="B17" s="14" t="n"/>
      <c r="C17" s="14" t="n"/>
      <c r="D17" s="14" t="n"/>
      <c r="E17" s="14" t="n"/>
      <c r="F17" s="18">
        <f>IF(OR($A17="",NOT(ISNUMBER($B17))),"",SUMIFS('3. Peat Data'!$P$5:$P$604,'3. Peat Data'!$B$5:$B$604,$A17,'3. Peat Data'!$F$5:$F$604,"&lt;="&amp;$B17)+SUMPRODUCT(('3. Peat Data'!$B$5:$B$604=$A17)*('3. Peat Data'!$E$5:$E$604&lt;$B17)*('3. Peat Data'!$F$5:$F$604&gt;$B17)*'3. Peat Data'!$R$5:$R$604*($B17-'3. Peat Data'!$E$5:$E$604)))</f>
        <v/>
      </c>
      <c r="G17" s="18">
        <f>IF(OR($A17="",NOT(ISNUMBER($B17)),NOT(ISNUMBER($C17))),"",IFERROR(($B17-$K17)/($C17-IF($K17=0,0,SUMIFS('4. Chronology'!$C$5:$C$204,'4. Chronology'!$A$5:$A$204,$A17,'4. Chronology'!$B$5:$B$204,$K17))),""))</f>
        <v/>
      </c>
      <c r="H17" s="18">
        <f>IF(OR($A17="",NOT(ISNUMBER($F17)),NOT(ISNUMBER($C17))),"",IFERROR((($F17-IF($K17=0,0,SUMIFS('4. Chronology'!$F$5:$F$204,'4. Chronology'!$A$5:$A$204,$A17,'4. Chronology'!$B$5:$B$204,$K17)))*1000)/($C17-IF($K17=0,0,SUMIFS('4. Chronology'!$C$5:$C$204,'4. Chronology'!$A$5:$A$204,$A17,'4. Chronology'!$B$5:$B$204,$K17))),""))</f>
        <v/>
      </c>
      <c r="I17" s="18">
        <f>IF($A17="","",IF(COUNTIF('2. Core Log'!$A$5:$A$124,$A17)=0,"Core ID not in Core Log. ","")&amp;IF($E17="","No date source given — RERCA and LORCA need to know which method produced this age. ","")&amp;IF(AND(ISNUMBER($C17),$C17&lt;0),"Negative age: this horizon post-dates the coring year. Check the conversion. ","")&amp;IF(AND(ISNUMBER($G17),$G17&lt;0),"Age reversal — this horizon is younger than one above it. A mixed or disturbed profile may not be datable at all. ","")&amp;IF(AND(ISNUMBER($D17),ISNUMBER($C17),$C17&gt;0,$D17/$C17&gt;0.5),"Age uncertainty exceeds 50% of the age. Usable as an indication only. ","")&amp;IF(AND($D17="",$C17&lt;&gt;""),"No uncertainty given. Every radiometric age has one; a rate without it cannot be defended. ",""))</f>
        <v/>
      </c>
      <c r="J17" s="18">
        <f>IF($E17="",0,IF(OR(LEFT($E17,6)="Pb-210",LEFT($E17,6)="Cs-137"),1,0))</f>
        <v/>
      </c>
      <c r="K17" s="18">
        <f>IF(OR($A17="",NOT(ISNUMBER($B17))),"",SUMPRODUCT(MAX(('4. Chronology'!$A$5:$A$204=$A17)*('4. Chronology'!$B$5:$B$204&lt;$B17)*'4. Chronology'!$B$5:$B$204)))</f>
        <v/>
      </c>
    </row>
    <row r="18">
      <c r="A18" s="14" t="n"/>
      <c r="B18" s="14" t="n"/>
      <c r="C18" s="14" t="n"/>
      <c r="D18" s="14" t="n"/>
      <c r="E18" s="14" t="n"/>
      <c r="F18" s="18">
        <f>IF(OR($A18="",NOT(ISNUMBER($B18))),"",SUMIFS('3. Peat Data'!$P$5:$P$604,'3. Peat Data'!$B$5:$B$604,$A18,'3. Peat Data'!$F$5:$F$604,"&lt;="&amp;$B18)+SUMPRODUCT(('3. Peat Data'!$B$5:$B$604=$A18)*('3. Peat Data'!$E$5:$E$604&lt;$B18)*('3. Peat Data'!$F$5:$F$604&gt;$B18)*'3. Peat Data'!$R$5:$R$604*($B18-'3. Peat Data'!$E$5:$E$604)))</f>
        <v/>
      </c>
      <c r="G18" s="18">
        <f>IF(OR($A18="",NOT(ISNUMBER($B18)),NOT(ISNUMBER($C18))),"",IFERROR(($B18-$K18)/($C18-IF($K18=0,0,SUMIFS('4. Chronology'!$C$5:$C$204,'4. Chronology'!$A$5:$A$204,$A18,'4. Chronology'!$B$5:$B$204,$K18))),""))</f>
        <v/>
      </c>
      <c r="H18" s="18">
        <f>IF(OR($A18="",NOT(ISNUMBER($F18)),NOT(ISNUMBER($C18))),"",IFERROR((($F18-IF($K18=0,0,SUMIFS('4. Chronology'!$F$5:$F$204,'4. Chronology'!$A$5:$A$204,$A18,'4. Chronology'!$B$5:$B$204,$K18)))*1000)/($C18-IF($K18=0,0,SUMIFS('4. Chronology'!$C$5:$C$204,'4. Chronology'!$A$5:$A$204,$A18,'4. Chronology'!$B$5:$B$204,$K18))),""))</f>
        <v/>
      </c>
      <c r="I18" s="18">
        <f>IF($A18="","",IF(COUNTIF('2. Core Log'!$A$5:$A$124,$A18)=0,"Core ID not in Core Log. ","")&amp;IF($E18="","No date source given — RERCA and LORCA need to know which method produced this age. ","")&amp;IF(AND(ISNUMBER($C18),$C18&lt;0),"Negative age: this horizon post-dates the coring year. Check the conversion. ","")&amp;IF(AND(ISNUMBER($G18),$G18&lt;0),"Age reversal — this horizon is younger than one above it. A mixed or disturbed profile may not be datable at all. ","")&amp;IF(AND(ISNUMBER($D18),ISNUMBER($C18),$C18&gt;0,$D18/$C18&gt;0.5),"Age uncertainty exceeds 50% of the age. Usable as an indication only. ","")&amp;IF(AND($D18="",$C18&lt;&gt;""),"No uncertainty given. Every radiometric age has one; a rate without it cannot be defended. ",""))</f>
        <v/>
      </c>
      <c r="J18" s="18">
        <f>IF($E18="",0,IF(OR(LEFT($E18,6)="Pb-210",LEFT($E18,6)="Cs-137"),1,0))</f>
        <v/>
      </c>
      <c r="K18" s="18">
        <f>IF(OR($A18="",NOT(ISNUMBER($B18))),"",SUMPRODUCT(MAX(('4. Chronology'!$A$5:$A$204=$A18)*('4. Chronology'!$B$5:$B$204&lt;$B18)*'4. Chronology'!$B$5:$B$204)))</f>
        <v/>
      </c>
    </row>
    <row r="19">
      <c r="A19" s="14" t="n"/>
      <c r="B19" s="14" t="n"/>
      <c r="C19" s="14" t="n"/>
      <c r="D19" s="14" t="n"/>
      <c r="E19" s="14" t="n"/>
      <c r="F19" s="18">
        <f>IF(OR($A19="",NOT(ISNUMBER($B19))),"",SUMIFS('3. Peat Data'!$P$5:$P$604,'3. Peat Data'!$B$5:$B$604,$A19,'3. Peat Data'!$F$5:$F$604,"&lt;="&amp;$B19)+SUMPRODUCT(('3. Peat Data'!$B$5:$B$604=$A19)*('3. Peat Data'!$E$5:$E$604&lt;$B19)*('3. Peat Data'!$F$5:$F$604&gt;$B19)*'3. Peat Data'!$R$5:$R$604*($B19-'3. Peat Data'!$E$5:$E$604)))</f>
        <v/>
      </c>
      <c r="G19" s="18">
        <f>IF(OR($A19="",NOT(ISNUMBER($B19)),NOT(ISNUMBER($C19))),"",IFERROR(($B19-$K19)/($C19-IF($K19=0,0,SUMIFS('4. Chronology'!$C$5:$C$204,'4. Chronology'!$A$5:$A$204,$A19,'4. Chronology'!$B$5:$B$204,$K19))),""))</f>
        <v/>
      </c>
      <c r="H19" s="18">
        <f>IF(OR($A19="",NOT(ISNUMBER($F19)),NOT(ISNUMBER($C19))),"",IFERROR((($F19-IF($K19=0,0,SUMIFS('4. Chronology'!$F$5:$F$204,'4. Chronology'!$A$5:$A$204,$A19,'4. Chronology'!$B$5:$B$204,$K19)))*1000)/($C19-IF($K19=0,0,SUMIFS('4. Chronology'!$C$5:$C$204,'4. Chronology'!$A$5:$A$204,$A19,'4. Chronology'!$B$5:$B$204,$K19))),""))</f>
        <v/>
      </c>
      <c r="I19" s="18">
        <f>IF($A19="","",IF(COUNTIF('2. Core Log'!$A$5:$A$124,$A19)=0,"Core ID not in Core Log. ","")&amp;IF($E19="","No date source given — RERCA and LORCA need to know which method produced this age. ","")&amp;IF(AND(ISNUMBER($C19),$C19&lt;0),"Negative age: this horizon post-dates the coring year. Check the conversion. ","")&amp;IF(AND(ISNUMBER($G19),$G19&lt;0),"Age reversal — this horizon is younger than one above it. A mixed or disturbed profile may not be datable at all. ","")&amp;IF(AND(ISNUMBER($D19),ISNUMBER($C19),$C19&gt;0,$D19/$C19&gt;0.5),"Age uncertainty exceeds 50% of the age. Usable as an indication only. ","")&amp;IF(AND($D19="",$C19&lt;&gt;""),"No uncertainty given. Every radiometric age has one; a rate without it cannot be defended. ",""))</f>
        <v/>
      </c>
      <c r="J19" s="18">
        <f>IF($E19="",0,IF(OR(LEFT($E19,6)="Pb-210",LEFT($E19,6)="Cs-137"),1,0))</f>
        <v/>
      </c>
      <c r="K19" s="18">
        <f>IF(OR($A19="",NOT(ISNUMBER($B19))),"",SUMPRODUCT(MAX(('4. Chronology'!$A$5:$A$204=$A19)*('4. Chronology'!$B$5:$B$204&lt;$B19)*'4. Chronology'!$B$5:$B$204)))</f>
        <v/>
      </c>
    </row>
    <row r="20">
      <c r="A20" s="14" t="n"/>
      <c r="B20" s="14" t="n"/>
      <c r="C20" s="14" t="n"/>
      <c r="D20" s="14" t="n"/>
      <c r="E20" s="14" t="n"/>
      <c r="F20" s="18">
        <f>IF(OR($A20="",NOT(ISNUMBER($B20))),"",SUMIFS('3. Peat Data'!$P$5:$P$604,'3. Peat Data'!$B$5:$B$604,$A20,'3. Peat Data'!$F$5:$F$604,"&lt;="&amp;$B20)+SUMPRODUCT(('3. Peat Data'!$B$5:$B$604=$A20)*('3. Peat Data'!$E$5:$E$604&lt;$B20)*('3. Peat Data'!$F$5:$F$604&gt;$B20)*'3. Peat Data'!$R$5:$R$604*($B20-'3. Peat Data'!$E$5:$E$604)))</f>
        <v/>
      </c>
      <c r="G20" s="18">
        <f>IF(OR($A20="",NOT(ISNUMBER($B20)),NOT(ISNUMBER($C20))),"",IFERROR(($B20-$K20)/($C20-IF($K20=0,0,SUMIFS('4. Chronology'!$C$5:$C$204,'4. Chronology'!$A$5:$A$204,$A20,'4. Chronology'!$B$5:$B$204,$K20))),""))</f>
        <v/>
      </c>
      <c r="H20" s="18">
        <f>IF(OR($A20="",NOT(ISNUMBER($F20)),NOT(ISNUMBER($C20))),"",IFERROR((($F20-IF($K20=0,0,SUMIFS('4. Chronology'!$F$5:$F$204,'4. Chronology'!$A$5:$A$204,$A20,'4. Chronology'!$B$5:$B$204,$K20)))*1000)/($C20-IF($K20=0,0,SUMIFS('4. Chronology'!$C$5:$C$204,'4. Chronology'!$A$5:$A$204,$A20,'4. Chronology'!$B$5:$B$204,$K20))),""))</f>
        <v/>
      </c>
      <c r="I20" s="18">
        <f>IF($A20="","",IF(COUNTIF('2. Core Log'!$A$5:$A$124,$A20)=0,"Core ID not in Core Log. ","")&amp;IF($E20="","No date source given — RERCA and LORCA need to know which method produced this age. ","")&amp;IF(AND(ISNUMBER($C20),$C20&lt;0),"Negative age: this horizon post-dates the coring year. Check the conversion. ","")&amp;IF(AND(ISNUMBER($G20),$G20&lt;0),"Age reversal — this horizon is younger than one above it. A mixed or disturbed profile may not be datable at all. ","")&amp;IF(AND(ISNUMBER($D20),ISNUMBER($C20),$C20&gt;0,$D20/$C20&gt;0.5),"Age uncertainty exceeds 50% of the age. Usable as an indication only. ","")&amp;IF(AND($D20="",$C20&lt;&gt;""),"No uncertainty given. Every radiometric age has one; a rate without it cannot be defended. ",""))</f>
        <v/>
      </c>
      <c r="J20" s="18">
        <f>IF($E20="",0,IF(OR(LEFT($E20,6)="Pb-210",LEFT($E20,6)="Cs-137"),1,0))</f>
        <v/>
      </c>
      <c r="K20" s="18">
        <f>IF(OR($A20="",NOT(ISNUMBER($B20))),"",SUMPRODUCT(MAX(('4. Chronology'!$A$5:$A$204=$A20)*('4. Chronology'!$B$5:$B$204&lt;$B20)*'4. Chronology'!$B$5:$B$204)))</f>
        <v/>
      </c>
    </row>
    <row r="21">
      <c r="A21" s="14" t="n"/>
      <c r="B21" s="14" t="n"/>
      <c r="C21" s="14" t="n"/>
      <c r="D21" s="14" t="n"/>
      <c r="E21" s="14" t="n"/>
      <c r="F21" s="18">
        <f>IF(OR($A21="",NOT(ISNUMBER($B21))),"",SUMIFS('3. Peat Data'!$P$5:$P$604,'3. Peat Data'!$B$5:$B$604,$A21,'3. Peat Data'!$F$5:$F$604,"&lt;="&amp;$B21)+SUMPRODUCT(('3. Peat Data'!$B$5:$B$604=$A21)*('3. Peat Data'!$E$5:$E$604&lt;$B21)*('3. Peat Data'!$F$5:$F$604&gt;$B21)*'3. Peat Data'!$R$5:$R$604*($B21-'3. Peat Data'!$E$5:$E$604)))</f>
        <v/>
      </c>
      <c r="G21" s="18">
        <f>IF(OR($A21="",NOT(ISNUMBER($B21)),NOT(ISNUMBER($C21))),"",IFERROR(($B21-$K21)/($C21-IF($K21=0,0,SUMIFS('4. Chronology'!$C$5:$C$204,'4. Chronology'!$A$5:$A$204,$A21,'4. Chronology'!$B$5:$B$204,$K21))),""))</f>
        <v/>
      </c>
      <c r="H21" s="18">
        <f>IF(OR($A21="",NOT(ISNUMBER($F21)),NOT(ISNUMBER($C21))),"",IFERROR((($F21-IF($K21=0,0,SUMIFS('4. Chronology'!$F$5:$F$204,'4. Chronology'!$A$5:$A$204,$A21,'4. Chronology'!$B$5:$B$204,$K21)))*1000)/($C21-IF($K21=0,0,SUMIFS('4. Chronology'!$C$5:$C$204,'4. Chronology'!$A$5:$A$204,$A21,'4. Chronology'!$B$5:$B$204,$K21))),""))</f>
        <v/>
      </c>
      <c r="I21" s="18">
        <f>IF($A21="","",IF(COUNTIF('2. Core Log'!$A$5:$A$124,$A21)=0,"Core ID not in Core Log. ","")&amp;IF($E21="","No date source given — RERCA and LORCA need to know which method produced this age. ","")&amp;IF(AND(ISNUMBER($C21),$C21&lt;0),"Negative age: this horizon post-dates the coring year. Check the conversion. ","")&amp;IF(AND(ISNUMBER($G21),$G21&lt;0),"Age reversal — this horizon is younger than one above it. A mixed or disturbed profile may not be datable at all. ","")&amp;IF(AND(ISNUMBER($D21),ISNUMBER($C21),$C21&gt;0,$D21/$C21&gt;0.5),"Age uncertainty exceeds 50% of the age. Usable as an indication only. ","")&amp;IF(AND($D21="",$C21&lt;&gt;""),"No uncertainty given. Every radiometric age has one; a rate without it cannot be defended. ",""))</f>
        <v/>
      </c>
      <c r="J21" s="18">
        <f>IF($E21="",0,IF(OR(LEFT($E21,6)="Pb-210",LEFT($E21,6)="Cs-137"),1,0))</f>
        <v/>
      </c>
      <c r="K21" s="18">
        <f>IF(OR($A21="",NOT(ISNUMBER($B21))),"",SUMPRODUCT(MAX(('4. Chronology'!$A$5:$A$204=$A21)*('4. Chronology'!$B$5:$B$204&lt;$B21)*'4. Chronology'!$B$5:$B$204)))</f>
        <v/>
      </c>
    </row>
    <row r="22">
      <c r="A22" s="14" t="n"/>
      <c r="B22" s="14" t="n"/>
      <c r="C22" s="14" t="n"/>
      <c r="D22" s="14" t="n"/>
      <c r="E22" s="14" t="n"/>
      <c r="F22" s="18">
        <f>IF(OR($A22="",NOT(ISNUMBER($B22))),"",SUMIFS('3. Peat Data'!$P$5:$P$604,'3. Peat Data'!$B$5:$B$604,$A22,'3. Peat Data'!$F$5:$F$604,"&lt;="&amp;$B22)+SUMPRODUCT(('3. Peat Data'!$B$5:$B$604=$A22)*('3. Peat Data'!$E$5:$E$604&lt;$B22)*('3. Peat Data'!$F$5:$F$604&gt;$B22)*'3. Peat Data'!$R$5:$R$604*($B22-'3. Peat Data'!$E$5:$E$604)))</f>
        <v/>
      </c>
      <c r="G22" s="18">
        <f>IF(OR($A22="",NOT(ISNUMBER($B22)),NOT(ISNUMBER($C22))),"",IFERROR(($B22-$K22)/($C22-IF($K22=0,0,SUMIFS('4. Chronology'!$C$5:$C$204,'4. Chronology'!$A$5:$A$204,$A22,'4. Chronology'!$B$5:$B$204,$K22))),""))</f>
        <v/>
      </c>
      <c r="H22" s="18">
        <f>IF(OR($A22="",NOT(ISNUMBER($F22)),NOT(ISNUMBER($C22))),"",IFERROR((($F22-IF($K22=0,0,SUMIFS('4. Chronology'!$F$5:$F$204,'4. Chronology'!$A$5:$A$204,$A22,'4. Chronology'!$B$5:$B$204,$K22)))*1000)/($C22-IF($K22=0,0,SUMIFS('4. Chronology'!$C$5:$C$204,'4. Chronology'!$A$5:$A$204,$A22,'4. Chronology'!$B$5:$B$204,$K22))),""))</f>
        <v/>
      </c>
      <c r="I22" s="18">
        <f>IF($A22="","",IF(COUNTIF('2. Core Log'!$A$5:$A$124,$A22)=0,"Core ID not in Core Log. ","")&amp;IF($E22="","No date source given — RERCA and LORCA need to know which method produced this age. ","")&amp;IF(AND(ISNUMBER($C22),$C22&lt;0),"Negative age: this horizon post-dates the coring year. Check the conversion. ","")&amp;IF(AND(ISNUMBER($G22),$G22&lt;0),"Age reversal — this horizon is younger than one above it. A mixed or disturbed profile may not be datable at all. ","")&amp;IF(AND(ISNUMBER($D22),ISNUMBER($C22),$C22&gt;0,$D22/$C22&gt;0.5),"Age uncertainty exceeds 50% of the age. Usable as an indication only. ","")&amp;IF(AND($D22="",$C22&lt;&gt;""),"No uncertainty given. Every radiometric age has one; a rate without it cannot be defended. ",""))</f>
        <v/>
      </c>
      <c r="J22" s="18">
        <f>IF($E22="",0,IF(OR(LEFT($E22,6)="Pb-210",LEFT($E22,6)="Cs-137"),1,0))</f>
        <v/>
      </c>
      <c r="K22" s="18">
        <f>IF(OR($A22="",NOT(ISNUMBER($B22))),"",SUMPRODUCT(MAX(('4. Chronology'!$A$5:$A$204=$A22)*('4. Chronology'!$B$5:$B$204&lt;$B22)*'4. Chronology'!$B$5:$B$204)))</f>
        <v/>
      </c>
    </row>
    <row r="23">
      <c r="A23" s="14" t="n"/>
      <c r="B23" s="14" t="n"/>
      <c r="C23" s="14" t="n"/>
      <c r="D23" s="14" t="n"/>
      <c r="E23" s="14" t="n"/>
      <c r="F23" s="18">
        <f>IF(OR($A23="",NOT(ISNUMBER($B23))),"",SUMIFS('3. Peat Data'!$P$5:$P$604,'3. Peat Data'!$B$5:$B$604,$A23,'3. Peat Data'!$F$5:$F$604,"&lt;="&amp;$B23)+SUMPRODUCT(('3. Peat Data'!$B$5:$B$604=$A23)*('3. Peat Data'!$E$5:$E$604&lt;$B23)*('3. Peat Data'!$F$5:$F$604&gt;$B23)*'3. Peat Data'!$R$5:$R$604*($B23-'3. Peat Data'!$E$5:$E$604)))</f>
        <v/>
      </c>
      <c r="G23" s="18">
        <f>IF(OR($A23="",NOT(ISNUMBER($B23)),NOT(ISNUMBER($C23))),"",IFERROR(($B23-$K23)/($C23-IF($K23=0,0,SUMIFS('4. Chronology'!$C$5:$C$204,'4. Chronology'!$A$5:$A$204,$A23,'4. Chronology'!$B$5:$B$204,$K23))),""))</f>
        <v/>
      </c>
      <c r="H23" s="18">
        <f>IF(OR($A23="",NOT(ISNUMBER($F23)),NOT(ISNUMBER($C23))),"",IFERROR((($F23-IF($K23=0,0,SUMIFS('4. Chronology'!$F$5:$F$204,'4. Chronology'!$A$5:$A$204,$A23,'4. Chronology'!$B$5:$B$204,$K23)))*1000)/($C23-IF($K23=0,0,SUMIFS('4. Chronology'!$C$5:$C$204,'4. Chronology'!$A$5:$A$204,$A23,'4. Chronology'!$B$5:$B$204,$K23))),""))</f>
        <v/>
      </c>
      <c r="I23" s="18">
        <f>IF($A23="","",IF(COUNTIF('2. Core Log'!$A$5:$A$124,$A23)=0,"Core ID not in Core Log. ","")&amp;IF($E23="","No date source given — RERCA and LORCA need to know which method produced this age. ","")&amp;IF(AND(ISNUMBER($C23),$C23&lt;0),"Negative age: this horizon post-dates the coring year. Check the conversion. ","")&amp;IF(AND(ISNUMBER($G23),$G23&lt;0),"Age reversal — this horizon is younger than one above it. A mixed or disturbed profile may not be datable at all. ","")&amp;IF(AND(ISNUMBER($D23),ISNUMBER($C23),$C23&gt;0,$D23/$C23&gt;0.5),"Age uncertainty exceeds 50% of the age. Usable as an indication only. ","")&amp;IF(AND($D23="",$C23&lt;&gt;""),"No uncertainty given. Every radiometric age has one; a rate without it cannot be defended. ",""))</f>
        <v/>
      </c>
      <c r="J23" s="18">
        <f>IF($E23="",0,IF(OR(LEFT($E23,6)="Pb-210",LEFT($E23,6)="Cs-137"),1,0))</f>
        <v/>
      </c>
      <c r="K23" s="18">
        <f>IF(OR($A23="",NOT(ISNUMBER($B23))),"",SUMPRODUCT(MAX(('4. Chronology'!$A$5:$A$204=$A23)*('4. Chronology'!$B$5:$B$204&lt;$B23)*'4. Chronology'!$B$5:$B$204)))</f>
        <v/>
      </c>
    </row>
    <row r="24">
      <c r="A24" s="14" t="n"/>
      <c r="B24" s="14" t="n"/>
      <c r="C24" s="14" t="n"/>
      <c r="D24" s="14" t="n"/>
      <c r="E24" s="14" t="n"/>
      <c r="F24" s="18">
        <f>IF(OR($A24="",NOT(ISNUMBER($B24))),"",SUMIFS('3. Peat Data'!$P$5:$P$604,'3. Peat Data'!$B$5:$B$604,$A24,'3. Peat Data'!$F$5:$F$604,"&lt;="&amp;$B24)+SUMPRODUCT(('3. Peat Data'!$B$5:$B$604=$A24)*('3. Peat Data'!$E$5:$E$604&lt;$B24)*('3. Peat Data'!$F$5:$F$604&gt;$B24)*'3. Peat Data'!$R$5:$R$604*($B24-'3. Peat Data'!$E$5:$E$604)))</f>
        <v/>
      </c>
      <c r="G24" s="18">
        <f>IF(OR($A24="",NOT(ISNUMBER($B24)),NOT(ISNUMBER($C24))),"",IFERROR(($B24-$K24)/($C24-IF($K24=0,0,SUMIFS('4. Chronology'!$C$5:$C$204,'4. Chronology'!$A$5:$A$204,$A24,'4. Chronology'!$B$5:$B$204,$K24))),""))</f>
        <v/>
      </c>
      <c r="H24" s="18">
        <f>IF(OR($A24="",NOT(ISNUMBER($F24)),NOT(ISNUMBER($C24))),"",IFERROR((($F24-IF($K24=0,0,SUMIFS('4. Chronology'!$F$5:$F$204,'4. Chronology'!$A$5:$A$204,$A24,'4. Chronology'!$B$5:$B$204,$K24)))*1000)/($C24-IF($K24=0,0,SUMIFS('4. Chronology'!$C$5:$C$204,'4. Chronology'!$A$5:$A$204,$A24,'4. Chronology'!$B$5:$B$204,$K24))),""))</f>
        <v/>
      </c>
      <c r="I24" s="18">
        <f>IF($A24="","",IF(COUNTIF('2. Core Log'!$A$5:$A$124,$A24)=0,"Core ID not in Core Log. ","")&amp;IF($E24="","No date source given — RERCA and LORCA need to know which method produced this age. ","")&amp;IF(AND(ISNUMBER($C24),$C24&lt;0),"Negative age: this horizon post-dates the coring year. Check the conversion. ","")&amp;IF(AND(ISNUMBER($G24),$G24&lt;0),"Age reversal — this horizon is younger than one above it. A mixed or disturbed profile may not be datable at all. ","")&amp;IF(AND(ISNUMBER($D24),ISNUMBER($C24),$C24&gt;0,$D24/$C24&gt;0.5),"Age uncertainty exceeds 50% of the age. Usable as an indication only. ","")&amp;IF(AND($D24="",$C24&lt;&gt;""),"No uncertainty given. Every radiometric age has one; a rate without it cannot be defended. ",""))</f>
        <v/>
      </c>
      <c r="J24" s="18">
        <f>IF($E24="",0,IF(OR(LEFT($E24,6)="Pb-210",LEFT($E24,6)="Cs-137"),1,0))</f>
        <v/>
      </c>
      <c r="K24" s="18">
        <f>IF(OR($A24="",NOT(ISNUMBER($B24))),"",SUMPRODUCT(MAX(('4. Chronology'!$A$5:$A$204=$A24)*('4. Chronology'!$B$5:$B$204&lt;$B24)*'4. Chronology'!$B$5:$B$204)))</f>
        <v/>
      </c>
    </row>
    <row r="25">
      <c r="A25" s="14" t="n"/>
      <c r="B25" s="14" t="n"/>
      <c r="C25" s="14" t="n"/>
      <c r="D25" s="14" t="n"/>
      <c r="E25" s="14" t="n"/>
      <c r="F25" s="18">
        <f>IF(OR($A25="",NOT(ISNUMBER($B25))),"",SUMIFS('3. Peat Data'!$P$5:$P$604,'3. Peat Data'!$B$5:$B$604,$A25,'3. Peat Data'!$F$5:$F$604,"&lt;="&amp;$B25)+SUMPRODUCT(('3. Peat Data'!$B$5:$B$604=$A25)*('3. Peat Data'!$E$5:$E$604&lt;$B25)*('3. Peat Data'!$F$5:$F$604&gt;$B25)*'3. Peat Data'!$R$5:$R$604*($B25-'3. Peat Data'!$E$5:$E$604)))</f>
        <v/>
      </c>
      <c r="G25" s="18">
        <f>IF(OR($A25="",NOT(ISNUMBER($B25)),NOT(ISNUMBER($C25))),"",IFERROR(($B25-$K25)/($C25-IF($K25=0,0,SUMIFS('4. Chronology'!$C$5:$C$204,'4. Chronology'!$A$5:$A$204,$A25,'4. Chronology'!$B$5:$B$204,$K25))),""))</f>
        <v/>
      </c>
      <c r="H25" s="18">
        <f>IF(OR($A25="",NOT(ISNUMBER($F25)),NOT(ISNUMBER($C25))),"",IFERROR((($F25-IF($K25=0,0,SUMIFS('4. Chronology'!$F$5:$F$204,'4. Chronology'!$A$5:$A$204,$A25,'4. Chronology'!$B$5:$B$204,$K25)))*1000)/($C25-IF($K25=0,0,SUMIFS('4. Chronology'!$C$5:$C$204,'4. Chronology'!$A$5:$A$204,$A25,'4. Chronology'!$B$5:$B$204,$K25))),""))</f>
        <v/>
      </c>
      <c r="I25" s="18">
        <f>IF($A25="","",IF(COUNTIF('2. Core Log'!$A$5:$A$124,$A25)=0,"Core ID not in Core Log. ","")&amp;IF($E25="","No date source given — RERCA and LORCA need to know which method produced this age. ","")&amp;IF(AND(ISNUMBER($C25),$C25&lt;0),"Negative age: this horizon post-dates the coring year. Check the conversion. ","")&amp;IF(AND(ISNUMBER($G25),$G25&lt;0),"Age reversal — this horizon is younger than one above it. A mixed or disturbed profile may not be datable at all. ","")&amp;IF(AND(ISNUMBER($D25),ISNUMBER($C25),$C25&gt;0,$D25/$C25&gt;0.5),"Age uncertainty exceeds 50% of the age. Usable as an indication only. ","")&amp;IF(AND($D25="",$C25&lt;&gt;""),"No uncertainty given. Every radiometric age has one; a rate without it cannot be defended. ",""))</f>
        <v/>
      </c>
      <c r="J25" s="18">
        <f>IF($E25="",0,IF(OR(LEFT($E25,6)="Pb-210",LEFT($E25,6)="Cs-137"),1,0))</f>
        <v/>
      </c>
      <c r="K25" s="18">
        <f>IF(OR($A25="",NOT(ISNUMBER($B25))),"",SUMPRODUCT(MAX(('4. Chronology'!$A$5:$A$204=$A25)*('4. Chronology'!$B$5:$B$204&lt;$B25)*'4. Chronology'!$B$5:$B$204)))</f>
        <v/>
      </c>
    </row>
    <row r="26">
      <c r="A26" s="14" t="n"/>
      <c r="B26" s="14" t="n"/>
      <c r="C26" s="14" t="n"/>
      <c r="D26" s="14" t="n"/>
      <c r="E26" s="14" t="n"/>
      <c r="F26" s="18">
        <f>IF(OR($A26="",NOT(ISNUMBER($B26))),"",SUMIFS('3. Peat Data'!$P$5:$P$604,'3. Peat Data'!$B$5:$B$604,$A26,'3. Peat Data'!$F$5:$F$604,"&lt;="&amp;$B26)+SUMPRODUCT(('3. Peat Data'!$B$5:$B$604=$A26)*('3. Peat Data'!$E$5:$E$604&lt;$B26)*('3. Peat Data'!$F$5:$F$604&gt;$B26)*'3. Peat Data'!$R$5:$R$604*($B26-'3. Peat Data'!$E$5:$E$604)))</f>
        <v/>
      </c>
      <c r="G26" s="18">
        <f>IF(OR($A26="",NOT(ISNUMBER($B26)),NOT(ISNUMBER($C26))),"",IFERROR(($B26-$K26)/($C26-IF($K26=0,0,SUMIFS('4. Chronology'!$C$5:$C$204,'4. Chronology'!$A$5:$A$204,$A26,'4. Chronology'!$B$5:$B$204,$K26))),""))</f>
        <v/>
      </c>
      <c r="H26" s="18">
        <f>IF(OR($A26="",NOT(ISNUMBER($F26)),NOT(ISNUMBER($C26))),"",IFERROR((($F26-IF($K26=0,0,SUMIFS('4. Chronology'!$F$5:$F$204,'4. Chronology'!$A$5:$A$204,$A26,'4. Chronology'!$B$5:$B$204,$K26)))*1000)/($C26-IF($K26=0,0,SUMIFS('4. Chronology'!$C$5:$C$204,'4. Chronology'!$A$5:$A$204,$A26,'4. Chronology'!$B$5:$B$204,$K26))),""))</f>
        <v/>
      </c>
      <c r="I26" s="18">
        <f>IF($A26="","",IF(COUNTIF('2. Core Log'!$A$5:$A$124,$A26)=0,"Core ID not in Core Log. ","")&amp;IF($E26="","No date source given — RERCA and LORCA need to know which method produced this age. ","")&amp;IF(AND(ISNUMBER($C26),$C26&lt;0),"Negative age: this horizon post-dates the coring year. Check the conversion. ","")&amp;IF(AND(ISNUMBER($G26),$G26&lt;0),"Age reversal — this horizon is younger than one above it. A mixed or disturbed profile may not be datable at all. ","")&amp;IF(AND(ISNUMBER($D26),ISNUMBER($C26),$C26&gt;0,$D26/$C26&gt;0.5),"Age uncertainty exceeds 50% of the age. Usable as an indication only. ","")&amp;IF(AND($D26="",$C26&lt;&gt;""),"No uncertainty given. Every radiometric age has one; a rate without it cannot be defended. ",""))</f>
        <v/>
      </c>
      <c r="J26" s="18">
        <f>IF($E26="",0,IF(OR(LEFT($E26,6)="Pb-210",LEFT($E26,6)="Cs-137"),1,0))</f>
        <v/>
      </c>
      <c r="K26" s="18">
        <f>IF(OR($A26="",NOT(ISNUMBER($B26))),"",SUMPRODUCT(MAX(('4. Chronology'!$A$5:$A$204=$A26)*('4. Chronology'!$B$5:$B$204&lt;$B26)*'4. Chronology'!$B$5:$B$204)))</f>
        <v/>
      </c>
    </row>
    <row r="27">
      <c r="A27" s="14" t="n"/>
      <c r="B27" s="14" t="n"/>
      <c r="C27" s="14" t="n"/>
      <c r="D27" s="14" t="n"/>
      <c r="E27" s="14" t="n"/>
      <c r="F27" s="18">
        <f>IF(OR($A27="",NOT(ISNUMBER($B27))),"",SUMIFS('3. Peat Data'!$P$5:$P$604,'3. Peat Data'!$B$5:$B$604,$A27,'3. Peat Data'!$F$5:$F$604,"&lt;="&amp;$B27)+SUMPRODUCT(('3. Peat Data'!$B$5:$B$604=$A27)*('3. Peat Data'!$E$5:$E$604&lt;$B27)*('3. Peat Data'!$F$5:$F$604&gt;$B27)*'3. Peat Data'!$R$5:$R$604*($B27-'3. Peat Data'!$E$5:$E$604)))</f>
        <v/>
      </c>
      <c r="G27" s="18">
        <f>IF(OR($A27="",NOT(ISNUMBER($B27)),NOT(ISNUMBER($C27))),"",IFERROR(($B27-$K27)/($C27-IF($K27=0,0,SUMIFS('4. Chronology'!$C$5:$C$204,'4. Chronology'!$A$5:$A$204,$A27,'4. Chronology'!$B$5:$B$204,$K27))),""))</f>
        <v/>
      </c>
      <c r="H27" s="18">
        <f>IF(OR($A27="",NOT(ISNUMBER($F27)),NOT(ISNUMBER($C27))),"",IFERROR((($F27-IF($K27=0,0,SUMIFS('4. Chronology'!$F$5:$F$204,'4. Chronology'!$A$5:$A$204,$A27,'4. Chronology'!$B$5:$B$204,$K27)))*1000)/($C27-IF($K27=0,0,SUMIFS('4. Chronology'!$C$5:$C$204,'4. Chronology'!$A$5:$A$204,$A27,'4. Chronology'!$B$5:$B$204,$K27))),""))</f>
        <v/>
      </c>
      <c r="I27" s="18">
        <f>IF($A27="","",IF(COUNTIF('2. Core Log'!$A$5:$A$124,$A27)=0,"Core ID not in Core Log. ","")&amp;IF($E27="","No date source given — RERCA and LORCA need to know which method produced this age. ","")&amp;IF(AND(ISNUMBER($C27),$C27&lt;0),"Negative age: this horizon post-dates the coring year. Check the conversion. ","")&amp;IF(AND(ISNUMBER($G27),$G27&lt;0),"Age reversal — this horizon is younger than one above it. A mixed or disturbed profile may not be datable at all. ","")&amp;IF(AND(ISNUMBER($D27),ISNUMBER($C27),$C27&gt;0,$D27/$C27&gt;0.5),"Age uncertainty exceeds 50% of the age. Usable as an indication only. ","")&amp;IF(AND($D27="",$C27&lt;&gt;""),"No uncertainty given. Every radiometric age has one; a rate without it cannot be defended. ",""))</f>
        <v/>
      </c>
      <c r="J27" s="18">
        <f>IF($E27="",0,IF(OR(LEFT($E27,6)="Pb-210",LEFT($E27,6)="Cs-137"),1,0))</f>
        <v/>
      </c>
      <c r="K27" s="18">
        <f>IF(OR($A27="",NOT(ISNUMBER($B27))),"",SUMPRODUCT(MAX(('4. Chronology'!$A$5:$A$204=$A27)*('4. Chronology'!$B$5:$B$204&lt;$B27)*'4. Chronology'!$B$5:$B$204)))</f>
        <v/>
      </c>
    </row>
    <row r="28">
      <c r="A28" s="14" t="n"/>
      <c r="B28" s="14" t="n"/>
      <c r="C28" s="14" t="n"/>
      <c r="D28" s="14" t="n"/>
      <c r="E28" s="14" t="n"/>
      <c r="F28" s="18">
        <f>IF(OR($A28="",NOT(ISNUMBER($B28))),"",SUMIFS('3. Peat Data'!$P$5:$P$604,'3. Peat Data'!$B$5:$B$604,$A28,'3. Peat Data'!$F$5:$F$604,"&lt;="&amp;$B28)+SUMPRODUCT(('3. Peat Data'!$B$5:$B$604=$A28)*('3. Peat Data'!$E$5:$E$604&lt;$B28)*('3. Peat Data'!$F$5:$F$604&gt;$B28)*'3. Peat Data'!$R$5:$R$604*($B28-'3. Peat Data'!$E$5:$E$604)))</f>
        <v/>
      </c>
      <c r="G28" s="18">
        <f>IF(OR($A28="",NOT(ISNUMBER($B28)),NOT(ISNUMBER($C28))),"",IFERROR(($B28-$K28)/($C28-IF($K28=0,0,SUMIFS('4. Chronology'!$C$5:$C$204,'4. Chronology'!$A$5:$A$204,$A28,'4. Chronology'!$B$5:$B$204,$K28))),""))</f>
        <v/>
      </c>
      <c r="H28" s="18">
        <f>IF(OR($A28="",NOT(ISNUMBER($F28)),NOT(ISNUMBER($C28))),"",IFERROR((($F28-IF($K28=0,0,SUMIFS('4. Chronology'!$F$5:$F$204,'4. Chronology'!$A$5:$A$204,$A28,'4. Chronology'!$B$5:$B$204,$K28)))*1000)/($C28-IF($K28=0,0,SUMIFS('4. Chronology'!$C$5:$C$204,'4. Chronology'!$A$5:$A$204,$A28,'4. Chronology'!$B$5:$B$204,$K28))),""))</f>
        <v/>
      </c>
      <c r="I28" s="18">
        <f>IF($A28="","",IF(COUNTIF('2. Core Log'!$A$5:$A$124,$A28)=0,"Core ID not in Core Log. ","")&amp;IF($E28="","No date source given — RERCA and LORCA need to know which method produced this age. ","")&amp;IF(AND(ISNUMBER($C28),$C28&lt;0),"Negative age: this horizon post-dates the coring year. Check the conversion. ","")&amp;IF(AND(ISNUMBER($G28),$G28&lt;0),"Age reversal — this horizon is younger than one above it. A mixed or disturbed profile may not be datable at all. ","")&amp;IF(AND(ISNUMBER($D28),ISNUMBER($C28),$C28&gt;0,$D28/$C28&gt;0.5),"Age uncertainty exceeds 50% of the age. Usable as an indication only. ","")&amp;IF(AND($D28="",$C28&lt;&gt;""),"No uncertainty given. Every radiometric age has one; a rate without it cannot be defended. ",""))</f>
        <v/>
      </c>
      <c r="J28" s="18">
        <f>IF($E28="",0,IF(OR(LEFT($E28,6)="Pb-210",LEFT($E28,6)="Cs-137"),1,0))</f>
        <v/>
      </c>
      <c r="K28" s="18">
        <f>IF(OR($A28="",NOT(ISNUMBER($B28))),"",SUMPRODUCT(MAX(('4. Chronology'!$A$5:$A$204=$A28)*('4. Chronology'!$B$5:$B$204&lt;$B28)*'4. Chronology'!$B$5:$B$204)))</f>
        <v/>
      </c>
    </row>
    <row r="29">
      <c r="A29" s="14" t="n"/>
      <c r="B29" s="14" t="n"/>
      <c r="C29" s="14" t="n"/>
      <c r="D29" s="14" t="n"/>
      <c r="E29" s="14" t="n"/>
      <c r="F29" s="18">
        <f>IF(OR($A29="",NOT(ISNUMBER($B29))),"",SUMIFS('3. Peat Data'!$P$5:$P$604,'3. Peat Data'!$B$5:$B$604,$A29,'3. Peat Data'!$F$5:$F$604,"&lt;="&amp;$B29)+SUMPRODUCT(('3. Peat Data'!$B$5:$B$604=$A29)*('3. Peat Data'!$E$5:$E$604&lt;$B29)*('3. Peat Data'!$F$5:$F$604&gt;$B29)*'3. Peat Data'!$R$5:$R$604*($B29-'3. Peat Data'!$E$5:$E$604)))</f>
        <v/>
      </c>
      <c r="G29" s="18">
        <f>IF(OR($A29="",NOT(ISNUMBER($B29)),NOT(ISNUMBER($C29))),"",IFERROR(($B29-$K29)/($C29-IF($K29=0,0,SUMIFS('4. Chronology'!$C$5:$C$204,'4. Chronology'!$A$5:$A$204,$A29,'4. Chronology'!$B$5:$B$204,$K29))),""))</f>
        <v/>
      </c>
      <c r="H29" s="18">
        <f>IF(OR($A29="",NOT(ISNUMBER($F29)),NOT(ISNUMBER($C29))),"",IFERROR((($F29-IF($K29=0,0,SUMIFS('4. Chronology'!$F$5:$F$204,'4. Chronology'!$A$5:$A$204,$A29,'4. Chronology'!$B$5:$B$204,$K29)))*1000)/($C29-IF($K29=0,0,SUMIFS('4. Chronology'!$C$5:$C$204,'4. Chronology'!$A$5:$A$204,$A29,'4. Chronology'!$B$5:$B$204,$K29))),""))</f>
        <v/>
      </c>
      <c r="I29" s="18">
        <f>IF($A29="","",IF(COUNTIF('2. Core Log'!$A$5:$A$124,$A29)=0,"Core ID not in Core Log. ","")&amp;IF($E29="","No date source given — RERCA and LORCA need to know which method produced this age. ","")&amp;IF(AND(ISNUMBER($C29),$C29&lt;0),"Negative age: this horizon post-dates the coring year. Check the conversion. ","")&amp;IF(AND(ISNUMBER($G29),$G29&lt;0),"Age reversal — this horizon is younger than one above it. A mixed or disturbed profile may not be datable at all. ","")&amp;IF(AND(ISNUMBER($D29),ISNUMBER($C29),$C29&gt;0,$D29/$C29&gt;0.5),"Age uncertainty exceeds 50% of the age. Usable as an indication only. ","")&amp;IF(AND($D29="",$C29&lt;&gt;""),"No uncertainty given. Every radiometric age has one; a rate without it cannot be defended. ",""))</f>
        <v/>
      </c>
      <c r="J29" s="18">
        <f>IF($E29="",0,IF(OR(LEFT($E29,6)="Pb-210",LEFT($E29,6)="Cs-137"),1,0))</f>
        <v/>
      </c>
      <c r="K29" s="18">
        <f>IF(OR($A29="",NOT(ISNUMBER($B29))),"",SUMPRODUCT(MAX(('4. Chronology'!$A$5:$A$204=$A29)*('4. Chronology'!$B$5:$B$204&lt;$B29)*'4. Chronology'!$B$5:$B$204)))</f>
        <v/>
      </c>
    </row>
    <row r="30">
      <c r="A30" s="14" t="n"/>
      <c r="B30" s="14" t="n"/>
      <c r="C30" s="14" t="n"/>
      <c r="D30" s="14" t="n"/>
      <c r="E30" s="14" t="n"/>
      <c r="F30" s="18">
        <f>IF(OR($A30="",NOT(ISNUMBER($B30))),"",SUMIFS('3. Peat Data'!$P$5:$P$604,'3. Peat Data'!$B$5:$B$604,$A30,'3. Peat Data'!$F$5:$F$604,"&lt;="&amp;$B30)+SUMPRODUCT(('3. Peat Data'!$B$5:$B$604=$A30)*('3. Peat Data'!$E$5:$E$604&lt;$B30)*('3. Peat Data'!$F$5:$F$604&gt;$B30)*'3. Peat Data'!$R$5:$R$604*($B30-'3. Peat Data'!$E$5:$E$604)))</f>
        <v/>
      </c>
      <c r="G30" s="18">
        <f>IF(OR($A30="",NOT(ISNUMBER($B30)),NOT(ISNUMBER($C30))),"",IFERROR(($B30-$K30)/($C30-IF($K30=0,0,SUMIFS('4. Chronology'!$C$5:$C$204,'4. Chronology'!$A$5:$A$204,$A30,'4. Chronology'!$B$5:$B$204,$K30))),""))</f>
        <v/>
      </c>
      <c r="H30" s="18">
        <f>IF(OR($A30="",NOT(ISNUMBER($F30)),NOT(ISNUMBER($C30))),"",IFERROR((($F30-IF($K30=0,0,SUMIFS('4. Chronology'!$F$5:$F$204,'4. Chronology'!$A$5:$A$204,$A30,'4. Chronology'!$B$5:$B$204,$K30)))*1000)/($C30-IF($K30=0,0,SUMIFS('4. Chronology'!$C$5:$C$204,'4. Chronology'!$A$5:$A$204,$A30,'4. Chronology'!$B$5:$B$204,$K30))),""))</f>
        <v/>
      </c>
      <c r="I30" s="18">
        <f>IF($A30="","",IF(COUNTIF('2. Core Log'!$A$5:$A$124,$A30)=0,"Core ID not in Core Log. ","")&amp;IF($E30="","No date source given — RERCA and LORCA need to know which method produced this age. ","")&amp;IF(AND(ISNUMBER($C30),$C30&lt;0),"Negative age: this horizon post-dates the coring year. Check the conversion. ","")&amp;IF(AND(ISNUMBER($G30),$G30&lt;0),"Age reversal — this horizon is younger than one above it. A mixed or disturbed profile may not be datable at all. ","")&amp;IF(AND(ISNUMBER($D30),ISNUMBER($C30),$C30&gt;0,$D30/$C30&gt;0.5),"Age uncertainty exceeds 50% of the age. Usable as an indication only. ","")&amp;IF(AND($D30="",$C30&lt;&gt;""),"No uncertainty given. Every radiometric age has one; a rate without it cannot be defended. ",""))</f>
        <v/>
      </c>
      <c r="J30" s="18">
        <f>IF($E30="",0,IF(OR(LEFT($E30,6)="Pb-210",LEFT($E30,6)="Cs-137"),1,0))</f>
        <v/>
      </c>
      <c r="K30" s="18">
        <f>IF(OR($A30="",NOT(ISNUMBER($B30))),"",SUMPRODUCT(MAX(('4. Chronology'!$A$5:$A$204=$A30)*('4. Chronology'!$B$5:$B$204&lt;$B30)*'4. Chronology'!$B$5:$B$204)))</f>
        <v/>
      </c>
    </row>
    <row r="31">
      <c r="A31" s="14" t="n"/>
      <c r="B31" s="14" t="n"/>
      <c r="C31" s="14" t="n"/>
      <c r="D31" s="14" t="n"/>
      <c r="E31" s="14" t="n"/>
      <c r="F31" s="18">
        <f>IF(OR($A31="",NOT(ISNUMBER($B31))),"",SUMIFS('3. Peat Data'!$P$5:$P$604,'3. Peat Data'!$B$5:$B$604,$A31,'3. Peat Data'!$F$5:$F$604,"&lt;="&amp;$B31)+SUMPRODUCT(('3. Peat Data'!$B$5:$B$604=$A31)*('3. Peat Data'!$E$5:$E$604&lt;$B31)*('3. Peat Data'!$F$5:$F$604&gt;$B31)*'3. Peat Data'!$R$5:$R$604*($B31-'3. Peat Data'!$E$5:$E$604)))</f>
        <v/>
      </c>
      <c r="G31" s="18">
        <f>IF(OR($A31="",NOT(ISNUMBER($B31)),NOT(ISNUMBER($C31))),"",IFERROR(($B31-$K31)/($C31-IF($K31=0,0,SUMIFS('4. Chronology'!$C$5:$C$204,'4. Chronology'!$A$5:$A$204,$A31,'4. Chronology'!$B$5:$B$204,$K31))),""))</f>
        <v/>
      </c>
      <c r="H31" s="18">
        <f>IF(OR($A31="",NOT(ISNUMBER($F31)),NOT(ISNUMBER($C31))),"",IFERROR((($F31-IF($K31=0,0,SUMIFS('4. Chronology'!$F$5:$F$204,'4. Chronology'!$A$5:$A$204,$A31,'4. Chronology'!$B$5:$B$204,$K31)))*1000)/($C31-IF($K31=0,0,SUMIFS('4. Chronology'!$C$5:$C$204,'4. Chronology'!$A$5:$A$204,$A31,'4. Chronology'!$B$5:$B$204,$K31))),""))</f>
        <v/>
      </c>
      <c r="I31" s="18">
        <f>IF($A31="","",IF(COUNTIF('2. Core Log'!$A$5:$A$124,$A31)=0,"Core ID not in Core Log. ","")&amp;IF($E31="","No date source given — RERCA and LORCA need to know which method produced this age. ","")&amp;IF(AND(ISNUMBER($C31),$C31&lt;0),"Negative age: this horizon post-dates the coring year. Check the conversion. ","")&amp;IF(AND(ISNUMBER($G31),$G31&lt;0),"Age reversal — this horizon is younger than one above it. A mixed or disturbed profile may not be datable at all. ","")&amp;IF(AND(ISNUMBER($D31),ISNUMBER($C31),$C31&gt;0,$D31/$C31&gt;0.5),"Age uncertainty exceeds 50% of the age. Usable as an indication only. ","")&amp;IF(AND($D31="",$C31&lt;&gt;""),"No uncertainty given. Every radiometric age has one; a rate without it cannot be defended. ",""))</f>
        <v/>
      </c>
      <c r="J31" s="18">
        <f>IF($E31="",0,IF(OR(LEFT($E31,6)="Pb-210",LEFT($E31,6)="Cs-137"),1,0))</f>
        <v/>
      </c>
      <c r="K31" s="18">
        <f>IF(OR($A31="",NOT(ISNUMBER($B31))),"",SUMPRODUCT(MAX(('4. Chronology'!$A$5:$A$204=$A31)*('4. Chronology'!$B$5:$B$204&lt;$B31)*'4. Chronology'!$B$5:$B$204)))</f>
        <v/>
      </c>
    </row>
    <row r="32">
      <c r="A32" s="14" t="n"/>
      <c r="B32" s="14" t="n"/>
      <c r="C32" s="14" t="n"/>
      <c r="D32" s="14" t="n"/>
      <c r="E32" s="14" t="n"/>
      <c r="F32" s="18">
        <f>IF(OR($A32="",NOT(ISNUMBER($B32))),"",SUMIFS('3. Peat Data'!$P$5:$P$604,'3. Peat Data'!$B$5:$B$604,$A32,'3. Peat Data'!$F$5:$F$604,"&lt;="&amp;$B32)+SUMPRODUCT(('3. Peat Data'!$B$5:$B$604=$A32)*('3. Peat Data'!$E$5:$E$604&lt;$B32)*('3. Peat Data'!$F$5:$F$604&gt;$B32)*'3. Peat Data'!$R$5:$R$604*($B32-'3. Peat Data'!$E$5:$E$604)))</f>
        <v/>
      </c>
      <c r="G32" s="18">
        <f>IF(OR($A32="",NOT(ISNUMBER($B32)),NOT(ISNUMBER($C32))),"",IFERROR(($B32-$K32)/($C32-IF($K32=0,0,SUMIFS('4. Chronology'!$C$5:$C$204,'4. Chronology'!$A$5:$A$204,$A32,'4. Chronology'!$B$5:$B$204,$K32))),""))</f>
        <v/>
      </c>
      <c r="H32" s="18">
        <f>IF(OR($A32="",NOT(ISNUMBER($F32)),NOT(ISNUMBER($C32))),"",IFERROR((($F32-IF($K32=0,0,SUMIFS('4. Chronology'!$F$5:$F$204,'4. Chronology'!$A$5:$A$204,$A32,'4. Chronology'!$B$5:$B$204,$K32)))*1000)/($C32-IF($K32=0,0,SUMIFS('4. Chronology'!$C$5:$C$204,'4. Chronology'!$A$5:$A$204,$A32,'4. Chronology'!$B$5:$B$204,$K32))),""))</f>
        <v/>
      </c>
      <c r="I32" s="18">
        <f>IF($A32="","",IF(COUNTIF('2. Core Log'!$A$5:$A$124,$A32)=0,"Core ID not in Core Log. ","")&amp;IF($E32="","No date source given — RERCA and LORCA need to know which method produced this age. ","")&amp;IF(AND(ISNUMBER($C32),$C32&lt;0),"Negative age: this horizon post-dates the coring year. Check the conversion. ","")&amp;IF(AND(ISNUMBER($G32),$G32&lt;0),"Age reversal — this horizon is younger than one above it. A mixed or disturbed profile may not be datable at all. ","")&amp;IF(AND(ISNUMBER($D32),ISNUMBER($C32),$C32&gt;0,$D32/$C32&gt;0.5),"Age uncertainty exceeds 50% of the age. Usable as an indication only. ","")&amp;IF(AND($D32="",$C32&lt;&gt;""),"No uncertainty given. Every radiometric age has one; a rate without it cannot be defended. ",""))</f>
        <v/>
      </c>
      <c r="J32" s="18">
        <f>IF($E32="",0,IF(OR(LEFT($E32,6)="Pb-210",LEFT($E32,6)="Cs-137"),1,0))</f>
        <v/>
      </c>
      <c r="K32" s="18">
        <f>IF(OR($A32="",NOT(ISNUMBER($B32))),"",SUMPRODUCT(MAX(('4. Chronology'!$A$5:$A$204=$A32)*('4. Chronology'!$B$5:$B$204&lt;$B32)*'4. Chronology'!$B$5:$B$204)))</f>
        <v/>
      </c>
    </row>
    <row r="33">
      <c r="A33" s="14" t="n"/>
      <c r="B33" s="14" t="n"/>
      <c r="C33" s="14" t="n"/>
      <c r="D33" s="14" t="n"/>
      <c r="E33" s="14" t="n"/>
      <c r="F33" s="18">
        <f>IF(OR($A33="",NOT(ISNUMBER($B33))),"",SUMIFS('3. Peat Data'!$P$5:$P$604,'3. Peat Data'!$B$5:$B$604,$A33,'3. Peat Data'!$F$5:$F$604,"&lt;="&amp;$B33)+SUMPRODUCT(('3. Peat Data'!$B$5:$B$604=$A33)*('3. Peat Data'!$E$5:$E$604&lt;$B33)*('3. Peat Data'!$F$5:$F$604&gt;$B33)*'3. Peat Data'!$R$5:$R$604*($B33-'3. Peat Data'!$E$5:$E$604)))</f>
        <v/>
      </c>
      <c r="G33" s="18">
        <f>IF(OR($A33="",NOT(ISNUMBER($B33)),NOT(ISNUMBER($C33))),"",IFERROR(($B33-$K33)/($C33-IF($K33=0,0,SUMIFS('4. Chronology'!$C$5:$C$204,'4. Chronology'!$A$5:$A$204,$A33,'4. Chronology'!$B$5:$B$204,$K33))),""))</f>
        <v/>
      </c>
      <c r="H33" s="18">
        <f>IF(OR($A33="",NOT(ISNUMBER($F33)),NOT(ISNUMBER($C33))),"",IFERROR((($F33-IF($K33=0,0,SUMIFS('4. Chronology'!$F$5:$F$204,'4. Chronology'!$A$5:$A$204,$A33,'4. Chronology'!$B$5:$B$204,$K33)))*1000)/($C33-IF($K33=0,0,SUMIFS('4. Chronology'!$C$5:$C$204,'4. Chronology'!$A$5:$A$204,$A33,'4. Chronology'!$B$5:$B$204,$K33))),""))</f>
        <v/>
      </c>
      <c r="I33" s="18">
        <f>IF($A33="","",IF(COUNTIF('2. Core Log'!$A$5:$A$124,$A33)=0,"Core ID not in Core Log. ","")&amp;IF($E33="","No date source given — RERCA and LORCA need to know which method produced this age. ","")&amp;IF(AND(ISNUMBER($C33),$C33&lt;0),"Negative age: this horizon post-dates the coring year. Check the conversion. ","")&amp;IF(AND(ISNUMBER($G33),$G33&lt;0),"Age reversal — this horizon is younger than one above it. A mixed or disturbed profile may not be datable at all. ","")&amp;IF(AND(ISNUMBER($D33),ISNUMBER($C33),$C33&gt;0,$D33/$C33&gt;0.5),"Age uncertainty exceeds 50% of the age. Usable as an indication only. ","")&amp;IF(AND($D33="",$C33&lt;&gt;""),"No uncertainty given. Every radiometric age has one; a rate without it cannot be defended. ",""))</f>
        <v/>
      </c>
      <c r="J33" s="18">
        <f>IF($E33="",0,IF(OR(LEFT($E33,6)="Pb-210",LEFT($E33,6)="Cs-137"),1,0))</f>
        <v/>
      </c>
      <c r="K33" s="18">
        <f>IF(OR($A33="",NOT(ISNUMBER($B33))),"",SUMPRODUCT(MAX(('4. Chronology'!$A$5:$A$204=$A33)*('4. Chronology'!$B$5:$B$204&lt;$B33)*'4. Chronology'!$B$5:$B$204)))</f>
        <v/>
      </c>
    </row>
    <row r="34">
      <c r="A34" s="14" t="n"/>
      <c r="B34" s="14" t="n"/>
      <c r="C34" s="14" t="n"/>
      <c r="D34" s="14" t="n"/>
      <c r="E34" s="14" t="n"/>
      <c r="F34" s="18">
        <f>IF(OR($A34="",NOT(ISNUMBER($B34))),"",SUMIFS('3. Peat Data'!$P$5:$P$604,'3. Peat Data'!$B$5:$B$604,$A34,'3. Peat Data'!$F$5:$F$604,"&lt;="&amp;$B34)+SUMPRODUCT(('3. Peat Data'!$B$5:$B$604=$A34)*('3. Peat Data'!$E$5:$E$604&lt;$B34)*('3. Peat Data'!$F$5:$F$604&gt;$B34)*'3. Peat Data'!$R$5:$R$604*($B34-'3. Peat Data'!$E$5:$E$604)))</f>
        <v/>
      </c>
      <c r="G34" s="18">
        <f>IF(OR($A34="",NOT(ISNUMBER($B34)),NOT(ISNUMBER($C34))),"",IFERROR(($B34-$K34)/($C34-IF($K34=0,0,SUMIFS('4. Chronology'!$C$5:$C$204,'4. Chronology'!$A$5:$A$204,$A34,'4. Chronology'!$B$5:$B$204,$K34))),""))</f>
        <v/>
      </c>
      <c r="H34" s="18">
        <f>IF(OR($A34="",NOT(ISNUMBER($F34)),NOT(ISNUMBER($C34))),"",IFERROR((($F34-IF($K34=0,0,SUMIFS('4. Chronology'!$F$5:$F$204,'4. Chronology'!$A$5:$A$204,$A34,'4. Chronology'!$B$5:$B$204,$K34)))*1000)/($C34-IF($K34=0,0,SUMIFS('4. Chronology'!$C$5:$C$204,'4. Chronology'!$A$5:$A$204,$A34,'4. Chronology'!$B$5:$B$204,$K34))),""))</f>
        <v/>
      </c>
      <c r="I34" s="18">
        <f>IF($A34="","",IF(COUNTIF('2. Core Log'!$A$5:$A$124,$A34)=0,"Core ID not in Core Log. ","")&amp;IF($E34="","No date source given — RERCA and LORCA need to know which method produced this age. ","")&amp;IF(AND(ISNUMBER($C34),$C34&lt;0),"Negative age: this horizon post-dates the coring year. Check the conversion. ","")&amp;IF(AND(ISNUMBER($G34),$G34&lt;0),"Age reversal — this horizon is younger than one above it. A mixed or disturbed profile may not be datable at all. ","")&amp;IF(AND(ISNUMBER($D34),ISNUMBER($C34),$C34&gt;0,$D34/$C34&gt;0.5),"Age uncertainty exceeds 50% of the age. Usable as an indication only. ","")&amp;IF(AND($D34="",$C34&lt;&gt;""),"No uncertainty given. Every radiometric age has one; a rate without it cannot be defended. ",""))</f>
        <v/>
      </c>
      <c r="J34" s="18">
        <f>IF($E34="",0,IF(OR(LEFT($E34,6)="Pb-210",LEFT($E34,6)="Cs-137"),1,0))</f>
        <v/>
      </c>
      <c r="K34" s="18">
        <f>IF(OR($A34="",NOT(ISNUMBER($B34))),"",SUMPRODUCT(MAX(('4. Chronology'!$A$5:$A$204=$A34)*('4. Chronology'!$B$5:$B$204&lt;$B34)*'4. Chronology'!$B$5:$B$204)))</f>
        <v/>
      </c>
    </row>
    <row r="35">
      <c r="A35" s="14" t="n"/>
      <c r="B35" s="14" t="n"/>
      <c r="C35" s="14" t="n"/>
      <c r="D35" s="14" t="n"/>
      <c r="E35" s="14" t="n"/>
      <c r="F35" s="18">
        <f>IF(OR($A35="",NOT(ISNUMBER($B35))),"",SUMIFS('3. Peat Data'!$P$5:$P$604,'3. Peat Data'!$B$5:$B$604,$A35,'3. Peat Data'!$F$5:$F$604,"&lt;="&amp;$B35)+SUMPRODUCT(('3. Peat Data'!$B$5:$B$604=$A35)*('3. Peat Data'!$E$5:$E$604&lt;$B35)*('3. Peat Data'!$F$5:$F$604&gt;$B35)*'3. Peat Data'!$R$5:$R$604*($B35-'3. Peat Data'!$E$5:$E$604)))</f>
        <v/>
      </c>
      <c r="G35" s="18">
        <f>IF(OR($A35="",NOT(ISNUMBER($B35)),NOT(ISNUMBER($C35))),"",IFERROR(($B35-$K35)/($C35-IF($K35=0,0,SUMIFS('4. Chronology'!$C$5:$C$204,'4. Chronology'!$A$5:$A$204,$A35,'4. Chronology'!$B$5:$B$204,$K35))),""))</f>
        <v/>
      </c>
      <c r="H35" s="18">
        <f>IF(OR($A35="",NOT(ISNUMBER($F35)),NOT(ISNUMBER($C35))),"",IFERROR((($F35-IF($K35=0,0,SUMIFS('4. Chronology'!$F$5:$F$204,'4. Chronology'!$A$5:$A$204,$A35,'4. Chronology'!$B$5:$B$204,$K35)))*1000)/($C35-IF($K35=0,0,SUMIFS('4. Chronology'!$C$5:$C$204,'4. Chronology'!$A$5:$A$204,$A35,'4. Chronology'!$B$5:$B$204,$K35))),""))</f>
        <v/>
      </c>
      <c r="I35" s="18">
        <f>IF($A35="","",IF(COUNTIF('2. Core Log'!$A$5:$A$124,$A35)=0,"Core ID not in Core Log. ","")&amp;IF($E35="","No date source given — RERCA and LORCA need to know which method produced this age. ","")&amp;IF(AND(ISNUMBER($C35),$C35&lt;0),"Negative age: this horizon post-dates the coring year. Check the conversion. ","")&amp;IF(AND(ISNUMBER($G35),$G35&lt;0),"Age reversal — this horizon is younger than one above it. A mixed or disturbed profile may not be datable at all. ","")&amp;IF(AND(ISNUMBER($D35),ISNUMBER($C35),$C35&gt;0,$D35/$C35&gt;0.5),"Age uncertainty exceeds 50% of the age. Usable as an indication only. ","")&amp;IF(AND($D35="",$C35&lt;&gt;""),"No uncertainty given. Every radiometric age has one; a rate without it cannot be defended. ",""))</f>
        <v/>
      </c>
      <c r="J35" s="18">
        <f>IF($E35="",0,IF(OR(LEFT($E35,6)="Pb-210",LEFT($E35,6)="Cs-137"),1,0))</f>
        <v/>
      </c>
      <c r="K35" s="18">
        <f>IF(OR($A35="",NOT(ISNUMBER($B35))),"",SUMPRODUCT(MAX(('4. Chronology'!$A$5:$A$204=$A35)*('4. Chronology'!$B$5:$B$204&lt;$B35)*'4. Chronology'!$B$5:$B$204)))</f>
        <v/>
      </c>
    </row>
    <row r="36">
      <c r="A36" s="14" t="n"/>
      <c r="B36" s="14" t="n"/>
      <c r="C36" s="14" t="n"/>
      <c r="D36" s="14" t="n"/>
      <c r="E36" s="14" t="n"/>
      <c r="F36" s="18">
        <f>IF(OR($A36="",NOT(ISNUMBER($B36))),"",SUMIFS('3. Peat Data'!$P$5:$P$604,'3. Peat Data'!$B$5:$B$604,$A36,'3. Peat Data'!$F$5:$F$604,"&lt;="&amp;$B36)+SUMPRODUCT(('3. Peat Data'!$B$5:$B$604=$A36)*('3. Peat Data'!$E$5:$E$604&lt;$B36)*('3. Peat Data'!$F$5:$F$604&gt;$B36)*'3. Peat Data'!$R$5:$R$604*($B36-'3. Peat Data'!$E$5:$E$604)))</f>
        <v/>
      </c>
      <c r="G36" s="18">
        <f>IF(OR($A36="",NOT(ISNUMBER($B36)),NOT(ISNUMBER($C36))),"",IFERROR(($B36-$K36)/($C36-IF($K36=0,0,SUMIFS('4. Chronology'!$C$5:$C$204,'4. Chronology'!$A$5:$A$204,$A36,'4. Chronology'!$B$5:$B$204,$K36))),""))</f>
        <v/>
      </c>
      <c r="H36" s="18">
        <f>IF(OR($A36="",NOT(ISNUMBER($F36)),NOT(ISNUMBER($C36))),"",IFERROR((($F36-IF($K36=0,0,SUMIFS('4. Chronology'!$F$5:$F$204,'4. Chronology'!$A$5:$A$204,$A36,'4. Chronology'!$B$5:$B$204,$K36)))*1000)/($C36-IF($K36=0,0,SUMIFS('4. Chronology'!$C$5:$C$204,'4. Chronology'!$A$5:$A$204,$A36,'4. Chronology'!$B$5:$B$204,$K36))),""))</f>
        <v/>
      </c>
      <c r="I36" s="18">
        <f>IF($A36="","",IF(COUNTIF('2. Core Log'!$A$5:$A$124,$A36)=0,"Core ID not in Core Log. ","")&amp;IF($E36="","No date source given — RERCA and LORCA need to know which method produced this age. ","")&amp;IF(AND(ISNUMBER($C36),$C36&lt;0),"Negative age: this horizon post-dates the coring year. Check the conversion. ","")&amp;IF(AND(ISNUMBER($G36),$G36&lt;0),"Age reversal — this horizon is younger than one above it. A mixed or disturbed profile may not be datable at all. ","")&amp;IF(AND(ISNUMBER($D36),ISNUMBER($C36),$C36&gt;0,$D36/$C36&gt;0.5),"Age uncertainty exceeds 50% of the age. Usable as an indication only. ","")&amp;IF(AND($D36="",$C36&lt;&gt;""),"No uncertainty given. Every radiometric age has one; a rate without it cannot be defended. ",""))</f>
        <v/>
      </c>
      <c r="J36" s="18">
        <f>IF($E36="",0,IF(OR(LEFT($E36,6)="Pb-210",LEFT($E36,6)="Cs-137"),1,0))</f>
        <v/>
      </c>
      <c r="K36" s="18">
        <f>IF(OR($A36="",NOT(ISNUMBER($B36))),"",SUMPRODUCT(MAX(('4. Chronology'!$A$5:$A$204=$A36)*('4. Chronology'!$B$5:$B$204&lt;$B36)*'4. Chronology'!$B$5:$B$204)))</f>
        <v/>
      </c>
    </row>
    <row r="37">
      <c r="A37" s="14" t="n"/>
      <c r="B37" s="14" t="n"/>
      <c r="C37" s="14" t="n"/>
      <c r="D37" s="14" t="n"/>
      <c r="E37" s="14" t="n"/>
      <c r="F37" s="18">
        <f>IF(OR($A37="",NOT(ISNUMBER($B37))),"",SUMIFS('3. Peat Data'!$P$5:$P$604,'3. Peat Data'!$B$5:$B$604,$A37,'3. Peat Data'!$F$5:$F$604,"&lt;="&amp;$B37)+SUMPRODUCT(('3. Peat Data'!$B$5:$B$604=$A37)*('3. Peat Data'!$E$5:$E$604&lt;$B37)*('3. Peat Data'!$F$5:$F$604&gt;$B37)*'3. Peat Data'!$R$5:$R$604*($B37-'3. Peat Data'!$E$5:$E$604)))</f>
        <v/>
      </c>
      <c r="G37" s="18">
        <f>IF(OR($A37="",NOT(ISNUMBER($B37)),NOT(ISNUMBER($C37))),"",IFERROR(($B37-$K37)/($C37-IF($K37=0,0,SUMIFS('4. Chronology'!$C$5:$C$204,'4. Chronology'!$A$5:$A$204,$A37,'4. Chronology'!$B$5:$B$204,$K37))),""))</f>
        <v/>
      </c>
      <c r="H37" s="18">
        <f>IF(OR($A37="",NOT(ISNUMBER($F37)),NOT(ISNUMBER($C37))),"",IFERROR((($F37-IF($K37=0,0,SUMIFS('4. Chronology'!$F$5:$F$204,'4. Chronology'!$A$5:$A$204,$A37,'4. Chronology'!$B$5:$B$204,$K37)))*1000)/($C37-IF($K37=0,0,SUMIFS('4. Chronology'!$C$5:$C$204,'4. Chronology'!$A$5:$A$204,$A37,'4. Chronology'!$B$5:$B$204,$K37))),""))</f>
        <v/>
      </c>
      <c r="I37" s="18">
        <f>IF($A37="","",IF(COUNTIF('2. Core Log'!$A$5:$A$124,$A37)=0,"Core ID not in Core Log. ","")&amp;IF($E37="","No date source given — RERCA and LORCA need to know which method produced this age. ","")&amp;IF(AND(ISNUMBER($C37),$C37&lt;0),"Negative age: this horizon post-dates the coring year. Check the conversion. ","")&amp;IF(AND(ISNUMBER($G37),$G37&lt;0),"Age reversal — this horizon is younger than one above it. A mixed or disturbed profile may not be datable at all. ","")&amp;IF(AND(ISNUMBER($D37),ISNUMBER($C37),$C37&gt;0,$D37/$C37&gt;0.5),"Age uncertainty exceeds 50% of the age. Usable as an indication only. ","")&amp;IF(AND($D37="",$C37&lt;&gt;""),"No uncertainty given. Every radiometric age has one; a rate without it cannot be defended. ",""))</f>
        <v/>
      </c>
      <c r="J37" s="18">
        <f>IF($E37="",0,IF(OR(LEFT($E37,6)="Pb-210",LEFT($E37,6)="Cs-137"),1,0))</f>
        <v/>
      </c>
      <c r="K37" s="18">
        <f>IF(OR($A37="",NOT(ISNUMBER($B37))),"",SUMPRODUCT(MAX(('4. Chronology'!$A$5:$A$204=$A37)*('4. Chronology'!$B$5:$B$204&lt;$B37)*'4. Chronology'!$B$5:$B$204)))</f>
        <v/>
      </c>
    </row>
    <row r="38">
      <c r="A38" s="14" t="n"/>
      <c r="B38" s="14" t="n"/>
      <c r="C38" s="14" t="n"/>
      <c r="D38" s="14" t="n"/>
      <c r="E38" s="14" t="n"/>
      <c r="F38" s="18">
        <f>IF(OR($A38="",NOT(ISNUMBER($B38))),"",SUMIFS('3. Peat Data'!$P$5:$P$604,'3. Peat Data'!$B$5:$B$604,$A38,'3. Peat Data'!$F$5:$F$604,"&lt;="&amp;$B38)+SUMPRODUCT(('3. Peat Data'!$B$5:$B$604=$A38)*('3. Peat Data'!$E$5:$E$604&lt;$B38)*('3. Peat Data'!$F$5:$F$604&gt;$B38)*'3. Peat Data'!$R$5:$R$604*($B38-'3. Peat Data'!$E$5:$E$604)))</f>
        <v/>
      </c>
      <c r="G38" s="18">
        <f>IF(OR($A38="",NOT(ISNUMBER($B38)),NOT(ISNUMBER($C38))),"",IFERROR(($B38-$K38)/($C38-IF($K38=0,0,SUMIFS('4. Chronology'!$C$5:$C$204,'4. Chronology'!$A$5:$A$204,$A38,'4. Chronology'!$B$5:$B$204,$K38))),""))</f>
        <v/>
      </c>
      <c r="H38" s="18">
        <f>IF(OR($A38="",NOT(ISNUMBER($F38)),NOT(ISNUMBER($C38))),"",IFERROR((($F38-IF($K38=0,0,SUMIFS('4. Chronology'!$F$5:$F$204,'4. Chronology'!$A$5:$A$204,$A38,'4. Chronology'!$B$5:$B$204,$K38)))*1000)/($C38-IF($K38=0,0,SUMIFS('4. Chronology'!$C$5:$C$204,'4. Chronology'!$A$5:$A$204,$A38,'4. Chronology'!$B$5:$B$204,$K38))),""))</f>
        <v/>
      </c>
      <c r="I38" s="18">
        <f>IF($A38="","",IF(COUNTIF('2. Core Log'!$A$5:$A$124,$A38)=0,"Core ID not in Core Log. ","")&amp;IF($E38="","No date source given — RERCA and LORCA need to know which method produced this age. ","")&amp;IF(AND(ISNUMBER($C38),$C38&lt;0),"Negative age: this horizon post-dates the coring year. Check the conversion. ","")&amp;IF(AND(ISNUMBER($G38),$G38&lt;0),"Age reversal — this horizon is younger than one above it. A mixed or disturbed profile may not be datable at all. ","")&amp;IF(AND(ISNUMBER($D38),ISNUMBER($C38),$C38&gt;0,$D38/$C38&gt;0.5),"Age uncertainty exceeds 50% of the age. Usable as an indication only. ","")&amp;IF(AND($D38="",$C38&lt;&gt;""),"No uncertainty given. Every radiometric age has one; a rate without it cannot be defended. ",""))</f>
        <v/>
      </c>
      <c r="J38" s="18">
        <f>IF($E38="",0,IF(OR(LEFT($E38,6)="Pb-210",LEFT($E38,6)="Cs-137"),1,0))</f>
        <v/>
      </c>
      <c r="K38" s="18">
        <f>IF(OR($A38="",NOT(ISNUMBER($B38))),"",SUMPRODUCT(MAX(('4. Chronology'!$A$5:$A$204=$A38)*('4. Chronology'!$B$5:$B$204&lt;$B38)*'4. Chronology'!$B$5:$B$204)))</f>
        <v/>
      </c>
    </row>
    <row r="39">
      <c r="A39" s="14" t="n"/>
      <c r="B39" s="14" t="n"/>
      <c r="C39" s="14" t="n"/>
      <c r="D39" s="14" t="n"/>
      <c r="E39" s="14" t="n"/>
      <c r="F39" s="18">
        <f>IF(OR($A39="",NOT(ISNUMBER($B39))),"",SUMIFS('3. Peat Data'!$P$5:$P$604,'3. Peat Data'!$B$5:$B$604,$A39,'3. Peat Data'!$F$5:$F$604,"&lt;="&amp;$B39)+SUMPRODUCT(('3. Peat Data'!$B$5:$B$604=$A39)*('3. Peat Data'!$E$5:$E$604&lt;$B39)*('3. Peat Data'!$F$5:$F$604&gt;$B39)*'3. Peat Data'!$R$5:$R$604*($B39-'3. Peat Data'!$E$5:$E$604)))</f>
        <v/>
      </c>
      <c r="G39" s="18">
        <f>IF(OR($A39="",NOT(ISNUMBER($B39)),NOT(ISNUMBER($C39))),"",IFERROR(($B39-$K39)/($C39-IF($K39=0,0,SUMIFS('4. Chronology'!$C$5:$C$204,'4. Chronology'!$A$5:$A$204,$A39,'4. Chronology'!$B$5:$B$204,$K39))),""))</f>
        <v/>
      </c>
      <c r="H39" s="18">
        <f>IF(OR($A39="",NOT(ISNUMBER($F39)),NOT(ISNUMBER($C39))),"",IFERROR((($F39-IF($K39=0,0,SUMIFS('4. Chronology'!$F$5:$F$204,'4. Chronology'!$A$5:$A$204,$A39,'4. Chronology'!$B$5:$B$204,$K39)))*1000)/($C39-IF($K39=0,0,SUMIFS('4. Chronology'!$C$5:$C$204,'4. Chronology'!$A$5:$A$204,$A39,'4. Chronology'!$B$5:$B$204,$K39))),""))</f>
        <v/>
      </c>
      <c r="I39" s="18">
        <f>IF($A39="","",IF(COUNTIF('2. Core Log'!$A$5:$A$124,$A39)=0,"Core ID not in Core Log. ","")&amp;IF($E39="","No date source given — RERCA and LORCA need to know which method produced this age. ","")&amp;IF(AND(ISNUMBER($C39),$C39&lt;0),"Negative age: this horizon post-dates the coring year. Check the conversion. ","")&amp;IF(AND(ISNUMBER($G39),$G39&lt;0),"Age reversal — this horizon is younger than one above it. A mixed or disturbed profile may not be datable at all. ","")&amp;IF(AND(ISNUMBER($D39),ISNUMBER($C39),$C39&gt;0,$D39/$C39&gt;0.5),"Age uncertainty exceeds 50% of the age. Usable as an indication only. ","")&amp;IF(AND($D39="",$C39&lt;&gt;""),"No uncertainty given. Every radiometric age has one; a rate without it cannot be defended. ",""))</f>
        <v/>
      </c>
      <c r="J39" s="18">
        <f>IF($E39="",0,IF(OR(LEFT($E39,6)="Pb-210",LEFT($E39,6)="Cs-137"),1,0))</f>
        <v/>
      </c>
      <c r="K39" s="18">
        <f>IF(OR($A39="",NOT(ISNUMBER($B39))),"",SUMPRODUCT(MAX(('4. Chronology'!$A$5:$A$204=$A39)*('4. Chronology'!$B$5:$B$204&lt;$B39)*'4. Chronology'!$B$5:$B$204)))</f>
        <v/>
      </c>
    </row>
    <row r="40">
      <c r="A40" s="14" t="n"/>
      <c r="B40" s="14" t="n"/>
      <c r="C40" s="14" t="n"/>
      <c r="D40" s="14" t="n"/>
      <c r="E40" s="14" t="n"/>
      <c r="F40" s="18">
        <f>IF(OR($A40="",NOT(ISNUMBER($B40))),"",SUMIFS('3. Peat Data'!$P$5:$P$604,'3. Peat Data'!$B$5:$B$604,$A40,'3. Peat Data'!$F$5:$F$604,"&lt;="&amp;$B40)+SUMPRODUCT(('3. Peat Data'!$B$5:$B$604=$A40)*('3. Peat Data'!$E$5:$E$604&lt;$B40)*('3. Peat Data'!$F$5:$F$604&gt;$B40)*'3. Peat Data'!$R$5:$R$604*($B40-'3. Peat Data'!$E$5:$E$604)))</f>
        <v/>
      </c>
      <c r="G40" s="18">
        <f>IF(OR($A40="",NOT(ISNUMBER($B40)),NOT(ISNUMBER($C40))),"",IFERROR(($B40-$K40)/($C40-IF($K40=0,0,SUMIFS('4. Chronology'!$C$5:$C$204,'4. Chronology'!$A$5:$A$204,$A40,'4. Chronology'!$B$5:$B$204,$K40))),""))</f>
        <v/>
      </c>
      <c r="H40" s="18">
        <f>IF(OR($A40="",NOT(ISNUMBER($F40)),NOT(ISNUMBER($C40))),"",IFERROR((($F40-IF($K40=0,0,SUMIFS('4. Chronology'!$F$5:$F$204,'4. Chronology'!$A$5:$A$204,$A40,'4. Chronology'!$B$5:$B$204,$K40)))*1000)/($C40-IF($K40=0,0,SUMIFS('4. Chronology'!$C$5:$C$204,'4. Chronology'!$A$5:$A$204,$A40,'4. Chronology'!$B$5:$B$204,$K40))),""))</f>
        <v/>
      </c>
      <c r="I40" s="18">
        <f>IF($A40="","",IF(COUNTIF('2. Core Log'!$A$5:$A$124,$A40)=0,"Core ID not in Core Log. ","")&amp;IF($E40="","No date source given — RERCA and LORCA need to know which method produced this age. ","")&amp;IF(AND(ISNUMBER($C40),$C40&lt;0),"Negative age: this horizon post-dates the coring year. Check the conversion. ","")&amp;IF(AND(ISNUMBER($G40),$G40&lt;0),"Age reversal — this horizon is younger than one above it. A mixed or disturbed profile may not be datable at all. ","")&amp;IF(AND(ISNUMBER($D40),ISNUMBER($C40),$C40&gt;0,$D40/$C40&gt;0.5),"Age uncertainty exceeds 50% of the age. Usable as an indication only. ","")&amp;IF(AND($D40="",$C40&lt;&gt;""),"No uncertainty given. Every radiometric age has one; a rate without it cannot be defended. ",""))</f>
        <v/>
      </c>
      <c r="J40" s="18">
        <f>IF($E40="",0,IF(OR(LEFT($E40,6)="Pb-210",LEFT($E40,6)="Cs-137"),1,0))</f>
        <v/>
      </c>
      <c r="K40" s="18">
        <f>IF(OR($A40="",NOT(ISNUMBER($B40))),"",SUMPRODUCT(MAX(('4. Chronology'!$A$5:$A$204=$A40)*('4. Chronology'!$B$5:$B$204&lt;$B40)*'4. Chronology'!$B$5:$B$204)))</f>
        <v/>
      </c>
    </row>
    <row r="41">
      <c r="A41" s="14" t="n"/>
      <c r="B41" s="14" t="n"/>
      <c r="C41" s="14" t="n"/>
      <c r="D41" s="14" t="n"/>
      <c r="E41" s="14" t="n"/>
      <c r="F41" s="18">
        <f>IF(OR($A41="",NOT(ISNUMBER($B41))),"",SUMIFS('3. Peat Data'!$P$5:$P$604,'3. Peat Data'!$B$5:$B$604,$A41,'3. Peat Data'!$F$5:$F$604,"&lt;="&amp;$B41)+SUMPRODUCT(('3. Peat Data'!$B$5:$B$604=$A41)*('3. Peat Data'!$E$5:$E$604&lt;$B41)*('3. Peat Data'!$F$5:$F$604&gt;$B41)*'3. Peat Data'!$R$5:$R$604*($B41-'3. Peat Data'!$E$5:$E$604)))</f>
        <v/>
      </c>
      <c r="G41" s="18">
        <f>IF(OR($A41="",NOT(ISNUMBER($B41)),NOT(ISNUMBER($C41))),"",IFERROR(($B41-$K41)/($C41-IF($K41=0,0,SUMIFS('4. Chronology'!$C$5:$C$204,'4. Chronology'!$A$5:$A$204,$A41,'4. Chronology'!$B$5:$B$204,$K41))),""))</f>
        <v/>
      </c>
      <c r="H41" s="18">
        <f>IF(OR($A41="",NOT(ISNUMBER($F41)),NOT(ISNUMBER($C41))),"",IFERROR((($F41-IF($K41=0,0,SUMIFS('4. Chronology'!$F$5:$F$204,'4. Chronology'!$A$5:$A$204,$A41,'4. Chronology'!$B$5:$B$204,$K41)))*1000)/($C41-IF($K41=0,0,SUMIFS('4. Chronology'!$C$5:$C$204,'4. Chronology'!$A$5:$A$204,$A41,'4. Chronology'!$B$5:$B$204,$K41))),""))</f>
        <v/>
      </c>
      <c r="I41" s="18">
        <f>IF($A41="","",IF(COUNTIF('2. Core Log'!$A$5:$A$124,$A41)=0,"Core ID not in Core Log. ","")&amp;IF($E41="","No date source given — RERCA and LORCA need to know which method produced this age. ","")&amp;IF(AND(ISNUMBER($C41),$C41&lt;0),"Negative age: this horizon post-dates the coring year. Check the conversion. ","")&amp;IF(AND(ISNUMBER($G41),$G41&lt;0),"Age reversal — this horizon is younger than one above it. A mixed or disturbed profile may not be datable at all. ","")&amp;IF(AND(ISNUMBER($D41),ISNUMBER($C41),$C41&gt;0,$D41/$C41&gt;0.5),"Age uncertainty exceeds 50% of the age. Usable as an indication only. ","")&amp;IF(AND($D41="",$C41&lt;&gt;""),"No uncertainty given. Every radiometric age has one; a rate without it cannot be defended. ",""))</f>
        <v/>
      </c>
      <c r="J41" s="18">
        <f>IF($E41="",0,IF(OR(LEFT($E41,6)="Pb-210",LEFT($E41,6)="Cs-137"),1,0))</f>
        <v/>
      </c>
      <c r="K41" s="18">
        <f>IF(OR($A41="",NOT(ISNUMBER($B41))),"",SUMPRODUCT(MAX(('4. Chronology'!$A$5:$A$204=$A41)*('4. Chronology'!$B$5:$B$204&lt;$B41)*'4. Chronology'!$B$5:$B$204)))</f>
        <v/>
      </c>
    </row>
    <row r="42">
      <c r="A42" s="14" t="n"/>
      <c r="B42" s="14" t="n"/>
      <c r="C42" s="14" t="n"/>
      <c r="D42" s="14" t="n"/>
      <c r="E42" s="14" t="n"/>
      <c r="F42" s="18">
        <f>IF(OR($A42="",NOT(ISNUMBER($B42))),"",SUMIFS('3. Peat Data'!$P$5:$P$604,'3. Peat Data'!$B$5:$B$604,$A42,'3. Peat Data'!$F$5:$F$604,"&lt;="&amp;$B42)+SUMPRODUCT(('3. Peat Data'!$B$5:$B$604=$A42)*('3. Peat Data'!$E$5:$E$604&lt;$B42)*('3. Peat Data'!$F$5:$F$604&gt;$B42)*'3. Peat Data'!$R$5:$R$604*($B42-'3. Peat Data'!$E$5:$E$604)))</f>
        <v/>
      </c>
      <c r="G42" s="18">
        <f>IF(OR($A42="",NOT(ISNUMBER($B42)),NOT(ISNUMBER($C42))),"",IFERROR(($B42-$K42)/($C42-IF($K42=0,0,SUMIFS('4. Chronology'!$C$5:$C$204,'4. Chronology'!$A$5:$A$204,$A42,'4. Chronology'!$B$5:$B$204,$K42))),""))</f>
        <v/>
      </c>
      <c r="H42" s="18">
        <f>IF(OR($A42="",NOT(ISNUMBER($F42)),NOT(ISNUMBER($C42))),"",IFERROR((($F42-IF($K42=0,0,SUMIFS('4. Chronology'!$F$5:$F$204,'4. Chronology'!$A$5:$A$204,$A42,'4. Chronology'!$B$5:$B$204,$K42)))*1000)/($C42-IF($K42=0,0,SUMIFS('4. Chronology'!$C$5:$C$204,'4. Chronology'!$A$5:$A$204,$A42,'4. Chronology'!$B$5:$B$204,$K42))),""))</f>
        <v/>
      </c>
      <c r="I42" s="18">
        <f>IF($A42="","",IF(COUNTIF('2. Core Log'!$A$5:$A$124,$A42)=0,"Core ID not in Core Log. ","")&amp;IF($E42="","No date source given — RERCA and LORCA need to know which method produced this age. ","")&amp;IF(AND(ISNUMBER($C42),$C42&lt;0),"Negative age: this horizon post-dates the coring year. Check the conversion. ","")&amp;IF(AND(ISNUMBER($G42),$G42&lt;0),"Age reversal — this horizon is younger than one above it. A mixed or disturbed profile may not be datable at all. ","")&amp;IF(AND(ISNUMBER($D42),ISNUMBER($C42),$C42&gt;0,$D42/$C42&gt;0.5),"Age uncertainty exceeds 50% of the age. Usable as an indication only. ","")&amp;IF(AND($D42="",$C42&lt;&gt;""),"No uncertainty given. Every radiometric age has one; a rate without it cannot be defended. ",""))</f>
        <v/>
      </c>
      <c r="J42" s="18">
        <f>IF($E42="",0,IF(OR(LEFT($E42,6)="Pb-210",LEFT($E42,6)="Cs-137"),1,0))</f>
        <v/>
      </c>
      <c r="K42" s="18">
        <f>IF(OR($A42="",NOT(ISNUMBER($B42))),"",SUMPRODUCT(MAX(('4. Chronology'!$A$5:$A$204=$A42)*('4. Chronology'!$B$5:$B$204&lt;$B42)*'4. Chronology'!$B$5:$B$204)))</f>
        <v/>
      </c>
    </row>
    <row r="43">
      <c r="A43" s="14" t="n"/>
      <c r="B43" s="14" t="n"/>
      <c r="C43" s="14" t="n"/>
      <c r="D43" s="14" t="n"/>
      <c r="E43" s="14" t="n"/>
      <c r="F43" s="18">
        <f>IF(OR($A43="",NOT(ISNUMBER($B43))),"",SUMIFS('3. Peat Data'!$P$5:$P$604,'3. Peat Data'!$B$5:$B$604,$A43,'3. Peat Data'!$F$5:$F$604,"&lt;="&amp;$B43)+SUMPRODUCT(('3. Peat Data'!$B$5:$B$604=$A43)*('3. Peat Data'!$E$5:$E$604&lt;$B43)*('3. Peat Data'!$F$5:$F$604&gt;$B43)*'3. Peat Data'!$R$5:$R$604*($B43-'3. Peat Data'!$E$5:$E$604)))</f>
        <v/>
      </c>
      <c r="G43" s="18">
        <f>IF(OR($A43="",NOT(ISNUMBER($B43)),NOT(ISNUMBER($C43))),"",IFERROR(($B43-$K43)/($C43-IF($K43=0,0,SUMIFS('4. Chronology'!$C$5:$C$204,'4. Chronology'!$A$5:$A$204,$A43,'4. Chronology'!$B$5:$B$204,$K43))),""))</f>
        <v/>
      </c>
      <c r="H43" s="18">
        <f>IF(OR($A43="",NOT(ISNUMBER($F43)),NOT(ISNUMBER($C43))),"",IFERROR((($F43-IF($K43=0,0,SUMIFS('4. Chronology'!$F$5:$F$204,'4. Chronology'!$A$5:$A$204,$A43,'4. Chronology'!$B$5:$B$204,$K43)))*1000)/($C43-IF($K43=0,0,SUMIFS('4. Chronology'!$C$5:$C$204,'4. Chronology'!$A$5:$A$204,$A43,'4. Chronology'!$B$5:$B$204,$K43))),""))</f>
        <v/>
      </c>
      <c r="I43" s="18">
        <f>IF($A43="","",IF(COUNTIF('2. Core Log'!$A$5:$A$124,$A43)=0,"Core ID not in Core Log. ","")&amp;IF($E43="","No date source given — RERCA and LORCA need to know which method produced this age. ","")&amp;IF(AND(ISNUMBER($C43),$C43&lt;0),"Negative age: this horizon post-dates the coring year. Check the conversion. ","")&amp;IF(AND(ISNUMBER($G43),$G43&lt;0),"Age reversal — this horizon is younger than one above it. A mixed or disturbed profile may not be datable at all. ","")&amp;IF(AND(ISNUMBER($D43),ISNUMBER($C43),$C43&gt;0,$D43/$C43&gt;0.5),"Age uncertainty exceeds 50% of the age. Usable as an indication only. ","")&amp;IF(AND($D43="",$C43&lt;&gt;""),"No uncertainty given. Every radiometric age has one; a rate without it cannot be defended. ",""))</f>
        <v/>
      </c>
      <c r="J43" s="18">
        <f>IF($E43="",0,IF(OR(LEFT($E43,6)="Pb-210",LEFT($E43,6)="Cs-137"),1,0))</f>
        <v/>
      </c>
      <c r="K43" s="18">
        <f>IF(OR($A43="",NOT(ISNUMBER($B43))),"",SUMPRODUCT(MAX(('4. Chronology'!$A$5:$A$204=$A43)*('4. Chronology'!$B$5:$B$204&lt;$B43)*'4. Chronology'!$B$5:$B$204)))</f>
        <v/>
      </c>
    </row>
    <row r="44">
      <c r="A44" s="14" t="n"/>
      <c r="B44" s="14" t="n"/>
      <c r="C44" s="14" t="n"/>
      <c r="D44" s="14" t="n"/>
      <c r="E44" s="14" t="n"/>
      <c r="F44" s="18">
        <f>IF(OR($A44="",NOT(ISNUMBER($B44))),"",SUMIFS('3. Peat Data'!$P$5:$P$604,'3. Peat Data'!$B$5:$B$604,$A44,'3. Peat Data'!$F$5:$F$604,"&lt;="&amp;$B44)+SUMPRODUCT(('3. Peat Data'!$B$5:$B$604=$A44)*('3. Peat Data'!$E$5:$E$604&lt;$B44)*('3. Peat Data'!$F$5:$F$604&gt;$B44)*'3. Peat Data'!$R$5:$R$604*($B44-'3. Peat Data'!$E$5:$E$604)))</f>
        <v/>
      </c>
      <c r="G44" s="18">
        <f>IF(OR($A44="",NOT(ISNUMBER($B44)),NOT(ISNUMBER($C44))),"",IFERROR(($B44-$K44)/($C44-IF($K44=0,0,SUMIFS('4. Chronology'!$C$5:$C$204,'4. Chronology'!$A$5:$A$204,$A44,'4. Chronology'!$B$5:$B$204,$K44))),""))</f>
        <v/>
      </c>
      <c r="H44" s="18">
        <f>IF(OR($A44="",NOT(ISNUMBER($F44)),NOT(ISNUMBER($C44))),"",IFERROR((($F44-IF($K44=0,0,SUMIFS('4. Chronology'!$F$5:$F$204,'4. Chronology'!$A$5:$A$204,$A44,'4. Chronology'!$B$5:$B$204,$K44)))*1000)/($C44-IF($K44=0,0,SUMIFS('4. Chronology'!$C$5:$C$204,'4. Chronology'!$A$5:$A$204,$A44,'4. Chronology'!$B$5:$B$204,$K44))),""))</f>
        <v/>
      </c>
      <c r="I44" s="18">
        <f>IF($A44="","",IF(COUNTIF('2. Core Log'!$A$5:$A$124,$A44)=0,"Core ID not in Core Log. ","")&amp;IF($E44="","No date source given — RERCA and LORCA need to know which method produced this age. ","")&amp;IF(AND(ISNUMBER($C44),$C44&lt;0),"Negative age: this horizon post-dates the coring year. Check the conversion. ","")&amp;IF(AND(ISNUMBER($G44),$G44&lt;0),"Age reversal — this horizon is younger than one above it. A mixed or disturbed profile may not be datable at all. ","")&amp;IF(AND(ISNUMBER($D44),ISNUMBER($C44),$C44&gt;0,$D44/$C44&gt;0.5),"Age uncertainty exceeds 50% of the age. Usable as an indication only. ","")&amp;IF(AND($D44="",$C44&lt;&gt;""),"No uncertainty given. Every radiometric age has one; a rate without it cannot be defended. ",""))</f>
        <v/>
      </c>
      <c r="J44" s="18">
        <f>IF($E44="",0,IF(OR(LEFT($E44,6)="Pb-210",LEFT($E44,6)="Cs-137"),1,0))</f>
        <v/>
      </c>
      <c r="K44" s="18">
        <f>IF(OR($A44="",NOT(ISNUMBER($B44))),"",SUMPRODUCT(MAX(('4. Chronology'!$A$5:$A$204=$A44)*('4. Chronology'!$B$5:$B$204&lt;$B44)*'4. Chronology'!$B$5:$B$204)))</f>
        <v/>
      </c>
    </row>
    <row r="45">
      <c r="A45" s="14" t="n"/>
      <c r="B45" s="14" t="n"/>
      <c r="C45" s="14" t="n"/>
      <c r="D45" s="14" t="n"/>
      <c r="E45" s="14" t="n"/>
      <c r="F45" s="18">
        <f>IF(OR($A45="",NOT(ISNUMBER($B45))),"",SUMIFS('3. Peat Data'!$P$5:$P$604,'3. Peat Data'!$B$5:$B$604,$A45,'3. Peat Data'!$F$5:$F$604,"&lt;="&amp;$B45)+SUMPRODUCT(('3. Peat Data'!$B$5:$B$604=$A45)*('3. Peat Data'!$E$5:$E$604&lt;$B45)*('3. Peat Data'!$F$5:$F$604&gt;$B45)*'3. Peat Data'!$R$5:$R$604*($B45-'3. Peat Data'!$E$5:$E$604)))</f>
        <v/>
      </c>
      <c r="G45" s="18">
        <f>IF(OR($A45="",NOT(ISNUMBER($B45)),NOT(ISNUMBER($C45))),"",IFERROR(($B45-$K45)/($C45-IF($K45=0,0,SUMIFS('4. Chronology'!$C$5:$C$204,'4. Chronology'!$A$5:$A$204,$A45,'4. Chronology'!$B$5:$B$204,$K45))),""))</f>
        <v/>
      </c>
      <c r="H45" s="18">
        <f>IF(OR($A45="",NOT(ISNUMBER($F45)),NOT(ISNUMBER($C45))),"",IFERROR((($F45-IF($K45=0,0,SUMIFS('4. Chronology'!$F$5:$F$204,'4. Chronology'!$A$5:$A$204,$A45,'4. Chronology'!$B$5:$B$204,$K45)))*1000)/($C45-IF($K45=0,0,SUMIFS('4. Chronology'!$C$5:$C$204,'4. Chronology'!$A$5:$A$204,$A45,'4. Chronology'!$B$5:$B$204,$K45))),""))</f>
        <v/>
      </c>
      <c r="I45" s="18">
        <f>IF($A45="","",IF(COUNTIF('2. Core Log'!$A$5:$A$124,$A45)=0,"Core ID not in Core Log. ","")&amp;IF($E45="","No date source given — RERCA and LORCA need to know which method produced this age. ","")&amp;IF(AND(ISNUMBER($C45),$C45&lt;0),"Negative age: this horizon post-dates the coring year. Check the conversion. ","")&amp;IF(AND(ISNUMBER($G45),$G45&lt;0),"Age reversal — this horizon is younger than one above it. A mixed or disturbed profile may not be datable at all. ","")&amp;IF(AND(ISNUMBER($D45),ISNUMBER($C45),$C45&gt;0,$D45/$C45&gt;0.5),"Age uncertainty exceeds 50% of the age. Usable as an indication only. ","")&amp;IF(AND($D45="",$C45&lt;&gt;""),"No uncertainty given. Every radiometric age has one; a rate without it cannot be defended. ",""))</f>
        <v/>
      </c>
      <c r="J45" s="18">
        <f>IF($E45="",0,IF(OR(LEFT($E45,6)="Pb-210",LEFT($E45,6)="Cs-137"),1,0))</f>
        <v/>
      </c>
      <c r="K45" s="18">
        <f>IF(OR($A45="",NOT(ISNUMBER($B45))),"",SUMPRODUCT(MAX(('4. Chronology'!$A$5:$A$204=$A45)*('4. Chronology'!$B$5:$B$204&lt;$B45)*'4. Chronology'!$B$5:$B$204)))</f>
        <v/>
      </c>
    </row>
    <row r="46">
      <c r="A46" s="14" t="n"/>
      <c r="B46" s="14" t="n"/>
      <c r="C46" s="14" t="n"/>
      <c r="D46" s="14" t="n"/>
      <c r="E46" s="14" t="n"/>
      <c r="F46" s="18">
        <f>IF(OR($A46="",NOT(ISNUMBER($B46))),"",SUMIFS('3. Peat Data'!$P$5:$P$604,'3. Peat Data'!$B$5:$B$604,$A46,'3. Peat Data'!$F$5:$F$604,"&lt;="&amp;$B46)+SUMPRODUCT(('3. Peat Data'!$B$5:$B$604=$A46)*('3. Peat Data'!$E$5:$E$604&lt;$B46)*('3. Peat Data'!$F$5:$F$604&gt;$B46)*'3. Peat Data'!$R$5:$R$604*($B46-'3. Peat Data'!$E$5:$E$604)))</f>
        <v/>
      </c>
      <c r="G46" s="18">
        <f>IF(OR($A46="",NOT(ISNUMBER($B46)),NOT(ISNUMBER($C46))),"",IFERROR(($B46-$K46)/($C46-IF($K46=0,0,SUMIFS('4. Chronology'!$C$5:$C$204,'4. Chronology'!$A$5:$A$204,$A46,'4. Chronology'!$B$5:$B$204,$K46))),""))</f>
        <v/>
      </c>
      <c r="H46" s="18">
        <f>IF(OR($A46="",NOT(ISNUMBER($F46)),NOT(ISNUMBER($C46))),"",IFERROR((($F46-IF($K46=0,0,SUMIFS('4. Chronology'!$F$5:$F$204,'4. Chronology'!$A$5:$A$204,$A46,'4. Chronology'!$B$5:$B$204,$K46)))*1000)/($C46-IF($K46=0,0,SUMIFS('4. Chronology'!$C$5:$C$204,'4. Chronology'!$A$5:$A$204,$A46,'4. Chronology'!$B$5:$B$204,$K46))),""))</f>
        <v/>
      </c>
      <c r="I46" s="18">
        <f>IF($A46="","",IF(COUNTIF('2. Core Log'!$A$5:$A$124,$A46)=0,"Core ID not in Core Log. ","")&amp;IF($E46="","No date source given — RERCA and LORCA need to know which method produced this age. ","")&amp;IF(AND(ISNUMBER($C46),$C46&lt;0),"Negative age: this horizon post-dates the coring year. Check the conversion. ","")&amp;IF(AND(ISNUMBER($G46),$G46&lt;0),"Age reversal — this horizon is younger than one above it. A mixed or disturbed profile may not be datable at all. ","")&amp;IF(AND(ISNUMBER($D46),ISNUMBER($C46),$C46&gt;0,$D46/$C46&gt;0.5),"Age uncertainty exceeds 50% of the age. Usable as an indication only. ","")&amp;IF(AND($D46="",$C46&lt;&gt;""),"No uncertainty given. Every radiometric age has one; a rate without it cannot be defended. ",""))</f>
        <v/>
      </c>
      <c r="J46" s="18">
        <f>IF($E46="",0,IF(OR(LEFT($E46,6)="Pb-210",LEFT($E46,6)="Cs-137"),1,0))</f>
        <v/>
      </c>
      <c r="K46" s="18">
        <f>IF(OR($A46="",NOT(ISNUMBER($B46))),"",SUMPRODUCT(MAX(('4. Chronology'!$A$5:$A$204=$A46)*('4. Chronology'!$B$5:$B$204&lt;$B46)*'4. Chronology'!$B$5:$B$204)))</f>
        <v/>
      </c>
    </row>
    <row r="47">
      <c r="A47" s="14" t="n"/>
      <c r="B47" s="14" t="n"/>
      <c r="C47" s="14" t="n"/>
      <c r="D47" s="14" t="n"/>
      <c r="E47" s="14" t="n"/>
      <c r="F47" s="18">
        <f>IF(OR($A47="",NOT(ISNUMBER($B47))),"",SUMIFS('3. Peat Data'!$P$5:$P$604,'3. Peat Data'!$B$5:$B$604,$A47,'3. Peat Data'!$F$5:$F$604,"&lt;="&amp;$B47)+SUMPRODUCT(('3. Peat Data'!$B$5:$B$604=$A47)*('3. Peat Data'!$E$5:$E$604&lt;$B47)*('3. Peat Data'!$F$5:$F$604&gt;$B47)*'3. Peat Data'!$R$5:$R$604*($B47-'3. Peat Data'!$E$5:$E$604)))</f>
        <v/>
      </c>
      <c r="G47" s="18">
        <f>IF(OR($A47="",NOT(ISNUMBER($B47)),NOT(ISNUMBER($C47))),"",IFERROR(($B47-$K47)/($C47-IF($K47=0,0,SUMIFS('4. Chronology'!$C$5:$C$204,'4. Chronology'!$A$5:$A$204,$A47,'4. Chronology'!$B$5:$B$204,$K47))),""))</f>
        <v/>
      </c>
      <c r="H47" s="18">
        <f>IF(OR($A47="",NOT(ISNUMBER($F47)),NOT(ISNUMBER($C47))),"",IFERROR((($F47-IF($K47=0,0,SUMIFS('4. Chronology'!$F$5:$F$204,'4. Chronology'!$A$5:$A$204,$A47,'4. Chronology'!$B$5:$B$204,$K47)))*1000)/($C47-IF($K47=0,0,SUMIFS('4. Chronology'!$C$5:$C$204,'4. Chronology'!$A$5:$A$204,$A47,'4. Chronology'!$B$5:$B$204,$K47))),""))</f>
        <v/>
      </c>
      <c r="I47" s="18">
        <f>IF($A47="","",IF(COUNTIF('2. Core Log'!$A$5:$A$124,$A47)=0,"Core ID not in Core Log. ","")&amp;IF($E47="","No date source given — RERCA and LORCA need to know which method produced this age. ","")&amp;IF(AND(ISNUMBER($C47),$C47&lt;0),"Negative age: this horizon post-dates the coring year. Check the conversion. ","")&amp;IF(AND(ISNUMBER($G47),$G47&lt;0),"Age reversal — this horizon is younger than one above it. A mixed or disturbed profile may not be datable at all. ","")&amp;IF(AND(ISNUMBER($D47),ISNUMBER($C47),$C47&gt;0,$D47/$C47&gt;0.5),"Age uncertainty exceeds 50% of the age. Usable as an indication only. ","")&amp;IF(AND($D47="",$C47&lt;&gt;""),"No uncertainty given. Every radiometric age has one; a rate without it cannot be defended. ",""))</f>
        <v/>
      </c>
      <c r="J47" s="18">
        <f>IF($E47="",0,IF(OR(LEFT($E47,6)="Pb-210",LEFT($E47,6)="Cs-137"),1,0))</f>
        <v/>
      </c>
      <c r="K47" s="18">
        <f>IF(OR($A47="",NOT(ISNUMBER($B47))),"",SUMPRODUCT(MAX(('4. Chronology'!$A$5:$A$204=$A47)*('4. Chronology'!$B$5:$B$204&lt;$B47)*'4. Chronology'!$B$5:$B$204)))</f>
        <v/>
      </c>
    </row>
    <row r="48">
      <c r="A48" s="14" t="n"/>
      <c r="B48" s="14" t="n"/>
      <c r="C48" s="14" t="n"/>
      <c r="D48" s="14" t="n"/>
      <c r="E48" s="14" t="n"/>
      <c r="F48" s="18">
        <f>IF(OR($A48="",NOT(ISNUMBER($B48))),"",SUMIFS('3. Peat Data'!$P$5:$P$604,'3. Peat Data'!$B$5:$B$604,$A48,'3. Peat Data'!$F$5:$F$604,"&lt;="&amp;$B48)+SUMPRODUCT(('3. Peat Data'!$B$5:$B$604=$A48)*('3. Peat Data'!$E$5:$E$604&lt;$B48)*('3. Peat Data'!$F$5:$F$604&gt;$B48)*'3. Peat Data'!$R$5:$R$604*($B48-'3. Peat Data'!$E$5:$E$604)))</f>
        <v/>
      </c>
      <c r="G48" s="18">
        <f>IF(OR($A48="",NOT(ISNUMBER($B48)),NOT(ISNUMBER($C48))),"",IFERROR(($B48-$K48)/($C48-IF($K48=0,0,SUMIFS('4. Chronology'!$C$5:$C$204,'4. Chronology'!$A$5:$A$204,$A48,'4. Chronology'!$B$5:$B$204,$K48))),""))</f>
        <v/>
      </c>
      <c r="H48" s="18">
        <f>IF(OR($A48="",NOT(ISNUMBER($F48)),NOT(ISNUMBER($C48))),"",IFERROR((($F48-IF($K48=0,0,SUMIFS('4. Chronology'!$F$5:$F$204,'4. Chronology'!$A$5:$A$204,$A48,'4. Chronology'!$B$5:$B$204,$K48)))*1000)/($C48-IF($K48=0,0,SUMIFS('4. Chronology'!$C$5:$C$204,'4. Chronology'!$A$5:$A$204,$A48,'4. Chronology'!$B$5:$B$204,$K48))),""))</f>
        <v/>
      </c>
      <c r="I48" s="18">
        <f>IF($A48="","",IF(COUNTIF('2. Core Log'!$A$5:$A$124,$A48)=0,"Core ID not in Core Log. ","")&amp;IF($E48="","No date source given — RERCA and LORCA need to know which method produced this age. ","")&amp;IF(AND(ISNUMBER($C48),$C48&lt;0),"Negative age: this horizon post-dates the coring year. Check the conversion. ","")&amp;IF(AND(ISNUMBER($G48),$G48&lt;0),"Age reversal — this horizon is younger than one above it. A mixed or disturbed profile may not be datable at all. ","")&amp;IF(AND(ISNUMBER($D48),ISNUMBER($C48),$C48&gt;0,$D48/$C48&gt;0.5),"Age uncertainty exceeds 50% of the age. Usable as an indication only. ","")&amp;IF(AND($D48="",$C48&lt;&gt;""),"No uncertainty given. Every radiometric age has one; a rate without it cannot be defended. ",""))</f>
        <v/>
      </c>
      <c r="J48" s="18">
        <f>IF($E48="",0,IF(OR(LEFT($E48,6)="Pb-210",LEFT($E48,6)="Cs-137"),1,0))</f>
        <v/>
      </c>
      <c r="K48" s="18">
        <f>IF(OR($A48="",NOT(ISNUMBER($B48))),"",SUMPRODUCT(MAX(('4. Chronology'!$A$5:$A$204=$A48)*('4. Chronology'!$B$5:$B$204&lt;$B48)*'4. Chronology'!$B$5:$B$204)))</f>
        <v/>
      </c>
    </row>
    <row r="49">
      <c r="A49" s="14" t="n"/>
      <c r="B49" s="14" t="n"/>
      <c r="C49" s="14" t="n"/>
      <c r="D49" s="14" t="n"/>
      <c r="E49" s="14" t="n"/>
      <c r="F49" s="18">
        <f>IF(OR($A49="",NOT(ISNUMBER($B49))),"",SUMIFS('3. Peat Data'!$P$5:$P$604,'3. Peat Data'!$B$5:$B$604,$A49,'3. Peat Data'!$F$5:$F$604,"&lt;="&amp;$B49)+SUMPRODUCT(('3. Peat Data'!$B$5:$B$604=$A49)*('3. Peat Data'!$E$5:$E$604&lt;$B49)*('3. Peat Data'!$F$5:$F$604&gt;$B49)*'3. Peat Data'!$R$5:$R$604*($B49-'3. Peat Data'!$E$5:$E$604)))</f>
        <v/>
      </c>
      <c r="G49" s="18">
        <f>IF(OR($A49="",NOT(ISNUMBER($B49)),NOT(ISNUMBER($C49))),"",IFERROR(($B49-$K49)/($C49-IF($K49=0,0,SUMIFS('4. Chronology'!$C$5:$C$204,'4. Chronology'!$A$5:$A$204,$A49,'4. Chronology'!$B$5:$B$204,$K49))),""))</f>
        <v/>
      </c>
      <c r="H49" s="18">
        <f>IF(OR($A49="",NOT(ISNUMBER($F49)),NOT(ISNUMBER($C49))),"",IFERROR((($F49-IF($K49=0,0,SUMIFS('4. Chronology'!$F$5:$F$204,'4. Chronology'!$A$5:$A$204,$A49,'4. Chronology'!$B$5:$B$204,$K49)))*1000)/($C49-IF($K49=0,0,SUMIFS('4. Chronology'!$C$5:$C$204,'4. Chronology'!$A$5:$A$204,$A49,'4. Chronology'!$B$5:$B$204,$K49))),""))</f>
        <v/>
      </c>
      <c r="I49" s="18">
        <f>IF($A49="","",IF(COUNTIF('2. Core Log'!$A$5:$A$124,$A49)=0,"Core ID not in Core Log. ","")&amp;IF($E49="","No date source given — RERCA and LORCA need to know which method produced this age. ","")&amp;IF(AND(ISNUMBER($C49),$C49&lt;0),"Negative age: this horizon post-dates the coring year. Check the conversion. ","")&amp;IF(AND(ISNUMBER($G49),$G49&lt;0),"Age reversal — this horizon is younger than one above it. A mixed or disturbed profile may not be datable at all. ","")&amp;IF(AND(ISNUMBER($D49),ISNUMBER($C49),$C49&gt;0,$D49/$C49&gt;0.5),"Age uncertainty exceeds 50% of the age. Usable as an indication only. ","")&amp;IF(AND($D49="",$C49&lt;&gt;""),"No uncertainty given. Every radiometric age has one; a rate without it cannot be defended. ",""))</f>
        <v/>
      </c>
      <c r="J49" s="18">
        <f>IF($E49="",0,IF(OR(LEFT($E49,6)="Pb-210",LEFT($E49,6)="Cs-137"),1,0))</f>
        <v/>
      </c>
      <c r="K49" s="18">
        <f>IF(OR($A49="",NOT(ISNUMBER($B49))),"",SUMPRODUCT(MAX(('4. Chronology'!$A$5:$A$204=$A49)*('4. Chronology'!$B$5:$B$204&lt;$B49)*'4. Chronology'!$B$5:$B$204)))</f>
        <v/>
      </c>
    </row>
    <row r="50">
      <c r="A50" s="14" t="n"/>
      <c r="B50" s="14" t="n"/>
      <c r="C50" s="14" t="n"/>
      <c r="D50" s="14" t="n"/>
      <c r="E50" s="14" t="n"/>
      <c r="F50" s="18">
        <f>IF(OR($A50="",NOT(ISNUMBER($B50))),"",SUMIFS('3. Peat Data'!$P$5:$P$604,'3. Peat Data'!$B$5:$B$604,$A50,'3. Peat Data'!$F$5:$F$604,"&lt;="&amp;$B50)+SUMPRODUCT(('3. Peat Data'!$B$5:$B$604=$A50)*('3. Peat Data'!$E$5:$E$604&lt;$B50)*('3. Peat Data'!$F$5:$F$604&gt;$B50)*'3. Peat Data'!$R$5:$R$604*($B50-'3. Peat Data'!$E$5:$E$604)))</f>
        <v/>
      </c>
      <c r="G50" s="18">
        <f>IF(OR($A50="",NOT(ISNUMBER($B50)),NOT(ISNUMBER($C50))),"",IFERROR(($B50-$K50)/($C50-IF($K50=0,0,SUMIFS('4. Chronology'!$C$5:$C$204,'4. Chronology'!$A$5:$A$204,$A50,'4. Chronology'!$B$5:$B$204,$K50))),""))</f>
        <v/>
      </c>
      <c r="H50" s="18">
        <f>IF(OR($A50="",NOT(ISNUMBER($F50)),NOT(ISNUMBER($C50))),"",IFERROR((($F50-IF($K50=0,0,SUMIFS('4. Chronology'!$F$5:$F$204,'4. Chronology'!$A$5:$A$204,$A50,'4. Chronology'!$B$5:$B$204,$K50)))*1000)/($C50-IF($K50=0,0,SUMIFS('4. Chronology'!$C$5:$C$204,'4. Chronology'!$A$5:$A$204,$A50,'4. Chronology'!$B$5:$B$204,$K50))),""))</f>
        <v/>
      </c>
      <c r="I50" s="18">
        <f>IF($A50="","",IF(COUNTIF('2. Core Log'!$A$5:$A$124,$A50)=0,"Core ID not in Core Log. ","")&amp;IF($E50="","No date source given — RERCA and LORCA need to know which method produced this age. ","")&amp;IF(AND(ISNUMBER($C50),$C50&lt;0),"Negative age: this horizon post-dates the coring year. Check the conversion. ","")&amp;IF(AND(ISNUMBER($G50),$G50&lt;0),"Age reversal — this horizon is younger than one above it. A mixed or disturbed profile may not be datable at all. ","")&amp;IF(AND(ISNUMBER($D50),ISNUMBER($C50),$C50&gt;0,$D50/$C50&gt;0.5),"Age uncertainty exceeds 50% of the age. Usable as an indication only. ","")&amp;IF(AND($D50="",$C50&lt;&gt;""),"No uncertainty given. Every radiometric age has one; a rate without it cannot be defended. ",""))</f>
        <v/>
      </c>
      <c r="J50" s="18">
        <f>IF($E50="",0,IF(OR(LEFT($E50,6)="Pb-210",LEFT($E50,6)="Cs-137"),1,0))</f>
        <v/>
      </c>
      <c r="K50" s="18">
        <f>IF(OR($A50="",NOT(ISNUMBER($B50))),"",SUMPRODUCT(MAX(('4. Chronology'!$A$5:$A$204=$A50)*('4. Chronology'!$B$5:$B$204&lt;$B50)*'4. Chronology'!$B$5:$B$204)))</f>
        <v/>
      </c>
    </row>
    <row r="51">
      <c r="A51" s="14" t="n"/>
      <c r="B51" s="14" t="n"/>
      <c r="C51" s="14" t="n"/>
      <c r="D51" s="14" t="n"/>
      <c r="E51" s="14" t="n"/>
      <c r="F51" s="18">
        <f>IF(OR($A51="",NOT(ISNUMBER($B51))),"",SUMIFS('3. Peat Data'!$P$5:$P$604,'3. Peat Data'!$B$5:$B$604,$A51,'3. Peat Data'!$F$5:$F$604,"&lt;="&amp;$B51)+SUMPRODUCT(('3. Peat Data'!$B$5:$B$604=$A51)*('3. Peat Data'!$E$5:$E$604&lt;$B51)*('3. Peat Data'!$F$5:$F$604&gt;$B51)*'3. Peat Data'!$R$5:$R$604*($B51-'3. Peat Data'!$E$5:$E$604)))</f>
        <v/>
      </c>
      <c r="G51" s="18">
        <f>IF(OR($A51="",NOT(ISNUMBER($B51)),NOT(ISNUMBER($C51))),"",IFERROR(($B51-$K51)/($C51-IF($K51=0,0,SUMIFS('4. Chronology'!$C$5:$C$204,'4. Chronology'!$A$5:$A$204,$A51,'4. Chronology'!$B$5:$B$204,$K51))),""))</f>
        <v/>
      </c>
      <c r="H51" s="18">
        <f>IF(OR($A51="",NOT(ISNUMBER($F51)),NOT(ISNUMBER($C51))),"",IFERROR((($F51-IF($K51=0,0,SUMIFS('4. Chronology'!$F$5:$F$204,'4. Chronology'!$A$5:$A$204,$A51,'4. Chronology'!$B$5:$B$204,$K51)))*1000)/($C51-IF($K51=0,0,SUMIFS('4. Chronology'!$C$5:$C$204,'4. Chronology'!$A$5:$A$204,$A51,'4. Chronology'!$B$5:$B$204,$K51))),""))</f>
        <v/>
      </c>
      <c r="I51" s="18">
        <f>IF($A51="","",IF(COUNTIF('2. Core Log'!$A$5:$A$124,$A51)=0,"Core ID not in Core Log. ","")&amp;IF($E51="","No date source given — RERCA and LORCA need to know which method produced this age. ","")&amp;IF(AND(ISNUMBER($C51),$C51&lt;0),"Negative age: this horizon post-dates the coring year. Check the conversion. ","")&amp;IF(AND(ISNUMBER($G51),$G51&lt;0),"Age reversal — this horizon is younger than one above it. A mixed or disturbed profile may not be datable at all. ","")&amp;IF(AND(ISNUMBER($D51),ISNUMBER($C51),$C51&gt;0,$D51/$C51&gt;0.5),"Age uncertainty exceeds 50% of the age. Usable as an indication only. ","")&amp;IF(AND($D51="",$C51&lt;&gt;""),"No uncertainty given. Every radiometric age has one; a rate without it cannot be defended. ",""))</f>
        <v/>
      </c>
      <c r="J51" s="18">
        <f>IF($E51="",0,IF(OR(LEFT($E51,6)="Pb-210",LEFT($E51,6)="Cs-137"),1,0))</f>
        <v/>
      </c>
      <c r="K51" s="18">
        <f>IF(OR($A51="",NOT(ISNUMBER($B51))),"",SUMPRODUCT(MAX(('4. Chronology'!$A$5:$A$204=$A51)*('4. Chronology'!$B$5:$B$204&lt;$B51)*'4. Chronology'!$B$5:$B$204)))</f>
        <v/>
      </c>
    </row>
    <row r="52">
      <c r="A52" s="14" t="n"/>
      <c r="B52" s="14" t="n"/>
      <c r="C52" s="14" t="n"/>
      <c r="D52" s="14" t="n"/>
      <c r="E52" s="14" t="n"/>
      <c r="F52" s="18">
        <f>IF(OR($A52="",NOT(ISNUMBER($B52))),"",SUMIFS('3. Peat Data'!$P$5:$P$604,'3. Peat Data'!$B$5:$B$604,$A52,'3. Peat Data'!$F$5:$F$604,"&lt;="&amp;$B52)+SUMPRODUCT(('3. Peat Data'!$B$5:$B$604=$A52)*('3. Peat Data'!$E$5:$E$604&lt;$B52)*('3. Peat Data'!$F$5:$F$604&gt;$B52)*'3. Peat Data'!$R$5:$R$604*($B52-'3. Peat Data'!$E$5:$E$604)))</f>
        <v/>
      </c>
      <c r="G52" s="18">
        <f>IF(OR($A52="",NOT(ISNUMBER($B52)),NOT(ISNUMBER($C52))),"",IFERROR(($B52-$K52)/($C52-IF($K52=0,0,SUMIFS('4. Chronology'!$C$5:$C$204,'4. Chronology'!$A$5:$A$204,$A52,'4. Chronology'!$B$5:$B$204,$K52))),""))</f>
        <v/>
      </c>
      <c r="H52" s="18">
        <f>IF(OR($A52="",NOT(ISNUMBER($F52)),NOT(ISNUMBER($C52))),"",IFERROR((($F52-IF($K52=0,0,SUMIFS('4. Chronology'!$F$5:$F$204,'4. Chronology'!$A$5:$A$204,$A52,'4. Chronology'!$B$5:$B$204,$K52)))*1000)/($C52-IF($K52=0,0,SUMIFS('4. Chronology'!$C$5:$C$204,'4. Chronology'!$A$5:$A$204,$A52,'4. Chronology'!$B$5:$B$204,$K52))),""))</f>
        <v/>
      </c>
      <c r="I52" s="18">
        <f>IF($A52="","",IF(COUNTIF('2. Core Log'!$A$5:$A$124,$A52)=0,"Core ID not in Core Log. ","")&amp;IF($E52="","No date source given — RERCA and LORCA need to know which method produced this age. ","")&amp;IF(AND(ISNUMBER($C52),$C52&lt;0),"Negative age: this horizon post-dates the coring year. Check the conversion. ","")&amp;IF(AND(ISNUMBER($G52),$G52&lt;0),"Age reversal — this horizon is younger than one above it. A mixed or disturbed profile may not be datable at all. ","")&amp;IF(AND(ISNUMBER($D52),ISNUMBER($C52),$C52&gt;0,$D52/$C52&gt;0.5),"Age uncertainty exceeds 50% of the age. Usable as an indication only. ","")&amp;IF(AND($D52="",$C52&lt;&gt;""),"No uncertainty given. Every radiometric age has one; a rate without it cannot be defended. ",""))</f>
        <v/>
      </c>
      <c r="J52" s="18">
        <f>IF($E52="",0,IF(OR(LEFT($E52,6)="Pb-210",LEFT($E52,6)="Cs-137"),1,0))</f>
        <v/>
      </c>
      <c r="K52" s="18">
        <f>IF(OR($A52="",NOT(ISNUMBER($B52))),"",SUMPRODUCT(MAX(('4. Chronology'!$A$5:$A$204=$A52)*('4. Chronology'!$B$5:$B$204&lt;$B52)*'4. Chronology'!$B$5:$B$204)))</f>
        <v/>
      </c>
    </row>
    <row r="53">
      <c r="A53" s="14" t="n"/>
      <c r="B53" s="14" t="n"/>
      <c r="C53" s="14" t="n"/>
      <c r="D53" s="14" t="n"/>
      <c r="E53" s="14" t="n"/>
      <c r="F53" s="18">
        <f>IF(OR($A53="",NOT(ISNUMBER($B53))),"",SUMIFS('3. Peat Data'!$P$5:$P$604,'3. Peat Data'!$B$5:$B$604,$A53,'3. Peat Data'!$F$5:$F$604,"&lt;="&amp;$B53)+SUMPRODUCT(('3. Peat Data'!$B$5:$B$604=$A53)*('3. Peat Data'!$E$5:$E$604&lt;$B53)*('3. Peat Data'!$F$5:$F$604&gt;$B53)*'3. Peat Data'!$R$5:$R$604*($B53-'3. Peat Data'!$E$5:$E$604)))</f>
        <v/>
      </c>
      <c r="G53" s="18">
        <f>IF(OR($A53="",NOT(ISNUMBER($B53)),NOT(ISNUMBER($C53))),"",IFERROR(($B53-$K53)/($C53-IF($K53=0,0,SUMIFS('4. Chronology'!$C$5:$C$204,'4. Chronology'!$A$5:$A$204,$A53,'4. Chronology'!$B$5:$B$204,$K53))),""))</f>
        <v/>
      </c>
      <c r="H53" s="18">
        <f>IF(OR($A53="",NOT(ISNUMBER($F53)),NOT(ISNUMBER($C53))),"",IFERROR((($F53-IF($K53=0,0,SUMIFS('4. Chronology'!$F$5:$F$204,'4. Chronology'!$A$5:$A$204,$A53,'4. Chronology'!$B$5:$B$204,$K53)))*1000)/($C53-IF($K53=0,0,SUMIFS('4. Chronology'!$C$5:$C$204,'4. Chronology'!$A$5:$A$204,$A53,'4. Chronology'!$B$5:$B$204,$K53))),""))</f>
        <v/>
      </c>
      <c r="I53" s="18">
        <f>IF($A53="","",IF(COUNTIF('2. Core Log'!$A$5:$A$124,$A53)=0,"Core ID not in Core Log. ","")&amp;IF($E53="","No date source given — RERCA and LORCA need to know which method produced this age. ","")&amp;IF(AND(ISNUMBER($C53),$C53&lt;0),"Negative age: this horizon post-dates the coring year. Check the conversion. ","")&amp;IF(AND(ISNUMBER($G53),$G53&lt;0),"Age reversal — this horizon is younger than one above it. A mixed or disturbed profile may not be datable at all. ","")&amp;IF(AND(ISNUMBER($D53),ISNUMBER($C53),$C53&gt;0,$D53/$C53&gt;0.5),"Age uncertainty exceeds 50% of the age. Usable as an indication only. ","")&amp;IF(AND($D53="",$C53&lt;&gt;""),"No uncertainty given. Every radiometric age has one; a rate without it cannot be defended. ",""))</f>
        <v/>
      </c>
      <c r="J53" s="18">
        <f>IF($E53="",0,IF(OR(LEFT($E53,6)="Pb-210",LEFT($E53,6)="Cs-137"),1,0))</f>
        <v/>
      </c>
      <c r="K53" s="18">
        <f>IF(OR($A53="",NOT(ISNUMBER($B53))),"",SUMPRODUCT(MAX(('4. Chronology'!$A$5:$A$204=$A53)*('4. Chronology'!$B$5:$B$204&lt;$B53)*'4. Chronology'!$B$5:$B$204)))</f>
        <v/>
      </c>
    </row>
    <row r="54">
      <c r="A54" s="14" t="n"/>
      <c r="B54" s="14" t="n"/>
      <c r="C54" s="14" t="n"/>
      <c r="D54" s="14" t="n"/>
      <c r="E54" s="14" t="n"/>
      <c r="F54" s="18">
        <f>IF(OR($A54="",NOT(ISNUMBER($B54))),"",SUMIFS('3. Peat Data'!$P$5:$P$604,'3. Peat Data'!$B$5:$B$604,$A54,'3. Peat Data'!$F$5:$F$604,"&lt;="&amp;$B54)+SUMPRODUCT(('3. Peat Data'!$B$5:$B$604=$A54)*('3. Peat Data'!$E$5:$E$604&lt;$B54)*('3. Peat Data'!$F$5:$F$604&gt;$B54)*'3. Peat Data'!$R$5:$R$604*($B54-'3. Peat Data'!$E$5:$E$604)))</f>
        <v/>
      </c>
      <c r="G54" s="18">
        <f>IF(OR($A54="",NOT(ISNUMBER($B54)),NOT(ISNUMBER($C54))),"",IFERROR(($B54-$K54)/($C54-IF($K54=0,0,SUMIFS('4. Chronology'!$C$5:$C$204,'4. Chronology'!$A$5:$A$204,$A54,'4. Chronology'!$B$5:$B$204,$K54))),""))</f>
        <v/>
      </c>
      <c r="H54" s="18">
        <f>IF(OR($A54="",NOT(ISNUMBER($F54)),NOT(ISNUMBER($C54))),"",IFERROR((($F54-IF($K54=0,0,SUMIFS('4. Chronology'!$F$5:$F$204,'4. Chronology'!$A$5:$A$204,$A54,'4. Chronology'!$B$5:$B$204,$K54)))*1000)/($C54-IF($K54=0,0,SUMIFS('4. Chronology'!$C$5:$C$204,'4. Chronology'!$A$5:$A$204,$A54,'4. Chronology'!$B$5:$B$204,$K54))),""))</f>
        <v/>
      </c>
      <c r="I54" s="18">
        <f>IF($A54="","",IF(COUNTIF('2. Core Log'!$A$5:$A$124,$A54)=0,"Core ID not in Core Log. ","")&amp;IF($E54="","No date source given — RERCA and LORCA need to know which method produced this age. ","")&amp;IF(AND(ISNUMBER($C54),$C54&lt;0),"Negative age: this horizon post-dates the coring year. Check the conversion. ","")&amp;IF(AND(ISNUMBER($G54),$G54&lt;0),"Age reversal — this horizon is younger than one above it. A mixed or disturbed profile may not be datable at all. ","")&amp;IF(AND(ISNUMBER($D54),ISNUMBER($C54),$C54&gt;0,$D54/$C54&gt;0.5),"Age uncertainty exceeds 50% of the age. Usable as an indication only. ","")&amp;IF(AND($D54="",$C54&lt;&gt;""),"No uncertainty given. Every radiometric age has one; a rate without it cannot be defended. ",""))</f>
        <v/>
      </c>
      <c r="J54" s="18">
        <f>IF($E54="",0,IF(OR(LEFT($E54,6)="Pb-210",LEFT($E54,6)="Cs-137"),1,0))</f>
        <v/>
      </c>
      <c r="K54" s="18">
        <f>IF(OR($A54="",NOT(ISNUMBER($B54))),"",SUMPRODUCT(MAX(('4. Chronology'!$A$5:$A$204=$A54)*('4. Chronology'!$B$5:$B$204&lt;$B54)*'4. Chronology'!$B$5:$B$204)))</f>
        <v/>
      </c>
    </row>
    <row r="55">
      <c r="A55" s="14" t="n"/>
      <c r="B55" s="14" t="n"/>
      <c r="C55" s="14" t="n"/>
      <c r="D55" s="14" t="n"/>
      <c r="E55" s="14" t="n"/>
      <c r="F55" s="18">
        <f>IF(OR($A55="",NOT(ISNUMBER($B55))),"",SUMIFS('3. Peat Data'!$P$5:$P$604,'3. Peat Data'!$B$5:$B$604,$A55,'3. Peat Data'!$F$5:$F$604,"&lt;="&amp;$B55)+SUMPRODUCT(('3. Peat Data'!$B$5:$B$604=$A55)*('3. Peat Data'!$E$5:$E$604&lt;$B55)*('3. Peat Data'!$F$5:$F$604&gt;$B55)*'3. Peat Data'!$R$5:$R$604*($B55-'3. Peat Data'!$E$5:$E$604)))</f>
        <v/>
      </c>
      <c r="G55" s="18">
        <f>IF(OR($A55="",NOT(ISNUMBER($B55)),NOT(ISNUMBER($C55))),"",IFERROR(($B55-$K55)/($C55-IF($K55=0,0,SUMIFS('4. Chronology'!$C$5:$C$204,'4. Chronology'!$A$5:$A$204,$A55,'4. Chronology'!$B$5:$B$204,$K55))),""))</f>
        <v/>
      </c>
      <c r="H55" s="18">
        <f>IF(OR($A55="",NOT(ISNUMBER($F55)),NOT(ISNUMBER($C55))),"",IFERROR((($F55-IF($K55=0,0,SUMIFS('4. Chronology'!$F$5:$F$204,'4. Chronology'!$A$5:$A$204,$A55,'4. Chronology'!$B$5:$B$204,$K55)))*1000)/($C55-IF($K55=0,0,SUMIFS('4. Chronology'!$C$5:$C$204,'4. Chronology'!$A$5:$A$204,$A55,'4. Chronology'!$B$5:$B$204,$K55))),""))</f>
        <v/>
      </c>
      <c r="I55" s="18">
        <f>IF($A55="","",IF(COUNTIF('2. Core Log'!$A$5:$A$124,$A55)=0,"Core ID not in Core Log. ","")&amp;IF($E55="","No date source given — RERCA and LORCA need to know which method produced this age. ","")&amp;IF(AND(ISNUMBER($C55),$C55&lt;0),"Negative age: this horizon post-dates the coring year. Check the conversion. ","")&amp;IF(AND(ISNUMBER($G55),$G55&lt;0),"Age reversal — this horizon is younger than one above it. A mixed or disturbed profile may not be datable at all. ","")&amp;IF(AND(ISNUMBER($D55),ISNUMBER($C55),$C55&gt;0,$D55/$C55&gt;0.5),"Age uncertainty exceeds 50% of the age. Usable as an indication only. ","")&amp;IF(AND($D55="",$C55&lt;&gt;""),"No uncertainty given. Every radiometric age has one; a rate without it cannot be defended. ",""))</f>
        <v/>
      </c>
      <c r="J55" s="18">
        <f>IF($E55="",0,IF(OR(LEFT($E55,6)="Pb-210",LEFT($E55,6)="Cs-137"),1,0))</f>
        <v/>
      </c>
      <c r="K55" s="18">
        <f>IF(OR($A55="",NOT(ISNUMBER($B55))),"",SUMPRODUCT(MAX(('4. Chronology'!$A$5:$A$204=$A55)*('4. Chronology'!$B$5:$B$204&lt;$B55)*'4. Chronology'!$B$5:$B$204)))</f>
        <v/>
      </c>
    </row>
    <row r="56">
      <c r="A56" s="14" t="n"/>
      <c r="B56" s="14" t="n"/>
      <c r="C56" s="14" t="n"/>
      <c r="D56" s="14" t="n"/>
      <c r="E56" s="14" t="n"/>
      <c r="F56" s="18">
        <f>IF(OR($A56="",NOT(ISNUMBER($B56))),"",SUMIFS('3. Peat Data'!$P$5:$P$604,'3. Peat Data'!$B$5:$B$604,$A56,'3. Peat Data'!$F$5:$F$604,"&lt;="&amp;$B56)+SUMPRODUCT(('3. Peat Data'!$B$5:$B$604=$A56)*('3. Peat Data'!$E$5:$E$604&lt;$B56)*('3. Peat Data'!$F$5:$F$604&gt;$B56)*'3. Peat Data'!$R$5:$R$604*($B56-'3. Peat Data'!$E$5:$E$604)))</f>
        <v/>
      </c>
      <c r="G56" s="18">
        <f>IF(OR($A56="",NOT(ISNUMBER($B56)),NOT(ISNUMBER($C56))),"",IFERROR(($B56-$K56)/($C56-IF($K56=0,0,SUMIFS('4. Chronology'!$C$5:$C$204,'4. Chronology'!$A$5:$A$204,$A56,'4. Chronology'!$B$5:$B$204,$K56))),""))</f>
        <v/>
      </c>
      <c r="H56" s="18">
        <f>IF(OR($A56="",NOT(ISNUMBER($F56)),NOT(ISNUMBER($C56))),"",IFERROR((($F56-IF($K56=0,0,SUMIFS('4. Chronology'!$F$5:$F$204,'4. Chronology'!$A$5:$A$204,$A56,'4. Chronology'!$B$5:$B$204,$K56)))*1000)/($C56-IF($K56=0,0,SUMIFS('4. Chronology'!$C$5:$C$204,'4. Chronology'!$A$5:$A$204,$A56,'4. Chronology'!$B$5:$B$204,$K56))),""))</f>
        <v/>
      </c>
      <c r="I56" s="18">
        <f>IF($A56="","",IF(COUNTIF('2. Core Log'!$A$5:$A$124,$A56)=0,"Core ID not in Core Log. ","")&amp;IF($E56="","No date source given — RERCA and LORCA need to know which method produced this age. ","")&amp;IF(AND(ISNUMBER($C56),$C56&lt;0),"Negative age: this horizon post-dates the coring year. Check the conversion. ","")&amp;IF(AND(ISNUMBER($G56),$G56&lt;0),"Age reversal — this horizon is younger than one above it. A mixed or disturbed profile may not be datable at all. ","")&amp;IF(AND(ISNUMBER($D56),ISNUMBER($C56),$C56&gt;0,$D56/$C56&gt;0.5),"Age uncertainty exceeds 50% of the age. Usable as an indication only. ","")&amp;IF(AND($D56="",$C56&lt;&gt;""),"No uncertainty given. Every radiometric age has one; a rate without it cannot be defended. ",""))</f>
        <v/>
      </c>
      <c r="J56" s="18">
        <f>IF($E56="",0,IF(OR(LEFT($E56,6)="Pb-210",LEFT($E56,6)="Cs-137"),1,0))</f>
        <v/>
      </c>
      <c r="K56" s="18">
        <f>IF(OR($A56="",NOT(ISNUMBER($B56))),"",SUMPRODUCT(MAX(('4. Chronology'!$A$5:$A$204=$A56)*('4. Chronology'!$B$5:$B$204&lt;$B56)*'4. Chronology'!$B$5:$B$204)))</f>
        <v/>
      </c>
    </row>
    <row r="57">
      <c r="A57" s="14" t="n"/>
      <c r="B57" s="14" t="n"/>
      <c r="C57" s="14" t="n"/>
      <c r="D57" s="14" t="n"/>
      <c r="E57" s="14" t="n"/>
      <c r="F57" s="18">
        <f>IF(OR($A57="",NOT(ISNUMBER($B57))),"",SUMIFS('3. Peat Data'!$P$5:$P$604,'3. Peat Data'!$B$5:$B$604,$A57,'3. Peat Data'!$F$5:$F$604,"&lt;="&amp;$B57)+SUMPRODUCT(('3. Peat Data'!$B$5:$B$604=$A57)*('3. Peat Data'!$E$5:$E$604&lt;$B57)*('3. Peat Data'!$F$5:$F$604&gt;$B57)*'3. Peat Data'!$R$5:$R$604*($B57-'3. Peat Data'!$E$5:$E$604)))</f>
        <v/>
      </c>
      <c r="G57" s="18">
        <f>IF(OR($A57="",NOT(ISNUMBER($B57)),NOT(ISNUMBER($C57))),"",IFERROR(($B57-$K57)/($C57-IF($K57=0,0,SUMIFS('4. Chronology'!$C$5:$C$204,'4. Chronology'!$A$5:$A$204,$A57,'4. Chronology'!$B$5:$B$204,$K57))),""))</f>
        <v/>
      </c>
      <c r="H57" s="18">
        <f>IF(OR($A57="",NOT(ISNUMBER($F57)),NOT(ISNUMBER($C57))),"",IFERROR((($F57-IF($K57=0,0,SUMIFS('4. Chronology'!$F$5:$F$204,'4. Chronology'!$A$5:$A$204,$A57,'4. Chronology'!$B$5:$B$204,$K57)))*1000)/($C57-IF($K57=0,0,SUMIFS('4. Chronology'!$C$5:$C$204,'4. Chronology'!$A$5:$A$204,$A57,'4. Chronology'!$B$5:$B$204,$K57))),""))</f>
        <v/>
      </c>
      <c r="I57" s="18">
        <f>IF($A57="","",IF(COUNTIF('2. Core Log'!$A$5:$A$124,$A57)=0,"Core ID not in Core Log. ","")&amp;IF($E57="","No date source given — RERCA and LORCA need to know which method produced this age. ","")&amp;IF(AND(ISNUMBER($C57),$C57&lt;0),"Negative age: this horizon post-dates the coring year. Check the conversion. ","")&amp;IF(AND(ISNUMBER($G57),$G57&lt;0),"Age reversal — this horizon is younger than one above it. A mixed or disturbed profile may not be datable at all. ","")&amp;IF(AND(ISNUMBER($D57),ISNUMBER($C57),$C57&gt;0,$D57/$C57&gt;0.5),"Age uncertainty exceeds 50% of the age. Usable as an indication only. ","")&amp;IF(AND($D57="",$C57&lt;&gt;""),"No uncertainty given. Every radiometric age has one; a rate without it cannot be defended. ",""))</f>
        <v/>
      </c>
      <c r="J57" s="18">
        <f>IF($E57="",0,IF(OR(LEFT($E57,6)="Pb-210",LEFT($E57,6)="Cs-137"),1,0))</f>
        <v/>
      </c>
      <c r="K57" s="18">
        <f>IF(OR($A57="",NOT(ISNUMBER($B57))),"",SUMPRODUCT(MAX(('4. Chronology'!$A$5:$A$204=$A57)*('4. Chronology'!$B$5:$B$204&lt;$B57)*'4. Chronology'!$B$5:$B$204)))</f>
        <v/>
      </c>
    </row>
    <row r="58">
      <c r="A58" s="14" t="n"/>
      <c r="B58" s="14" t="n"/>
      <c r="C58" s="14" t="n"/>
      <c r="D58" s="14" t="n"/>
      <c r="E58" s="14" t="n"/>
      <c r="F58" s="18">
        <f>IF(OR($A58="",NOT(ISNUMBER($B58))),"",SUMIFS('3. Peat Data'!$P$5:$P$604,'3. Peat Data'!$B$5:$B$604,$A58,'3. Peat Data'!$F$5:$F$604,"&lt;="&amp;$B58)+SUMPRODUCT(('3. Peat Data'!$B$5:$B$604=$A58)*('3. Peat Data'!$E$5:$E$604&lt;$B58)*('3. Peat Data'!$F$5:$F$604&gt;$B58)*'3. Peat Data'!$R$5:$R$604*($B58-'3. Peat Data'!$E$5:$E$604)))</f>
        <v/>
      </c>
      <c r="G58" s="18">
        <f>IF(OR($A58="",NOT(ISNUMBER($B58)),NOT(ISNUMBER($C58))),"",IFERROR(($B58-$K58)/($C58-IF($K58=0,0,SUMIFS('4. Chronology'!$C$5:$C$204,'4. Chronology'!$A$5:$A$204,$A58,'4. Chronology'!$B$5:$B$204,$K58))),""))</f>
        <v/>
      </c>
      <c r="H58" s="18">
        <f>IF(OR($A58="",NOT(ISNUMBER($F58)),NOT(ISNUMBER($C58))),"",IFERROR((($F58-IF($K58=0,0,SUMIFS('4. Chronology'!$F$5:$F$204,'4. Chronology'!$A$5:$A$204,$A58,'4. Chronology'!$B$5:$B$204,$K58)))*1000)/($C58-IF($K58=0,0,SUMIFS('4. Chronology'!$C$5:$C$204,'4. Chronology'!$A$5:$A$204,$A58,'4. Chronology'!$B$5:$B$204,$K58))),""))</f>
        <v/>
      </c>
      <c r="I58" s="18">
        <f>IF($A58="","",IF(COUNTIF('2. Core Log'!$A$5:$A$124,$A58)=0,"Core ID not in Core Log. ","")&amp;IF($E58="","No date source given — RERCA and LORCA need to know which method produced this age. ","")&amp;IF(AND(ISNUMBER($C58),$C58&lt;0),"Negative age: this horizon post-dates the coring year. Check the conversion. ","")&amp;IF(AND(ISNUMBER($G58),$G58&lt;0),"Age reversal — this horizon is younger than one above it. A mixed or disturbed profile may not be datable at all. ","")&amp;IF(AND(ISNUMBER($D58),ISNUMBER($C58),$C58&gt;0,$D58/$C58&gt;0.5),"Age uncertainty exceeds 50% of the age. Usable as an indication only. ","")&amp;IF(AND($D58="",$C58&lt;&gt;""),"No uncertainty given. Every radiometric age has one; a rate without it cannot be defended. ",""))</f>
        <v/>
      </c>
      <c r="J58" s="18">
        <f>IF($E58="",0,IF(OR(LEFT($E58,6)="Pb-210",LEFT($E58,6)="Cs-137"),1,0))</f>
        <v/>
      </c>
      <c r="K58" s="18">
        <f>IF(OR($A58="",NOT(ISNUMBER($B58))),"",SUMPRODUCT(MAX(('4. Chronology'!$A$5:$A$204=$A58)*('4. Chronology'!$B$5:$B$204&lt;$B58)*'4. Chronology'!$B$5:$B$204)))</f>
        <v/>
      </c>
    </row>
    <row r="59">
      <c r="A59" s="14" t="n"/>
      <c r="B59" s="14" t="n"/>
      <c r="C59" s="14" t="n"/>
      <c r="D59" s="14" t="n"/>
      <c r="E59" s="14" t="n"/>
      <c r="F59" s="18">
        <f>IF(OR($A59="",NOT(ISNUMBER($B59))),"",SUMIFS('3. Peat Data'!$P$5:$P$604,'3. Peat Data'!$B$5:$B$604,$A59,'3. Peat Data'!$F$5:$F$604,"&lt;="&amp;$B59)+SUMPRODUCT(('3. Peat Data'!$B$5:$B$604=$A59)*('3. Peat Data'!$E$5:$E$604&lt;$B59)*('3. Peat Data'!$F$5:$F$604&gt;$B59)*'3. Peat Data'!$R$5:$R$604*($B59-'3. Peat Data'!$E$5:$E$604)))</f>
        <v/>
      </c>
      <c r="G59" s="18">
        <f>IF(OR($A59="",NOT(ISNUMBER($B59)),NOT(ISNUMBER($C59))),"",IFERROR(($B59-$K59)/($C59-IF($K59=0,0,SUMIFS('4. Chronology'!$C$5:$C$204,'4. Chronology'!$A$5:$A$204,$A59,'4. Chronology'!$B$5:$B$204,$K59))),""))</f>
        <v/>
      </c>
      <c r="H59" s="18">
        <f>IF(OR($A59="",NOT(ISNUMBER($F59)),NOT(ISNUMBER($C59))),"",IFERROR((($F59-IF($K59=0,0,SUMIFS('4. Chronology'!$F$5:$F$204,'4. Chronology'!$A$5:$A$204,$A59,'4. Chronology'!$B$5:$B$204,$K59)))*1000)/($C59-IF($K59=0,0,SUMIFS('4. Chronology'!$C$5:$C$204,'4. Chronology'!$A$5:$A$204,$A59,'4. Chronology'!$B$5:$B$204,$K59))),""))</f>
        <v/>
      </c>
      <c r="I59" s="18">
        <f>IF($A59="","",IF(COUNTIF('2. Core Log'!$A$5:$A$124,$A59)=0,"Core ID not in Core Log. ","")&amp;IF($E59="","No date source given — RERCA and LORCA need to know which method produced this age. ","")&amp;IF(AND(ISNUMBER($C59),$C59&lt;0),"Negative age: this horizon post-dates the coring year. Check the conversion. ","")&amp;IF(AND(ISNUMBER($G59),$G59&lt;0),"Age reversal — this horizon is younger than one above it. A mixed or disturbed profile may not be datable at all. ","")&amp;IF(AND(ISNUMBER($D59),ISNUMBER($C59),$C59&gt;0,$D59/$C59&gt;0.5),"Age uncertainty exceeds 50% of the age. Usable as an indication only. ","")&amp;IF(AND($D59="",$C59&lt;&gt;""),"No uncertainty given. Every radiometric age has one; a rate without it cannot be defended. ",""))</f>
        <v/>
      </c>
      <c r="J59" s="18">
        <f>IF($E59="",0,IF(OR(LEFT($E59,6)="Pb-210",LEFT($E59,6)="Cs-137"),1,0))</f>
        <v/>
      </c>
      <c r="K59" s="18">
        <f>IF(OR($A59="",NOT(ISNUMBER($B59))),"",SUMPRODUCT(MAX(('4. Chronology'!$A$5:$A$204=$A59)*('4. Chronology'!$B$5:$B$204&lt;$B59)*'4. Chronology'!$B$5:$B$204)))</f>
        <v/>
      </c>
    </row>
    <row r="60">
      <c r="A60" s="14" t="n"/>
      <c r="B60" s="14" t="n"/>
      <c r="C60" s="14" t="n"/>
      <c r="D60" s="14" t="n"/>
      <c r="E60" s="14" t="n"/>
      <c r="F60" s="18">
        <f>IF(OR($A60="",NOT(ISNUMBER($B60))),"",SUMIFS('3. Peat Data'!$P$5:$P$604,'3. Peat Data'!$B$5:$B$604,$A60,'3. Peat Data'!$F$5:$F$604,"&lt;="&amp;$B60)+SUMPRODUCT(('3. Peat Data'!$B$5:$B$604=$A60)*('3. Peat Data'!$E$5:$E$604&lt;$B60)*('3. Peat Data'!$F$5:$F$604&gt;$B60)*'3. Peat Data'!$R$5:$R$604*($B60-'3. Peat Data'!$E$5:$E$604)))</f>
        <v/>
      </c>
      <c r="G60" s="18">
        <f>IF(OR($A60="",NOT(ISNUMBER($B60)),NOT(ISNUMBER($C60))),"",IFERROR(($B60-$K60)/($C60-IF($K60=0,0,SUMIFS('4. Chronology'!$C$5:$C$204,'4. Chronology'!$A$5:$A$204,$A60,'4. Chronology'!$B$5:$B$204,$K60))),""))</f>
        <v/>
      </c>
      <c r="H60" s="18">
        <f>IF(OR($A60="",NOT(ISNUMBER($F60)),NOT(ISNUMBER($C60))),"",IFERROR((($F60-IF($K60=0,0,SUMIFS('4. Chronology'!$F$5:$F$204,'4. Chronology'!$A$5:$A$204,$A60,'4. Chronology'!$B$5:$B$204,$K60)))*1000)/($C60-IF($K60=0,0,SUMIFS('4. Chronology'!$C$5:$C$204,'4. Chronology'!$A$5:$A$204,$A60,'4. Chronology'!$B$5:$B$204,$K60))),""))</f>
        <v/>
      </c>
      <c r="I60" s="18">
        <f>IF($A60="","",IF(COUNTIF('2. Core Log'!$A$5:$A$124,$A60)=0,"Core ID not in Core Log. ","")&amp;IF($E60="","No date source given — RERCA and LORCA need to know which method produced this age. ","")&amp;IF(AND(ISNUMBER($C60),$C60&lt;0),"Negative age: this horizon post-dates the coring year. Check the conversion. ","")&amp;IF(AND(ISNUMBER($G60),$G60&lt;0),"Age reversal — this horizon is younger than one above it. A mixed or disturbed profile may not be datable at all. ","")&amp;IF(AND(ISNUMBER($D60),ISNUMBER($C60),$C60&gt;0,$D60/$C60&gt;0.5),"Age uncertainty exceeds 50% of the age. Usable as an indication only. ","")&amp;IF(AND($D60="",$C60&lt;&gt;""),"No uncertainty given. Every radiometric age has one; a rate without it cannot be defended. ",""))</f>
        <v/>
      </c>
      <c r="J60" s="18">
        <f>IF($E60="",0,IF(OR(LEFT($E60,6)="Pb-210",LEFT($E60,6)="Cs-137"),1,0))</f>
        <v/>
      </c>
      <c r="K60" s="18">
        <f>IF(OR($A60="",NOT(ISNUMBER($B60))),"",SUMPRODUCT(MAX(('4. Chronology'!$A$5:$A$204=$A60)*('4. Chronology'!$B$5:$B$204&lt;$B60)*'4. Chronology'!$B$5:$B$204)))</f>
        <v/>
      </c>
    </row>
    <row r="61">
      <c r="A61" s="14" t="n"/>
      <c r="B61" s="14" t="n"/>
      <c r="C61" s="14" t="n"/>
      <c r="D61" s="14" t="n"/>
      <c r="E61" s="14" t="n"/>
      <c r="F61" s="18">
        <f>IF(OR($A61="",NOT(ISNUMBER($B61))),"",SUMIFS('3. Peat Data'!$P$5:$P$604,'3. Peat Data'!$B$5:$B$604,$A61,'3. Peat Data'!$F$5:$F$604,"&lt;="&amp;$B61)+SUMPRODUCT(('3. Peat Data'!$B$5:$B$604=$A61)*('3. Peat Data'!$E$5:$E$604&lt;$B61)*('3. Peat Data'!$F$5:$F$604&gt;$B61)*'3. Peat Data'!$R$5:$R$604*($B61-'3. Peat Data'!$E$5:$E$604)))</f>
        <v/>
      </c>
      <c r="G61" s="18">
        <f>IF(OR($A61="",NOT(ISNUMBER($B61)),NOT(ISNUMBER($C61))),"",IFERROR(($B61-$K61)/($C61-IF($K61=0,0,SUMIFS('4. Chronology'!$C$5:$C$204,'4. Chronology'!$A$5:$A$204,$A61,'4. Chronology'!$B$5:$B$204,$K61))),""))</f>
        <v/>
      </c>
      <c r="H61" s="18">
        <f>IF(OR($A61="",NOT(ISNUMBER($F61)),NOT(ISNUMBER($C61))),"",IFERROR((($F61-IF($K61=0,0,SUMIFS('4. Chronology'!$F$5:$F$204,'4. Chronology'!$A$5:$A$204,$A61,'4. Chronology'!$B$5:$B$204,$K61)))*1000)/($C61-IF($K61=0,0,SUMIFS('4. Chronology'!$C$5:$C$204,'4. Chronology'!$A$5:$A$204,$A61,'4. Chronology'!$B$5:$B$204,$K61))),""))</f>
        <v/>
      </c>
      <c r="I61" s="18">
        <f>IF($A61="","",IF(COUNTIF('2. Core Log'!$A$5:$A$124,$A61)=0,"Core ID not in Core Log. ","")&amp;IF($E61="","No date source given — RERCA and LORCA need to know which method produced this age. ","")&amp;IF(AND(ISNUMBER($C61),$C61&lt;0),"Negative age: this horizon post-dates the coring year. Check the conversion. ","")&amp;IF(AND(ISNUMBER($G61),$G61&lt;0),"Age reversal — this horizon is younger than one above it. A mixed or disturbed profile may not be datable at all. ","")&amp;IF(AND(ISNUMBER($D61),ISNUMBER($C61),$C61&gt;0,$D61/$C61&gt;0.5),"Age uncertainty exceeds 50% of the age. Usable as an indication only. ","")&amp;IF(AND($D61="",$C61&lt;&gt;""),"No uncertainty given. Every radiometric age has one; a rate without it cannot be defended. ",""))</f>
        <v/>
      </c>
      <c r="J61" s="18">
        <f>IF($E61="",0,IF(OR(LEFT($E61,6)="Pb-210",LEFT($E61,6)="Cs-137"),1,0))</f>
        <v/>
      </c>
      <c r="K61" s="18">
        <f>IF(OR($A61="",NOT(ISNUMBER($B61))),"",SUMPRODUCT(MAX(('4. Chronology'!$A$5:$A$204=$A61)*('4. Chronology'!$B$5:$B$204&lt;$B61)*'4. Chronology'!$B$5:$B$204)))</f>
        <v/>
      </c>
    </row>
    <row r="62">
      <c r="A62" s="14" t="n"/>
      <c r="B62" s="14" t="n"/>
      <c r="C62" s="14" t="n"/>
      <c r="D62" s="14" t="n"/>
      <c r="E62" s="14" t="n"/>
      <c r="F62" s="18">
        <f>IF(OR($A62="",NOT(ISNUMBER($B62))),"",SUMIFS('3. Peat Data'!$P$5:$P$604,'3. Peat Data'!$B$5:$B$604,$A62,'3. Peat Data'!$F$5:$F$604,"&lt;="&amp;$B62)+SUMPRODUCT(('3. Peat Data'!$B$5:$B$604=$A62)*('3. Peat Data'!$E$5:$E$604&lt;$B62)*('3. Peat Data'!$F$5:$F$604&gt;$B62)*'3. Peat Data'!$R$5:$R$604*($B62-'3. Peat Data'!$E$5:$E$604)))</f>
        <v/>
      </c>
      <c r="G62" s="18">
        <f>IF(OR($A62="",NOT(ISNUMBER($B62)),NOT(ISNUMBER($C62))),"",IFERROR(($B62-$K62)/($C62-IF($K62=0,0,SUMIFS('4. Chronology'!$C$5:$C$204,'4. Chronology'!$A$5:$A$204,$A62,'4. Chronology'!$B$5:$B$204,$K62))),""))</f>
        <v/>
      </c>
      <c r="H62" s="18">
        <f>IF(OR($A62="",NOT(ISNUMBER($F62)),NOT(ISNUMBER($C62))),"",IFERROR((($F62-IF($K62=0,0,SUMIFS('4. Chronology'!$F$5:$F$204,'4. Chronology'!$A$5:$A$204,$A62,'4. Chronology'!$B$5:$B$204,$K62)))*1000)/($C62-IF($K62=0,0,SUMIFS('4. Chronology'!$C$5:$C$204,'4. Chronology'!$A$5:$A$204,$A62,'4. Chronology'!$B$5:$B$204,$K62))),""))</f>
        <v/>
      </c>
      <c r="I62" s="18">
        <f>IF($A62="","",IF(COUNTIF('2. Core Log'!$A$5:$A$124,$A62)=0,"Core ID not in Core Log. ","")&amp;IF($E62="","No date source given — RERCA and LORCA need to know which method produced this age. ","")&amp;IF(AND(ISNUMBER($C62),$C62&lt;0),"Negative age: this horizon post-dates the coring year. Check the conversion. ","")&amp;IF(AND(ISNUMBER($G62),$G62&lt;0),"Age reversal — this horizon is younger than one above it. A mixed or disturbed profile may not be datable at all. ","")&amp;IF(AND(ISNUMBER($D62),ISNUMBER($C62),$C62&gt;0,$D62/$C62&gt;0.5),"Age uncertainty exceeds 50% of the age. Usable as an indication only. ","")&amp;IF(AND($D62="",$C62&lt;&gt;""),"No uncertainty given. Every radiometric age has one; a rate without it cannot be defended. ",""))</f>
        <v/>
      </c>
      <c r="J62" s="18">
        <f>IF($E62="",0,IF(OR(LEFT($E62,6)="Pb-210",LEFT($E62,6)="Cs-137"),1,0))</f>
        <v/>
      </c>
      <c r="K62" s="18">
        <f>IF(OR($A62="",NOT(ISNUMBER($B62))),"",SUMPRODUCT(MAX(('4. Chronology'!$A$5:$A$204=$A62)*('4. Chronology'!$B$5:$B$204&lt;$B62)*'4. Chronology'!$B$5:$B$204)))</f>
        <v/>
      </c>
    </row>
    <row r="63">
      <c r="A63" s="14" t="n"/>
      <c r="B63" s="14" t="n"/>
      <c r="C63" s="14" t="n"/>
      <c r="D63" s="14" t="n"/>
      <c r="E63" s="14" t="n"/>
      <c r="F63" s="18">
        <f>IF(OR($A63="",NOT(ISNUMBER($B63))),"",SUMIFS('3. Peat Data'!$P$5:$P$604,'3. Peat Data'!$B$5:$B$604,$A63,'3. Peat Data'!$F$5:$F$604,"&lt;="&amp;$B63)+SUMPRODUCT(('3. Peat Data'!$B$5:$B$604=$A63)*('3. Peat Data'!$E$5:$E$604&lt;$B63)*('3. Peat Data'!$F$5:$F$604&gt;$B63)*'3. Peat Data'!$R$5:$R$604*($B63-'3. Peat Data'!$E$5:$E$604)))</f>
        <v/>
      </c>
      <c r="G63" s="18">
        <f>IF(OR($A63="",NOT(ISNUMBER($B63)),NOT(ISNUMBER($C63))),"",IFERROR(($B63-$K63)/($C63-IF($K63=0,0,SUMIFS('4. Chronology'!$C$5:$C$204,'4. Chronology'!$A$5:$A$204,$A63,'4. Chronology'!$B$5:$B$204,$K63))),""))</f>
        <v/>
      </c>
      <c r="H63" s="18">
        <f>IF(OR($A63="",NOT(ISNUMBER($F63)),NOT(ISNUMBER($C63))),"",IFERROR((($F63-IF($K63=0,0,SUMIFS('4. Chronology'!$F$5:$F$204,'4. Chronology'!$A$5:$A$204,$A63,'4. Chronology'!$B$5:$B$204,$K63)))*1000)/($C63-IF($K63=0,0,SUMIFS('4. Chronology'!$C$5:$C$204,'4. Chronology'!$A$5:$A$204,$A63,'4. Chronology'!$B$5:$B$204,$K63))),""))</f>
        <v/>
      </c>
      <c r="I63" s="18">
        <f>IF($A63="","",IF(COUNTIF('2. Core Log'!$A$5:$A$124,$A63)=0,"Core ID not in Core Log. ","")&amp;IF($E63="","No date source given — RERCA and LORCA need to know which method produced this age. ","")&amp;IF(AND(ISNUMBER($C63),$C63&lt;0),"Negative age: this horizon post-dates the coring year. Check the conversion. ","")&amp;IF(AND(ISNUMBER($G63),$G63&lt;0),"Age reversal — this horizon is younger than one above it. A mixed or disturbed profile may not be datable at all. ","")&amp;IF(AND(ISNUMBER($D63),ISNUMBER($C63),$C63&gt;0,$D63/$C63&gt;0.5),"Age uncertainty exceeds 50% of the age. Usable as an indication only. ","")&amp;IF(AND($D63="",$C63&lt;&gt;""),"No uncertainty given. Every radiometric age has one; a rate without it cannot be defended. ",""))</f>
        <v/>
      </c>
      <c r="J63" s="18">
        <f>IF($E63="",0,IF(OR(LEFT($E63,6)="Pb-210",LEFT($E63,6)="Cs-137"),1,0))</f>
        <v/>
      </c>
      <c r="K63" s="18">
        <f>IF(OR($A63="",NOT(ISNUMBER($B63))),"",SUMPRODUCT(MAX(('4. Chronology'!$A$5:$A$204=$A63)*('4. Chronology'!$B$5:$B$204&lt;$B63)*'4. Chronology'!$B$5:$B$204)))</f>
        <v/>
      </c>
    </row>
    <row r="64">
      <c r="A64" s="14" t="n"/>
      <c r="B64" s="14" t="n"/>
      <c r="C64" s="14" t="n"/>
      <c r="D64" s="14" t="n"/>
      <c r="E64" s="14" t="n"/>
      <c r="F64" s="18">
        <f>IF(OR($A64="",NOT(ISNUMBER($B64))),"",SUMIFS('3. Peat Data'!$P$5:$P$604,'3. Peat Data'!$B$5:$B$604,$A64,'3. Peat Data'!$F$5:$F$604,"&lt;="&amp;$B64)+SUMPRODUCT(('3. Peat Data'!$B$5:$B$604=$A64)*('3. Peat Data'!$E$5:$E$604&lt;$B64)*('3. Peat Data'!$F$5:$F$604&gt;$B64)*'3. Peat Data'!$R$5:$R$604*($B64-'3. Peat Data'!$E$5:$E$604)))</f>
        <v/>
      </c>
      <c r="G64" s="18">
        <f>IF(OR($A64="",NOT(ISNUMBER($B64)),NOT(ISNUMBER($C64))),"",IFERROR(($B64-$K64)/($C64-IF($K64=0,0,SUMIFS('4. Chronology'!$C$5:$C$204,'4. Chronology'!$A$5:$A$204,$A64,'4. Chronology'!$B$5:$B$204,$K64))),""))</f>
        <v/>
      </c>
      <c r="H64" s="18">
        <f>IF(OR($A64="",NOT(ISNUMBER($F64)),NOT(ISNUMBER($C64))),"",IFERROR((($F64-IF($K64=0,0,SUMIFS('4. Chronology'!$F$5:$F$204,'4. Chronology'!$A$5:$A$204,$A64,'4. Chronology'!$B$5:$B$204,$K64)))*1000)/($C64-IF($K64=0,0,SUMIFS('4. Chronology'!$C$5:$C$204,'4. Chronology'!$A$5:$A$204,$A64,'4. Chronology'!$B$5:$B$204,$K64))),""))</f>
        <v/>
      </c>
      <c r="I64" s="18">
        <f>IF($A64="","",IF(COUNTIF('2. Core Log'!$A$5:$A$124,$A64)=0,"Core ID not in Core Log. ","")&amp;IF($E64="","No date source given — RERCA and LORCA need to know which method produced this age. ","")&amp;IF(AND(ISNUMBER($C64),$C64&lt;0),"Negative age: this horizon post-dates the coring year. Check the conversion. ","")&amp;IF(AND(ISNUMBER($G64),$G64&lt;0),"Age reversal — this horizon is younger than one above it. A mixed or disturbed profile may not be datable at all. ","")&amp;IF(AND(ISNUMBER($D64),ISNUMBER($C64),$C64&gt;0,$D64/$C64&gt;0.5),"Age uncertainty exceeds 50% of the age. Usable as an indication only. ","")&amp;IF(AND($D64="",$C64&lt;&gt;""),"No uncertainty given. Every radiometric age has one; a rate without it cannot be defended. ",""))</f>
        <v/>
      </c>
      <c r="J64" s="18">
        <f>IF($E64="",0,IF(OR(LEFT($E64,6)="Pb-210",LEFT($E64,6)="Cs-137"),1,0))</f>
        <v/>
      </c>
      <c r="K64" s="18">
        <f>IF(OR($A64="",NOT(ISNUMBER($B64))),"",SUMPRODUCT(MAX(('4. Chronology'!$A$5:$A$204=$A64)*('4. Chronology'!$B$5:$B$204&lt;$B64)*'4. Chronology'!$B$5:$B$204)))</f>
        <v/>
      </c>
    </row>
    <row r="65">
      <c r="A65" s="14" t="n"/>
      <c r="B65" s="14" t="n"/>
      <c r="C65" s="14" t="n"/>
      <c r="D65" s="14" t="n"/>
      <c r="E65" s="14" t="n"/>
      <c r="F65" s="18">
        <f>IF(OR($A65="",NOT(ISNUMBER($B65))),"",SUMIFS('3. Peat Data'!$P$5:$P$604,'3. Peat Data'!$B$5:$B$604,$A65,'3. Peat Data'!$F$5:$F$604,"&lt;="&amp;$B65)+SUMPRODUCT(('3. Peat Data'!$B$5:$B$604=$A65)*('3. Peat Data'!$E$5:$E$604&lt;$B65)*('3. Peat Data'!$F$5:$F$604&gt;$B65)*'3. Peat Data'!$R$5:$R$604*($B65-'3. Peat Data'!$E$5:$E$604)))</f>
        <v/>
      </c>
      <c r="G65" s="18">
        <f>IF(OR($A65="",NOT(ISNUMBER($B65)),NOT(ISNUMBER($C65))),"",IFERROR(($B65-$K65)/($C65-IF($K65=0,0,SUMIFS('4. Chronology'!$C$5:$C$204,'4. Chronology'!$A$5:$A$204,$A65,'4. Chronology'!$B$5:$B$204,$K65))),""))</f>
        <v/>
      </c>
      <c r="H65" s="18">
        <f>IF(OR($A65="",NOT(ISNUMBER($F65)),NOT(ISNUMBER($C65))),"",IFERROR((($F65-IF($K65=0,0,SUMIFS('4. Chronology'!$F$5:$F$204,'4. Chronology'!$A$5:$A$204,$A65,'4. Chronology'!$B$5:$B$204,$K65)))*1000)/($C65-IF($K65=0,0,SUMIFS('4. Chronology'!$C$5:$C$204,'4. Chronology'!$A$5:$A$204,$A65,'4. Chronology'!$B$5:$B$204,$K65))),""))</f>
        <v/>
      </c>
      <c r="I65" s="18">
        <f>IF($A65="","",IF(COUNTIF('2. Core Log'!$A$5:$A$124,$A65)=0,"Core ID not in Core Log. ","")&amp;IF($E65="","No date source given — RERCA and LORCA need to know which method produced this age. ","")&amp;IF(AND(ISNUMBER($C65),$C65&lt;0),"Negative age: this horizon post-dates the coring year. Check the conversion. ","")&amp;IF(AND(ISNUMBER($G65),$G65&lt;0),"Age reversal — this horizon is younger than one above it. A mixed or disturbed profile may not be datable at all. ","")&amp;IF(AND(ISNUMBER($D65),ISNUMBER($C65),$C65&gt;0,$D65/$C65&gt;0.5),"Age uncertainty exceeds 50% of the age. Usable as an indication only. ","")&amp;IF(AND($D65="",$C65&lt;&gt;""),"No uncertainty given. Every radiometric age has one; a rate without it cannot be defended. ",""))</f>
        <v/>
      </c>
      <c r="J65" s="18">
        <f>IF($E65="",0,IF(OR(LEFT($E65,6)="Pb-210",LEFT($E65,6)="Cs-137"),1,0))</f>
        <v/>
      </c>
      <c r="K65" s="18">
        <f>IF(OR($A65="",NOT(ISNUMBER($B65))),"",SUMPRODUCT(MAX(('4. Chronology'!$A$5:$A$204=$A65)*('4. Chronology'!$B$5:$B$204&lt;$B65)*'4. Chronology'!$B$5:$B$204)))</f>
        <v/>
      </c>
    </row>
    <row r="66">
      <c r="A66" s="14" t="n"/>
      <c r="B66" s="14" t="n"/>
      <c r="C66" s="14" t="n"/>
      <c r="D66" s="14" t="n"/>
      <c r="E66" s="14" t="n"/>
      <c r="F66" s="18">
        <f>IF(OR($A66="",NOT(ISNUMBER($B66))),"",SUMIFS('3. Peat Data'!$P$5:$P$604,'3. Peat Data'!$B$5:$B$604,$A66,'3. Peat Data'!$F$5:$F$604,"&lt;="&amp;$B66)+SUMPRODUCT(('3. Peat Data'!$B$5:$B$604=$A66)*('3. Peat Data'!$E$5:$E$604&lt;$B66)*('3. Peat Data'!$F$5:$F$604&gt;$B66)*'3. Peat Data'!$R$5:$R$604*($B66-'3. Peat Data'!$E$5:$E$604)))</f>
        <v/>
      </c>
      <c r="G66" s="18">
        <f>IF(OR($A66="",NOT(ISNUMBER($B66)),NOT(ISNUMBER($C66))),"",IFERROR(($B66-$K66)/($C66-IF($K66=0,0,SUMIFS('4. Chronology'!$C$5:$C$204,'4. Chronology'!$A$5:$A$204,$A66,'4. Chronology'!$B$5:$B$204,$K66))),""))</f>
        <v/>
      </c>
      <c r="H66" s="18">
        <f>IF(OR($A66="",NOT(ISNUMBER($F66)),NOT(ISNUMBER($C66))),"",IFERROR((($F66-IF($K66=0,0,SUMIFS('4. Chronology'!$F$5:$F$204,'4. Chronology'!$A$5:$A$204,$A66,'4. Chronology'!$B$5:$B$204,$K66)))*1000)/($C66-IF($K66=0,0,SUMIFS('4. Chronology'!$C$5:$C$204,'4. Chronology'!$A$5:$A$204,$A66,'4. Chronology'!$B$5:$B$204,$K66))),""))</f>
        <v/>
      </c>
      <c r="I66" s="18">
        <f>IF($A66="","",IF(COUNTIF('2. Core Log'!$A$5:$A$124,$A66)=0,"Core ID not in Core Log. ","")&amp;IF($E66="","No date source given — RERCA and LORCA need to know which method produced this age. ","")&amp;IF(AND(ISNUMBER($C66),$C66&lt;0),"Negative age: this horizon post-dates the coring year. Check the conversion. ","")&amp;IF(AND(ISNUMBER($G66),$G66&lt;0),"Age reversal — this horizon is younger than one above it. A mixed or disturbed profile may not be datable at all. ","")&amp;IF(AND(ISNUMBER($D66),ISNUMBER($C66),$C66&gt;0,$D66/$C66&gt;0.5),"Age uncertainty exceeds 50% of the age. Usable as an indication only. ","")&amp;IF(AND($D66="",$C66&lt;&gt;""),"No uncertainty given. Every radiometric age has one; a rate without it cannot be defended. ",""))</f>
        <v/>
      </c>
      <c r="J66" s="18">
        <f>IF($E66="",0,IF(OR(LEFT($E66,6)="Pb-210",LEFT($E66,6)="Cs-137"),1,0))</f>
        <v/>
      </c>
      <c r="K66" s="18">
        <f>IF(OR($A66="",NOT(ISNUMBER($B66))),"",SUMPRODUCT(MAX(('4. Chronology'!$A$5:$A$204=$A66)*('4. Chronology'!$B$5:$B$204&lt;$B66)*'4. Chronology'!$B$5:$B$204)))</f>
        <v/>
      </c>
    </row>
    <row r="67">
      <c r="A67" s="14" t="n"/>
      <c r="B67" s="14" t="n"/>
      <c r="C67" s="14" t="n"/>
      <c r="D67" s="14" t="n"/>
      <c r="E67" s="14" t="n"/>
      <c r="F67" s="18">
        <f>IF(OR($A67="",NOT(ISNUMBER($B67))),"",SUMIFS('3. Peat Data'!$P$5:$P$604,'3. Peat Data'!$B$5:$B$604,$A67,'3. Peat Data'!$F$5:$F$604,"&lt;="&amp;$B67)+SUMPRODUCT(('3. Peat Data'!$B$5:$B$604=$A67)*('3. Peat Data'!$E$5:$E$604&lt;$B67)*('3. Peat Data'!$F$5:$F$604&gt;$B67)*'3. Peat Data'!$R$5:$R$604*($B67-'3. Peat Data'!$E$5:$E$604)))</f>
        <v/>
      </c>
      <c r="G67" s="18">
        <f>IF(OR($A67="",NOT(ISNUMBER($B67)),NOT(ISNUMBER($C67))),"",IFERROR(($B67-$K67)/($C67-IF($K67=0,0,SUMIFS('4. Chronology'!$C$5:$C$204,'4. Chronology'!$A$5:$A$204,$A67,'4. Chronology'!$B$5:$B$204,$K67))),""))</f>
        <v/>
      </c>
      <c r="H67" s="18">
        <f>IF(OR($A67="",NOT(ISNUMBER($F67)),NOT(ISNUMBER($C67))),"",IFERROR((($F67-IF($K67=0,0,SUMIFS('4. Chronology'!$F$5:$F$204,'4. Chronology'!$A$5:$A$204,$A67,'4. Chronology'!$B$5:$B$204,$K67)))*1000)/($C67-IF($K67=0,0,SUMIFS('4. Chronology'!$C$5:$C$204,'4. Chronology'!$A$5:$A$204,$A67,'4. Chronology'!$B$5:$B$204,$K67))),""))</f>
        <v/>
      </c>
      <c r="I67" s="18">
        <f>IF($A67="","",IF(COUNTIF('2. Core Log'!$A$5:$A$124,$A67)=0,"Core ID not in Core Log. ","")&amp;IF($E67="","No date source given — RERCA and LORCA need to know which method produced this age. ","")&amp;IF(AND(ISNUMBER($C67),$C67&lt;0),"Negative age: this horizon post-dates the coring year. Check the conversion. ","")&amp;IF(AND(ISNUMBER($G67),$G67&lt;0),"Age reversal — this horizon is younger than one above it. A mixed or disturbed profile may not be datable at all. ","")&amp;IF(AND(ISNUMBER($D67),ISNUMBER($C67),$C67&gt;0,$D67/$C67&gt;0.5),"Age uncertainty exceeds 50% of the age. Usable as an indication only. ","")&amp;IF(AND($D67="",$C67&lt;&gt;""),"No uncertainty given. Every radiometric age has one; a rate without it cannot be defended. ",""))</f>
        <v/>
      </c>
      <c r="J67" s="18">
        <f>IF($E67="",0,IF(OR(LEFT($E67,6)="Pb-210",LEFT($E67,6)="Cs-137"),1,0))</f>
        <v/>
      </c>
      <c r="K67" s="18">
        <f>IF(OR($A67="",NOT(ISNUMBER($B67))),"",SUMPRODUCT(MAX(('4. Chronology'!$A$5:$A$204=$A67)*('4. Chronology'!$B$5:$B$204&lt;$B67)*'4. Chronology'!$B$5:$B$204)))</f>
        <v/>
      </c>
    </row>
    <row r="68">
      <c r="A68" s="14" t="n"/>
      <c r="B68" s="14" t="n"/>
      <c r="C68" s="14" t="n"/>
      <c r="D68" s="14" t="n"/>
      <c r="E68" s="14" t="n"/>
      <c r="F68" s="18">
        <f>IF(OR($A68="",NOT(ISNUMBER($B68))),"",SUMIFS('3. Peat Data'!$P$5:$P$604,'3. Peat Data'!$B$5:$B$604,$A68,'3. Peat Data'!$F$5:$F$604,"&lt;="&amp;$B68)+SUMPRODUCT(('3. Peat Data'!$B$5:$B$604=$A68)*('3. Peat Data'!$E$5:$E$604&lt;$B68)*('3. Peat Data'!$F$5:$F$604&gt;$B68)*'3. Peat Data'!$R$5:$R$604*($B68-'3. Peat Data'!$E$5:$E$604)))</f>
        <v/>
      </c>
      <c r="G68" s="18">
        <f>IF(OR($A68="",NOT(ISNUMBER($B68)),NOT(ISNUMBER($C68))),"",IFERROR(($B68-$K68)/($C68-IF($K68=0,0,SUMIFS('4. Chronology'!$C$5:$C$204,'4. Chronology'!$A$5:$A$204,$A68,'4. Chronology'!$B$5:$B$204,$K68))),""))</f>
        <v/>
      </c>
      <c r="H68" s="18">
        <f>IF(OR($A68="",NOT(ISNUMBER($F68)),NOT(ISNUMBER($C68))),"",IFERROR((($F68-IF($K68=0,0,SUMIFS('4. Chronology'!$F$5:$F$204,'4. Chronology'!$A$5:$A$204,$A68,'4. Chronology'!$B$5:$B$204,$K68)))*1000)/($C68-IF($K68=0,0,SUMIFS('4. Chronology'!$C$5:$C$204,'4. Chronology'!$A$5:$A$204,$A68,'4. Chronology'!$B$5:$B$204,$K68))),""))</f>
        <v/>
      </c>
      <c r="I68" s="18">
        <f>IF($A68="","",IF(COUNTIF('2. Core Log'!$A$5:$A$124,$A68)=0,"Core ID not in Core Log. ","")&amp;IF($E68="","No date source given — RERCA and LORCA need to know which method produced this age. ","")&amp;IF(AND(ISNUMBER($C68),$C68&lt;0),"Negative age: this horizon post-dates the coring year. Check the conversion. ","")&amp;IF(AND(ISNUMBER($G68),$G68&lt;0),"Age reversal — this horizon is younger than one above it. A mixed or disturbed profile may not be datable at all. ","")&amp;IF(AND(ISNUMBER($D68),ISNUMBER($C68),$C68&gt;0,$D68/$C68&gt;0.5),"Age uncertainty exceeds 50% of the age. Usable as an indication only. ","")&amp;IF(AND($D68="",$C68&lt;&gt;""),"No uncertainty given. Every radiometric age has one; a rate without it cannot be defended. ",""))</f>
        <v/>
      </c>
      <c r="J68" s="18">
        <f>IF($E68="",0,IF(OR(LEFT($E68,6)="Pb-210",LEFT($E68,6)="Cs-137"),1,0))</f>
        <v/>
      </c>
      <c r="K68" s="18">
        <f>IF(OR($A68="",NOT(ISNUMBER($B68))),"",SUMPRODUCT(MAX(('4. Chronology'!$A$5:$A$204=$A68)*('4. Chronology'!$B$5:$B$204&lt;$B68)*'4. Chronology'!$B$5:$B$204)))</f>
        <v/>
      </c>
    </row>
    <row r="69">
      <c r="A69" s="14" t="n"/>
      <c r="B69" s="14" t="n"/>
      <c r="C69" s="14" t="n"/>
      <c r="D69" s="14" t="n"/>
      <c r="E69" s="14" t="n"/>
      <c r="F69" s="18">
        <f>IF(OR($A69="",NOT(ISNUMBER($B69))),"",SUMIFS('3. Peat Data'!$P$5:$P$604,'3. Peat Data'!$B$5:$B$604,$A69,'3. Peat Data'!$F$5:$F$604,"&lt;="&amp;$B69)+SUMPRODUCT(('3. Peat Data'!$B$5:$B$604=$A69)*('3. Peat Data'!$E$5:$E$604&lt;$B69)*('3. Peat Data'!$F$5:$F$604&gt;$B69)*'3. Peat Data'!$R$5:$R$604*($B69-'3. Peat Data'!$E$5:$E$604)))</f>
        <v/>
      </c>
      <c r="G69" s="18">
        <f>IF(OR($A69="",NOT(ISNUMBER($B69)),NOT(ISNUMBER($C69))),"",IFERROR(($B69-$K69)/($C69-IF($K69=0,0,SUMIFS('4. Chronology'!$C$5:$C$204,'4. Chronology'!$A$5:$A$204,$A69,'4. Chronology'!$B$5:$B$204,$K69))),""))</f>
        <v/>
      </c>
      <c r="H69" s="18">
        <f>IF(OR($A69="",NOT(ISNUMBER($F69)),NOT(ISNUMBER($C69))),"",IFERROR((($F69-IF($K69=0,0,SUMIFS('4. Chronology'!$F$5:$F$204,'4. Chronology'!$A$5:$A$204,$A69,'4. Chronology'!$B$5:$B$204,$K69)))*1000)/($C69-IF($K69=0,0,SUMIFS('4. Chronology'!$C$5:$C$204,'4. Chronology'!$A$5:$A$204,$A69,'4. Chronology'!$B$5:$B$204,$K69))),""))</f>
        <v/>
      </c>
      <c r="I69" s="18">
        <f>IF($A69="","",IF(COUNTIF('2. Core Log'!$A$5:$A$124,$A69)=0,"Core ID not in Core Log. ","")&amp;IF($E69="","No date source given — RERCA and LORCA need to know which method produced this age. ","")&amp;IF(AND(ISNUMBER($C69),$C69&lt;0),"Negative age: this horizon post-dates the coring year. Check the conversion. ","")&amp;IF(AND(ISNUMBER($G69),$G69&lt;0),"Age reversal — this horizon is younger than one above it. A mixed or disturbed profile may not be datable at all. ","")&amp;IF(AND(ISNUMBER($D69),ISNUMBER($C69),$C69&gt;0,$D69/$C69&gt;0.5),"Age uncertainty exceeds 50% of the age. Usable as an indication only. ","")&amp;IF(AND($D69="",$C69&lt;&gt;""),"No uncertainty given. Every radiometric age has one; a rate without it cannot be defended. ",""))</f>
        <v/>
      </c>
      <c r="J69" s="18">
        <f>IF($E69="",0,IF(OR(LEFT($E69,6)="Pb-210",LEFT($E69,6)="Cs-137"),1,0))</f>
        <v/>
      </c>
      <c r="K69" s="18">
        <f>IF(OR($A69="",NOT(ISNUMBER($B69))),"",SUMPRODUCT(MAX(('4. Chronology'!$A$5:$A$204=$A69)*('4. Chronology'!$B$5:$B$204&lt;$B69)*'4. Chronology'!$B$5:$B$204)))</f>
        <v/>
      </c>
    </row>
    <row r="70">
      <c r="A70" s="14" t="n"/>
      <c r="B70" s="14" t="n"/>
      <c r="C70" s="14" t="n"/>
      <c r="D70" s="14" t="n"/>
      <c r="E70" s="14" t="n"/>
      <c r="F70" s="18">
        <f>IF(OR($A70="",NOT(ISNUMBER($B70))),"",SUMIFS('3. Peat Data'!$P$5:$P$604,'3. Peat Data'!$B$5:$B$604,$A70,'3. Peat Data'!$F$5:$F$604,"&lt;="&amp;$B70)+SUMPRODUCT(('3. Peat Data'!$B$5:$B$604=$A70)*('3. Peat Data'!$E$5:$E$604&lt;$B70)*('3. Peat Data'!$F$5:$F$604&gt;$B70)*'3. Peat Data'!$R$5:$R$604*($B70-'3. Peat Data'!$E$5:$E$604)))</f>
        <v/>
      </c>
      <c r="G70" s="18">
        <f>IF(OR($A70="",NOT(ISNUMBER($B70)),NOT(ISNUMBER($C70))),"",IFERROR(($B70-$K70)/($C70-IF($K70=0,0,SUMIFS('4. Chronology'!$C$5:$C$204,'4. Chronology'!$A$5:$A$204,$A70,'4. Chronology'!$B$5:$B$204,$K70))),""))</f>
        <v/>
      </c>
      <c r="H70" s="18">
        <f>IF(OR($A70="",NOT(ISNUMBER($F70)),NOT(ISNUMBER($C70))),"",IFERROR((($F70-IF($K70=0,0,SUMIFS('4. Chronology'!$F$5:$F$204,'4. Chronology'!$A$5:$A$204,$A70,'4. Chronology'!$B$5:$B$204,$K70)))*1000)/($C70-IF($K70=0,0,SUMIFS('4. Chronology'!$C$5:$C$204,'4. Chronology'!$A$5:$A$204,$A70,'4. Chronology'!$B$5:$B$204,$K70))),""))</f>
        <v/>
      </c>
      <c r="I70" s="18">
        <f>IF($A70="","",IF(COUNTIF('2. Core Log'!$A$5:$A$124,$A70)=0,"Core ID not in Core Log. ","")&amp;IF($E70="","No date source given — RERCA and LORCA need to know which method produced this age. ","")&amp;IF(AND(ISNUMBER($C70),$C70&lt;0),"Negative age: this horizon post-dates the coring year. Check the conversion. ","")&amp;IF(AND(ISNUMBER($G70),$G70&lt;0),"Age reversal — this horizon is younger than one above it. A mixed or disturbed profile may not be datable at all. ","")&amp;IF(AND(ISNUMBER($D70),ISNUMBER($C70),$C70&gt;0,$D70/$C70&gt;0.5),"Age uncertainty exceeds 50% of the age. Usable as an indication only. ","")&amp;IF(AND($D70="",$C70&lt;&gt;""),"No uncertainty given. Every radiometric age has one; a rate without it cannot be defended. ",""))</f>
        <v/>
      </c>
      <c r="J70" s="18">
        <f>IF($E70="",0,IF(OR(LEFT($E70,6)="Pb-210",LEFT($E70,6)="Cs-137"),1,0))</f>
        <v/>
      </c>
      <c r="K70" s="18">
        <f>IF(OR($A70="",NOT(ISNUMBER($B70))),"",SUMPRODUCT(MAX(('4. Chronology'!$A$5:$A$204=$A70)*('4. Chronology'!$B$5:$B$204&lt;$B70)*'4. Chronology'!$B$5:$B$204)))</f>
        <v/>
      </c>
    </row>
    <row r="71">
      <c r="A71" s="14" t="n"/>
      <c r="B71" s="14" t="n"/>
      <c r="C71" s="14" t="n"/>
      <c r="D71" s="14" t="n"/>
      <c r="E71" s="14" t="n"/>
      <c r="F71" s="18">
        <f>IF(OR($A71="",NOT(ISNUMBER($B71))),"",SUMIFS('3. Peat Data'!$P$5:$P$604,'3. Peat Data'!$B$5:$B$604,$A71,'3. Peat Data'!$F$5:$F$604,"&lt;="&amp;$B71)+SUMPRODUCT(('3. Peat Data'!$B$5:$B$604=$A71)*('3. Peat Data'!$E$5:$E$604&lt;$B71)*('3. Peat Data'!$F$5:$F$604&gt;$B71)*'3. Peat Data'!$R$5:$R$604*($B71-'3. Peat Data'!$E$5:$E$604)))</f>
        <v/>
      </c>
      <c r="G71" s="18">
        <f>IF(OR($A71="",NOT(ISNUMBER($B71)),NOT(ISNUMBER($C71))),"",IFERROR(($B71-$K71)/($C71-IF($K71=0,0,SUMIFS('4. Chronology'!$C$5:$C$204,'4. Chronology'!$A$5:$A$204,$A71,'4. Chronology'!$B$5:$B$204,$K71))),""))</f>
        <v/>
      </c>
      <c r="H71" s="18">
        <f>IF(OR($A71="",NOT(ISNUMBER($F71)),NOT(ISNUMBER($C71))),"",IFERROR((($F71-IF($K71=0,0,SUMIFS('4. Chronology'!$F$5:$F$204,'4. Chronology'!$A$5:$A$204,$A71,'4. Chronology'!$B$5:$B$204,$K71)))*1000)/($C71-IF($K71=0,0,SUMIFS('4. Chronology'!$C$5:$C$204,'4. Chronology'!$A$5:$A$204,$A71,'4. Chronology'!$B$5:$B$204,$K71))),""))</f>
        <v/>
      </c>
      <c r="I71" s="18">
        <f>IF($A71="","",IF(COUNTIF('2. Core Log'!$A$5:$A$124,$A71)=0,"Core ID not in Core Log. ","")&amp;IF($E71="","No date source given — RERCA and LORCA need to know which method produced this age. ","")&amp;IF(AND(ISNUMBER($C71),$C71&lt;0),"Negative age: this horizon post-dates the coring year. Check the conversion. ","")&amp;IF(AND(ISNUMBER($G71),$G71&lt;0),"Age reversal — this horizon is younger than one above it. A mixed or disturbed profile may not be datable at all. ","")&amp;IF(AND(ISNUMBER($D71),ISNUMBER($C71),$C71&gt;0,$D71/$C71&gt;0.5),"Age uncertainty exceeds 50% of the age. Usable as an indication only. ","")&amp;IF(AND($D71="",$C71&lt;&gt;""),"No uncertainty given. Every radiometric age has one; a rate without it cannot be defended. ",""))</f>
        <v/>
      </c>
      <c r="J71" s="18">
        <f>IF($E71="",0,IF(OR(LEFT($E71,6)="Pb-210",LEFT($E71,6)="Cs-137"),1,0))</f>
        <v/>
      </c>
      <c r="K71" s="18">
        <f>IF(OR($A71="",NOT(ISNUMBER($B71))),"",SUMPRODUCT(MAX(('4. Chronology'!$A$5:$A$204=$A71)*('4. Chronology'!$B$5:$B$204&lt;$B71)*'4. Chronology'!$B$5:$B$204)))</f>
        <v/>
      </c>
    </row>
    <row r="72">
      <c r="A72" s="14" t="n"/>
      <c r="B72" s="14" t="n"/>
      <c r="C72" s="14" t="n"/>
      <c r="D72" s="14" t="n"/>
      <c r="E72" s="14" t="n"/>
      <c r="F72" s="18">
        <f>IF(OR($A72="",NOT(ISNUMBER($B72))),"",SUMIFS('3. Peat Data'!$P$5:$P$604,'3. Peat Data'!$B$5:$B$604,$A72,'3. Peat Data'!$F$5:$F$604,"&lt;="&amp;$B72)+SUMPRODUCT(('3. Peat Data'!$B$5:$B$604=$A72)*('3. Peat Data'!$E$5:$E$604&lt;$B72)*('3. Peat Data'!$F$5:$F$604&gt;$B72)*'3. Peat Data'!$R$5:$R$604*($B72-'3. Peat Data'!$E$5:$E$604)))</f>
        <v/>
      </c>
      <c r="G72" s="18">
        <f>IF(OR($A72="",NOT(ISNUMBER($B72)),NOT(ISNUMBER($C72))),"",IFERROR(($B72-$K72)/($C72-IF($K72=0,0,SUMIFS('4. Chronology'!$C$5:$C$204,'4. Chronology'!$A$5:$A$204,$A72,'4. Chronology'!$B$5:$B$204,$K72))),""))</f>
        <v/>
      </c>
      <c r="H72" s="18">
        <f>IF(OR($A72="",NOT(ISNUMBER($F72)),NOT(ISNUMBER($C72))),"",IFERROR((($F72-IF($K72=0,0,SUMIFS('4. Chronology'!$F$5:$F$204,'4. Chronology'!$A$5:$A$204,$A72,'4. Chronology'!$B$5:$B$204,$K72)))*1000)/($C72-IF($K72=0,0,SUMIFS('4. Chronology'!$C$5:$C$204,'4. Chronology'!$A$5:$A$204,$A72,'4. Chronology'!$B$5:$B$204,$K72))),""))</f>
        <v/>
      </c>
      <c r="I72" s="18">
        <f>IF($A72="","",IF(COUNTIF('2. Core Log'!$A$5:$A$124,$A72)=0,"Core ID not in Core Log. ","")&amp;IF($E72="","No date source given — RERCA and LORCA need to know which method produced this age. ","")&amp;IF(AND(ISNUMBER($C72),$C72&lt;0),"Negative age: this horizon post-dates the coring year. Check the conversion. ","")&amp;IF(AND(ISNUMBER($G72),$G72&lt;0),"Age reversal — this horizon is younger than one above it. A mixed or disturbed profile may not be datable at all. ","")&amp;IF(AND(ISNUMBER($D72),ISNUMBER($C72),$C72&gt;0,$D72/$C72&gt;0.5),"Age uncertainty exceeds 50% of the age. Usable as an indication only. ","")&amp;IF(AND($D72="",$C72&lt;&gt;""),"No uncertainty given. Every radiometric age has one; a rate without it cannot be defended. ",""))</f>
        <v/>
      </c>
      <c r="J72" s="18">
        <f>IF($E72="",0,IF(OR(LEFT($E72,6)="Pb-210",LEFT($E72,6)="Cs-137"),1,0))</f>
        <v/>
      </c>
      <c r="K72" s="18">
        <f>IF(OR($A72="",NOT(ISNUMBER($B72))),"",SUMPRODUCT(MAX(('4. Chronology'!$A$5:$A$204=$A72)*('4. Chronology'!$B$5:$B$204&lt;$B72)*'4. Chronology'!$B$5:$B$204)))</f>
        <v/>
      </c>
    </row>
    <row r="73">
      <c r="A73" s="14" t="n"/>
      <c r="B73" s="14" t="n"/>
      <c r="C73" s="14" t="n"/>
      <c r="D73" s="14" t="n"/>
      <c r="E73" s="14" t="n"/>
      <c r="F73" s="18">
        <f>IF(OR($A73="",NOT(ISNUMBER($B73))),"",SUMIFS('3. Peat Data'!$P$5:$P$604,'3. Peat Data'!$B$5:$B$604,$A73,'3. Peat Data'!$F$5:$F$604,"&lt;="&amp;$B73)+SUMPRODUCT(('3. Peat Data'!$B$5:$B$604=$A73)*('3. Peat Data'!$E$5:$E$604&lt;$B73)*('3. Peat Data'!$F$5:$F$604&gt;$B73)*'3. Peat Data'!$R$5:$R$604*($B73-'3. Peat Data'!$E$5:$E$604)))</f>
        <v/>
      </c>
      <c r="G73" s="18">
        <f>IF(OR($A73="",NOT(ISNUMBER($B73)),NOT(ISNUMBER($C73))),"",IFERROR(($B73-$K73)/($C73-IF($K73=0,0,SUMIFS('4. Chronology'!$C$5:$C$204,'4. Chronology'!$A$5:$A$204,$A73,'4. Chronology'!$B$5:$B$204,$K73))),""))</f>
        <v/>
      </c>
      <c r="H73" s="18">
        <f>IF(OR($A73="",NOT(ISNUMBER($F73)),NOT(ISNUMBER($C73))),"",IFERROR((($F73-IF($K73=0,0,SUMIFS('4. Chronology'!$F$5:$F$204,'4. Chronology'!$A$5:$A$204,$A73,'4. Chronology'!$B$5:$B$204,$K73)))*1000)/($C73-IF($K73=0,0,SUMIFS('4. Chronology'!$C$5:$C$204,'4. Chronology'!$A$5:$A$204,$A73,'4. Chronology'!$B$5:$B$204,$K73))),""))</f>
        <v/>
      </c>
      <c r="I73" s="18">
        <f>IF($A73="","",IF(COUNTIF('2. Core Log'!$A$5:$A$124,$A73)=0,"Core ID not in Core Log. ","")&amp;IF($E73="","No date source given — RERCA and LORCA need to know which method produced this age. ","")&amp;IF(AND(ISNUMBER($C73),$C73&lt;0),"Negative age: this horizon post-dates the coring year. Check the conversion. ","")&amp;IF(AND(ISNUMBER($G73),$G73&lt;0),"Age reversal — this horizon is younger than one above it. A mixed or disturbed profile may not be datable at all. ","")&amp;IF(AND(ISNUMBER($D73),ISNUMBER($C73),$C73&gt;0,$D73/$C73&gt;0.5),"Age uncertainty exceeds 50% of the age. Usable as an indication only. ","")&amp;IF(AND($D73="",$C73&lt;&gt;""),"No uncertainty given. Every radiometric age has one; a rate without it cannot be defended. ",""))</f>
        <v/>
      </c>
      <c r="J73" s="18">
        <f>IF($E73="",0,IF(OR(LEFT($E73,6)="Pb-210",LEFT($E73,6)="Cs-137"),1,0))</f>
        <v/>
      </c>
      <c r="K73" s="18">
        <f>IF(OR($A73="",NOT(ISNUMBER($B73))),"",SUMPRODUCT(MAX(('4. Chronology'!$A$5:$A$204=$A73)*('4. Chronology'!$B$5:$B$204&lt;$B73)*'4. Chronology'!$B$5:$B$204)))</f>
        <v/>
      </c>
    </row>
    <row r="74">
      <c r="A74" s="14" t="n"/>
      <c r="B74" s="14" t="n"/>
      <c r="C74" s="14" t="n"/>
      <c r="D74" s="14" t="n"/>
      <c r="E74" s="14" t="n"/>
      <c r="F74" s="18">
        <f>IF(OR($A74="",NOT(ISNUMBER($B74))),"",SUMIFS('3. Peat Data'!$P$5:$P$604,'3. Peat Data'!$B$5:$B$604,$A74,'3. Peat Data'!$F$5:$F$604,"&lt;="&amp;$B74)+SUMPRODUCT(('3. Peat Data'!$B$5:$B$604=$A74)*('3. Peat Data'!$E$5:$E$604&lt;$B74)*('3. Peat Data'!$F$5:$F$604&gt;$B74)*'3. Peat Data'!$R$5:$R$604*($B74-'3. Peat Data'!$E$5:$E$604)))</f>
        <v/>
      </c>
      <c r="G74" s="18">
        <f>IF(OR($A74="",NOT(ISNUMBER($B74)),NOT(ISNUMBER($C74))),"",IFERROR(($B74-$K74)/($C74-IF($K74=0,0,SUMIFS('4. Chronology'!$C$5:$C$204,'4. Chronology'!$A$5:$A$204,$A74,'4. Chronology'!$B$5:$B$204,$K74))),""))</f>
        <v/>
      </c>
      <c r="H74" s="18">
        <f>IF(OR($A74="",NOT(ISNUMBER($F74)),NOT(ISNUMBER($C74))),"",IFERROR((($F74-IF($K74=0,0,SUMIFS('4. Chronology'!$F$5:$F$204,'4. Chronology'!$A$5:$A$204,$A74,'4. Chronology'!$B$5:$B$204,$K74)))*1000)/($C74-IF($K74=0,0,SUMIFS('4. Chronology'!$C$5:$C$204,'4. Chronology'!$A$5:$A$204,$A74,'4. Chronology'!$B$5:$B$204,$K74))),""))</f>
        <v/>
      </c>
      <c r="I74" s="18">
        <f>IF($A74="","",IF(COUNTIF('2. Core Log'!$A$5:$A$124,$A74)=0,"Core ID not in Core Log. ","")&amp;IF($E74="","No date source given — RERCA and LORCA need to know which method produced this age. ","")&amp;IF(AND(ISNUMBER($C74),$C74&lt;0),"Negative age: this horizon post-dates the coring year. Check the conversion. ","")&amp;IF(AND(ISNUMBER($G74),$G74&lt;0),"Age reversal — this horizon is younger than one above it. A mixed or disturbed profile may not be datable at all. ","")&amp;IF(AND(ISNUMBER($D74),ISNUMBER($C74),$C74&gt;0,$D74/$C74&gt;0.5),"Age uncertainty exceeds 50% of the age. Usable as an indication only. ","")&amp;IF(AND($D74="",$C74&lt;&gt;""),"No uncertainty given. Every radiometric age has one; a rate without it cannot be defended. ",""))</f>
        <v/>
      </c>
      <c r="J74" s="18">
        <f>IF($E74="",0,IF(OR(LEFT($E74,6)="Pb-210",LEFT($E74,6)="Cs-137"),1,0))</f>
        <v/>
      </c>
      <c r="K74" s="18">
        <f>IF(OR($A74="",NOT(ISNUMBER($B74))),"",SUMPRODUCT(MAX(('4. Chronology'!$A$5:$A$204=$A74)*('4. Chronology'!$B$5:$B$204&lt;$B74)*'4. Chronology'!$B$5:$B$204)))</f>
        <v/>
      </c>
    </row>
    <row r="75">
      <c r="A75" s="14" t="n"/>
      <c r="B75" s="14" t="n"/>
      <c r="C75" s="14" t="n"/>
      <c r="D75" s="14" t="n"/>
      <c r="E75" s="14" t="n"/>
      <c r="F75" s="18">
        <f>IF(OR($A75="",NOT(ISNUMBER($B75))),"",SUMIFS('3. Peat Data'!$P$5:$P$604,'3. Peat Data'!$B$5:$B$604,$A75,'3. Peat Data'!$F$5:$F$604,"&lt;="&amp;$B75)+SUMPRODUCT(('3. Peat Data'!$B$5:$B$604=$A75)*('3. Peat Data'!$E$5:$E$604&lt;$B75)*('3. Peat Data'!$F$5:$F$604&gt;$B75)*'3. Peat Data'!$R$5:$R$604*($B75-'3. Peat Data'!$E$5:$E$604)))</f>
        <v/>
      </c>
      <c r="G75" s="18">
        <f>IF(OR($A75="",NOT(ISNUMBER($B75)),NOT(ISNUMBER($C75))),"",IFERROR(($B75-$K75)/($C75-IF($K75=0,0,SUMIFS('4. Chronology'!$C$5:$C$204,'4. Chronology'!$A$5:$A$204,$A75,'4. Chronology'!$B$5:$B$204,$K75))),""))</f>
        <v/>
      </c>
      <c r="H75" s="18">
        <f>IF(OR($A75="",NOT(ISNUMBER($F75)),NOT(ISNUMBER($C75))),"",IFERROR((($F75-IF($K75=0,0,SUMIFS('4. Chronology'!$F$5:$F$204,'4. Chronology'!$A$5:$A$204,$A75,'4. Chronology'!$B$5:$B$204,$K75)))*1000)/($C75-IF($K75=0,0,SUMIFS('4. Chronology'!$C$5:$C$204,'4. Chronology'!$A$5:$A$204,$A75,'4. Chronology'!$B$5:$B$204,$K75))),""))</f>
        <v/>
      </c>
      <c r="I75" s="18">
        <f>IF($A75="","",IF(COUNTIF('2. Core Log'!$A$5:$A$124,$A75)=0,"Core ID not in Core Log. ","")&amp;IF($E75="","No date source given — RERCA and LORCA need to know which method produced this age. ","")&amp;IF(AND(ISNUMBER($C75),$C75&lt;0),"Negative age: this horizon post-dates the coring year. Check the conversion. ","")&amp;IF(AND(ISNUMBER($G75),$G75&lt;0),"Age reversal — this horizon is younger than one above it. A mixed or disturbed profile may not be datable at all. ","")&amp;IF(AND(ISNUMBER($D75),ISNUMBER($C75),$C75&gt;0,$D75/$C75&gt;0.5),"Age uncertainty exceeds 50% of the age. Usable as an indication only. ","")&amp;IF(AND($D75="",$C75&lt;&gt;""),"No uncertainty given. Every radiometric age has one; a rate without it cannot be defended. ",""))</f>
        <v/>
      </c>
      <c r="J75" s="18">
        <f>IF($E75="",0,IF(OR(LEFT($E75,6)="Pb-210",LEFT($E75,6)="Cs-137"),1,0))</f>
        <v/>
      </c>
      <c r="K75" s="18">
        <f>IF(OR($A75="",NOT(ISNUMBER($B75))),"",SUMPRODUCT(MAX(('4. Chronology'!$A$5:$A$204=$A75)*('4. Chronology'!$B$5:$B$204&lt;$B75)*'4. Chronology'!$B$5:$B$204)))</f>
        <v/>
      </c>
    </row>
    <row r="76">
      <c r="A76" s="14" t="n"/>
      <c r="B76" s="14" t="n"/>
      <c r="C76" s="14" t="n"/>
      <c r="D76" s="14" t="n"/>
      <c r="E76" s="14" t="n"/>
      <c r="F76" s="18">
        <f>IF(OR($A76="",NOT(ISNUMBER($B76))),"",SUMIFS('3. Peat Data'!$P$5:$P$604,'3. Peat Data'!$B$5:$B$604,$A76,'3. Peat Data'!$F$5:$F$604,"&lt;="&amp;$B76)+SUMPRODUCT(('3. Peat Data'!$B$5:$B$604=$A76)*('3. Peat Data'!$E$5:$E$604&lt;$B76)*('3. Peat Data'!$F$5:$F$604&gt;$B76)*'3. Peat Data'!$R$5:$R$604*($B76-'3. Peat Data'!$E$5:$E$604)))</f>
        <v/>
      </c>
      <c r="G76" s="18">
        <f>IF(OR($A76="",NOT(ISNUMBER($B76)),NOT(ISNUMBER($C76))),"",IFERROR(($B76-$K76)/($C76-IF($K76=0,0,SUMIFS('4. Chronology'!$C$5:$C$204,'4. Chronology'!$A$5:$A$204,$A76,'4. Chronology'!$B$5:$B$204,$K76))),""))</f>
        <v/>
      </c>
      <c r="H76" s="18">
        <f>IF(OR($A76="",NOT(ISNUMBER($F76)),NOT(ISNUMBER($C76))),"",IFERROR((($F76-IF($K76=0,0,SUMIFS('4. Chronology'!$F$5:$F$204,'4. Chronology'!$A$5:$A$204,$A76,'4. Chronology'!$B$5:$B$204,$K76)))*1000)/($C76-IF($K76=0,0,SUMIFS('4. Chronology'!$C$5:$C$204,'4. Chronology'!$A$5:$A$204,$A76,'4. Chronology'!$B$5:$B$204,$K76))),""))</f>
        <v/>
      </c>
      <c r="I76" s="18">
        <f>IF($A76="","",IF(COUNTIF('2. Core Log'!$A$5:$A$124,$A76)=0,"Core ID not in Core Log. ","")&amp;IF($E76="","No date source given — RERCA and LORCA need to know which method produced this age. ","")&amp;IF(AND(ISNUMBER($C76),$C76&lt;0),"Negative age: this horizon post-dates the coring year. Check the conversion. ","")&amp;IF(AND(ISNUMBER($G76),$G76&lt;0),"Age reversal — this horizon is younger than one above it. A mixed or disturbed profile may not be datable at all. ","")&amp;IF(AND(ISNUMBER($D76),ISNUMBER($C76),$C76&gt;0,$D76/$C76&gt;0.5),"Age uncertainty exceeds 50% of the age. Usable as an indication only. ","")&amp;IF(AND($D76="",$C76&lt;&gt;""),"No uncertainty given. Every radiometric age has one; a rate without it cannot be defended. ",""))</f>
        <v/>
      </c>
      <c r="J76" s="18">
        <f>IF($E76="",0,IF(OR(LEFT($E76,6)="Pb-210",LEFT($E76,6)="Cs-137"),1,0))</f>
        <v/>
      </c>
      <c r="K76" s="18">
        <f>IF(OR($A76="",NOT(ISNUMBER($B76))),"",SUMPRODUCT(MAX(('4. Chronology'!$A$5:$A$204=$A76)*('4. Chronology'!$B$5:$B$204&lt;$B76)*'4. Chronology'!$B$5:$B$204)))</f>
        <v/>
      </c>
    </row>
    <row r="77">
      <c r="A77" s="14" t="n"/>
      <c r="B77" s="14" t="n"/>
      <c r="C77" s="14" t="n"/>
      <c r="D77" s="14" t="n"/>
      <c r="E77" s="14" t="n"/>
      <c r="F77" s="18">
        <f>IF(OR($A77="",NOT(ISNUMBER($B77))),"",SUMIFS('3. Peat Data'!$P$5:$P$604,'3. Peat Data'!$B$5:$B$604,$A77,'3. Peat Data'!$F$5:$F$604,"&lt;="&amp;$B77)+SUMPRODUCT(('3. Peat Data'!$B$5:$B$604=$A77)*('3. Peat Data'!$E$5:$E$604&lt;$B77)*('3. Peat Data'!$F$5:$F$604&gt;$B77)*'3. Peat Data'!$R$5:$R$604*($B77-'3. Peat Data'!$E$5:$E$604)))</f>
        <v/>
      </c>
      <c r="G77" s="18">
        <f>IF(OR($A77="",NOT(ISNUMBER($B77)),NOT(ISNUMBER($C77))),"",IFERROR(($B77-$K77)/($C77-IF($K77=0,0,SUMIFS('4. Chronology'!$C$5:$C$204,'4. Chronology'!$A$5:$A$204,$A77,'4. Chronology'!$B$5:$B$204,$K77))),""))</f>
        <v/>
      </c>
      <c r="H77" s="18">
        <f>IF(OR($A77="",NOT(ISNUMBER($F77)),NOT(ISNUMBER($C77))),"",IFERROR((($F77-IF($K77=0,0,SUMIFS('4. Chronology'!$F$5:$F$204,'4. Chronology'!$A$5:$A$204,$A77,'4. Chronology'!$B$5:$B$204,$K77)))*1000)/($C77-IF($K77=0,0,SUMIFS('4. Chronology'!$C$5:$C$204,'4. Chronology'!$A$5:$A$204,$A77,'4. Chronology'!$B$5:$B$204,$K77))),""))</f>
        <v/>
      </c>
      <c r="I77" s="18">
        <f>IF($A77="","",IF(COUNTIF('2. Core Log'!$A$5:$A$124,$A77)=0,"Core ID not in Core Log. ","")&amp;IF($E77="","No date source given — RERCA and LORCA need to know which method produced this age. ","")&amp;IF(AND(ISNUMBER($C77),$C77&lt;0),"Negative age: this horizon post-dates the coring year. Check the conversion. ","")&amp;IF(AND(ISNUMBER($G77),$G77&lt;0),"Age reversal — this horizon is younger than one above it. A mixed or disturbed profile may not be datable at all. ","")&amp;IF(AND(ISNUMBER($D77),ISNUMBER($C77),$C77&gt;0,$D77/$C77&gt;0.5),"Age uncertainty exceeds 50% of the age. Usable as an indication only. ","")&amp;IF(AND($D77="",$C77&lt;&gt;""),"No uncertainty given. Every radiometric age has one; a rate without it cannot be defended. ",""))</f>
        <v/>
      </c>
      <c r="J77" s="18">
        <f>IF($E77="",0,IF(OR(LEFT($E77,6)="Pb-210",LEFT($E77,6)="Cs-137"),1,0))</f>
        <v/>
      </c>
      <c r="K77" s="18">
        <f>IF(OR($A77="",NOT(ISNUMBER($B77))),"",SUMPRODUCT(MAX(('4. Chronology'!$A$5:$A$204=$A77)*('4. Chronology'!$B$5:$B$204&lt;$B77)*'4. Chronology'!$B$5:$B$204)))</f>
        <v/>
      </c>
    </row>
    <row r="78">
      <c r="A78" s="14" t="n"/>
      <c r="B78" s="14" t="n"/>
      <c r="C78" s="14" t="n"/>
      <c r="D78" s="14" t="n"/>
      <c r="E78" s="14" t="n"/>
      <c r="F78" s="18">
        <f>IF(OR($A78="",NOT(ISNUMBER($B78))),"",SUMIFS('3. Peat Data'!$P$5:$P$604,'3. Peat Data'!$B$5:$B$604,$A78,'3. Peat Data'!$F$5:$F$604,"&lt;="&amp;$B78)+SUMPRODUCT(('3. Peat Data'!$B$5:$B$604=$A78)*('3. Peat Data'!$E$5:$E$604&lt;$B78)*('3. Peat Data'!$F$5:$F$604&gt;$B78)*'3. Peat Data'!$R$5:$R$604*($B78-'3. Peat Data'!$E$5:$E$604)))</f>
        <v/>
      </c>
      <c r="G78" s="18">
        <f>IF(OR($A78="",NOT(ISNUMBER($B78)),NOT(ISNUMBER($C78))),"",IFERROR(($B78-$K78)/($C78-IF($K78=0,0,SUMIFS('4. Chronology'!$C$5:$C$204,'4. Chronology'!$A$5:$A$204,$A78,'4. Chronology'!$B$5:$B$204,$K78))),""))</f>
        <v/>
      </c>
      <c r="H78" s="18">
        <f>IF(OR($A78="",NOT(ISNUMBER($F78)),NOT(ISNUMBER($C78))),"",IFERROR((($F78-IF($K78=0,0,SUMIFS('4. Chronology'!$F$5:$F$204,'4. Chronology'!$A$5:$A$204,$A78,'4. Chronology'!$B$5:$B$204,$K78)))*1000)/($C78-IF($K78=0,0,SUMIFS('4. Chronology'!$C$5:$C$204,'4. Chronology'!$A$5:$A$204,$A78,'4. Chronology'!$B$5:$B$204,$K78))),""))</f>
        <v/>
      </c>
      <c r="I78" s="18">
        <f>IF($A78="","",IF(COUNTIF('2. Core Log'!$A$5:$A$124,$A78)=0,"Core ID not in Core Log. ","")&amp;IF($E78="","No date source given — RERCA and LORCA need to know which method produced this age. ","")&amp;IF(AND(ISNUMBER($C78),$C78&lt;0),"Negative age: this horizon post-dates the coring year. Check the conversion. ","")&amp;IF(AND(ISNUMBER($G78),$G78&lt;0),"Age reversal — this horizon is younger than one above it. A mixed or disturbed profile may not be datable at all. ","")&amp;IF(AND(ISNUMBER($D78),ISNUMBER($C78),$C78&gt;0,$D78/$C78&gt;0.5),"Age uncertainty exceeds 50% of the age. Usable as an indication only. ","")&amp;IF(AND($D78="",$C78&lt;&gt;""),"No uncertainty given. Every radiometric age has one; a rate without it cannot be defended. ",""))</f>
        <v/>
      </c>
      <c r="J78" s="18">
        <f>IF($E78="",0,IF(OR(LEFT($E78,6)="Pb-210",LEFT($E78,6)="Cs-137"),1,0))</f>
        <v/>
      </c>
      <c r="K78" s="18">
        <f>IF(OR($A78="",NOT(ISNUMBER($B78))),"",SUMPRODUCT(MAX(('4. Chronology'!$A$5:$A$204=$A78)*('4. Chronology'!$B$5:$B$204&lt;$B78)*'4. Chronology'!$B$5:$B$204)))</f>
        <v/>
      </c>
    </row>
    <row r="79">
      <c r="A79" s="14" t="n"/>
      <c r="B79" s="14" t="n"/>
      <c r="C79" s="14" t="n"/>
      <c r="D79" s="14" t="n"/>
      <c r="E79" s="14" t="n"/>
      <c r="F79" s="18">
        <f>IF(OR($A79="",NOT(ISNUMBER($B79))),"",SUMIFS('3. Peat Data'!$P$5:$P$604,'3. Peat Data'!$B$5:$B$604,$A79,'3. Peat Data'!$F$5:$F$604,"&lt;="&amp;$B79)+SUMPRODUCT(('3. Peat Data'!$B$5:$B$604=$A79)*('3. Peat Data'!$E$5:$E$604&lt;$B79)*('3. Peat Data'!$F$5:$F$604&gt;$B79)*'3. Peat Data'!$R$5:$R$604*($B79-'3. Peat Data'!$E$5:$E$604)))</f>
        <v/>
      </c>
      <c r="G79" s="18">
        <f>IF(OR($A79="",NOT(ISNUMBER($B79)),NOT(ISNUMBER($C79))),"",IFERROR(($B79-$K79)/($C79-IF($K79=0,0,SUMIFS('4. Chronology'!$C$5:$C$204,'4. Chronology'!$A$5:$A$204,$A79,'4. Chronology'!$B$5:$B$204,$K79))),""))</f>
        <v/>
      </c>
      <c r="H79" s="18">
        <f>IF(OR($A79="",NOT(ISNUMBER($F79)),NOT(ISNUMBER($C79))),"",IFERROR((($F79-IF($K79=0,0,SUMIFS('4. Chronology'!$F$5:$F$204,'4. Chronology'!$A$5:$A$204,$A79,'4. Chronology'!$B$5:$B$204,$K79)))*1000)/($C79-IF($K79=0,0,SUMIFS('4. Chronology'!$C$5:$C$204,'4. Chronology'!$A$5:$A$204,$A79,'4. Chronology'!$B$5:$B$204,$K79))),""))</f>
        <v/>
      </c>
      <c r="I79" s="18">
        <f>IF($A79="","",IF(COUNTIF('2. Core Log'!$A$5:$A$124,$A79)=0,"Core ID not in Core Log. ","")&amp;IF($E79="","No date source given — RERCA and LORCA need to know which method produced this age. ","")&amp;IF(AND(ISNUMBER($C79),$C79&lt;0),"Negative age: this horizon post-dates the coring year. Check the conversion. ","")&amp;IF(AND(ISNUMBER($G79),$G79&lt;0),"Age reversal — this horizon is younger than one above it. A mixed or disturbed profile may not be datable at all. ","")&amp;IF(AND(ISNUMBER($D79),ISNUMBER($C79),$C79&gt;0,$D79/$C79&gt;0.5),"Age uncertainty exceeds 50% of the age. Usable as an indication only. ","")&amp;IF(AND($D79="",$C79&lt;&gt;""),"No uncertainty given. Every radiometric age has one; a rate without it cannot be defended. ",""))</f>
        <v/>
      </c>
      <c r="J79" s="18">
        <f>IF($E79="",0,IF(OR(LEFT($E79,6)="Pb-210",LEFT($E79,6)="Cs-137"),1,0))</f>
        <v/>
      </c>
      <c r="K79" s="18">
        <f>IF(OR($A79="",NOT(ISNUMBER($B79))),"",SUMPRODUCT(MAX(('4. Chronology'!$A$5:$A$204=$A79)*('4. Chronology'!$B$5:$B$204&lt;$B79)*'4. Chronology'!$B$5:$B$204)))</f>
        <v/>
      </c>
    </row>
    <row r="80">
      <c r="A80" s="14" t="n"/>
      <c r="B80" s="14" t="n"/>
      <c r="C80" s="14" t="n"/>
      <c r="D80" s="14" t="n"/>
      <c r="E80" s="14" t="n"/>
      <c r="F80" s="18">
        <f>IF(OR($A80="",NOT(ISNUMBER($B80))),"",SUMIFS('3. Peat Data'!$P$5:$P$604,'3. Peat Data'!$B$5:$B$604,$A80,'3. Peat Data'!$F$5:$F$604,"&lt;="&amp;$B80)+SUMPRODUCT(('3. Peat Data'!$B$5:$B$604=$A80)*('3. Peat Data'!$E$5:$E$604&lt;$B80)*('3. Peat Data'!$F$5:$F$604&gt;$B80)*'3. Peat Data'!$R$5:$R$604*($B80-'3. Peat Data'!$E$5:$E$604)))</f>
        <v/>
      </c>
      <c r="G80" s="18">
        <f>IF(OR($A80="",NOT(ISNUMBER($B80)),NOT(ISNUMBER($C80))),"",IFERROR(($B80-$K80)/($C80-IF($K80=0,0,SUMIFS('4. Chronology'!$C$5:$C$204,'4. Chronology'!$A$5:$A$204,$A80,'4. Chronology'!$B$5:$B$204,$K80))),""))</f>
        <v/>
      </c>
      <c r="H80" s="18">
        <f>IF(OR($A80="",NOT(ISNUMBER($F80)),NOT(ISNUMBER($C80))),"",IFERROR((($F80-IF($K80=0,0,SUMIFS('4. Chronology'!$F$5:$F$204,'4. Chronology'!$A$5:$A$204,$A80,'4. Chronology'!$B$5:$B$204,$K80)))*1000)/($C80-IF($K80=0,0,SUMIFS('4. Chronology'!$C$5:$C$204,'4. Chronology'!$A$5:$A$204,$A80,'4. Chronology'!$B$5:$B$204,$K80))),""))</f>
        <v/>
      </c>
      <c r="I80" s="18">
        <f>IF($A80="","",IF(COUNTIF('2. Core Log'!$A$5:$A$124,$A80)=0,"Core ID not in Core Log. ","")&amp;IF($E80="","No date source given — RERCA and LORCA need to know which method produced this age. ","")&amp;IF(AND(ISNUMBER($C80),$C80&lt;0),"Negative age: this horizon post-dates the coring year. Check the conversion. ","")&amp;IF(AND(ISNUMBER($G80),$G80&lt;0),"Age reversal — this horizon is younger than one above it. A mixed or disturbed profile may not be datable at all. ","")&amp;IF(AND(ISNUMBER($D80),ISNUMBER($C80),$C80&gt;0,$D80/$C80&gt;0.5),"Age uncertainty exceeds 50% of the age. Usable as an indication only. ","")&amp;IF(AND($D80="",$C80&lt;&gt;""),"No uncertainty given. Every radiometric age has one; a rate without it cannot be defended. ",""))</f>
        <v/>
      </c>
      <c r="J80" s="18">
        <f>IF($E80="",0,IF(OR(LEFT($E80,6)="Pb-210",LEFT($E80,6)="Cs-137"),1,0))</f>
        <v/>
      </c>
      <c r="K80" s="18">
        <f>IF(OR($A80="",NOT(ISNUMBER($B80))),"",SUMPRODUCT(MAX(('4. Chronology'!$A$5:$A$204=$A80)*('4. Chronology'!$B$5:$B$204&lt;$B80)*'4. Chronology'!$B$5:$B$204)))</f>
        <v/>
      </c>
    </row>
    <row r="81">
      <c r="A81" s="14" t="n"/>
      <c r="B81" s="14" t="n"/>
      <c r="C81" s="14" t="n"/>
      <c r="D81" s="14" t="n"/>
      <c r="E81" s="14" t="n"/>
      <c r="F81" s="18">
        <f>IF(OR($A81="",NOT(ISNUMBER($B81))),"",SUMIFS('3. Peat Data'!$P$5:$P$604,'3. Peat Data'!$B$5:$B$604,$A81,'3. Peat Data'!$F$5:$F$604,"&lt;="&amp;$B81)+SUMPRODUCT(('3. Peat Data'!$B$5:$B$604=$A81)*('3. Peat Data'!$E$5:$E$604&lt;$B81)*('3. Peat Data'!$F$5:$F$604&gt;$B81)*'3. Peat Data'!$R$5:$R$604*($B81-'3. Peat Data'!$E$5:$E$604)))</f>
        <v/>
      </c>
      <c r="G81" s="18">
        <f>IF(OR($A81="",NOT(ISNUMBER($B81)),NOT(ISNUMBER($C81))),"",IFERROR(($B81-$K81)/($C81-IF($K81=0,0,SUMIFS('4. Chronology'!$C$5:$C$204,'4. Chronology'!$A$5:$A$204,$A81,'4. Chronology'!$B$5:$B$204,$K81))),""))</f>
        <v/>
      </c>
      <c r="H81" s="18">
        <f>IF(OR($A81="",NOT(ISNUMBER($F81)),NOT(ISNUMBER($C81))),"",IFERROR((($F81-IF($K81=0,0,SUMIFS('4. Chronology'!$F$5:$F$204,'4. Chronology'!$A$5:$A$204,$A81,'4. Chronology'!$B$5:$B$204,$K81)))*1000)/($C81-IF($K81=0,0,SUMIFS('4. Chronology'!$C$5:$C$204,'4. Chronology'!$A$5:$A$204,$A81,'4. Chronology'!$B$5:$B$204,$K81))),""))</f>
        <v/>
      </c>
      <c r="I81" s="18">
        <f>IF($A81="","",IF(COUNTIF('2. Core Log'!$A$5:$A$124,$A81)=0,"Core ID not in Core Log. ","")&amp;IF($E81="","No date source given — RERCA and LORCA need to know which method produced this age. ","")&amp;IF(AND(ISNUMBER($C81),$C81&lt;0),"Negative age: this horizon post-dates the coring year. Check the conversion. ","")&amp;IF(AND(ISNUMBER($G81),$G81&lt;0),"Age reversal — this horizon is younger than one above it. A mixed or disturbed profile may not be datable at all. ","")&amp;IF(AND(ISNUMBER($D81),ISNUMBER($C81),$C81&gt;0,$D81/$C81&gt;0.5),"Age uncertainty exceeds 50% of the age. Usable as an indication only. ","")&amp;IF(AND($D81="",$C81&lt;&gt;""),"No uncertainty given. Every radiometric age has one; a rate without it cannot be defended. ",""))</f>
        <v/>
      </c>
      <c r="J81" s="18">
        <f>IF($E81="",0,IF(OR(LEFT($E81,6)="Pb-210",LEFT($E81,6)="Cs-137"),1,0))</f>
        <v/>
      </c>
      <c r="K81" s="18">
        <f>IF(OR($A81="",NOT(ISNUMBER($B81))),"",SUMPRODUCT(MAX(('4. Chronology'!$A$5:$A$204=$A81)*('4. Chronology'!$B$5:$B$204&lt;$B81)*'4. Chronology'!$B$5:$B$204)))</f>
        <v/>
      </c>
    </row>
    <row r="82">
      <c r="A82" s="14" t="n"/>
      <c r="B82" s="14" t="n"/>
      <c r="C82" s="14" t="n"/>
      <c r="D82" s="14" t="n"/>
      <c r="E82" s="14" t="n"/>
      <c r="F82" s="18">
        <f>IF(OR($A82="",NOT(ISNUMBER($B82))),"",SUMIFS('3. Peat Data'!$P$5:$P$604,'3. Peat Data'!$B$5:$B$604,$A82,'3. Peat Data'!$F$5:$F$604,"&lt;="&amp;$B82)+SUMPRODUCT(('3. Peat Data'!$B$5:$B$604=$A82)*('3. Peat Data'!$E$5:$E$604&lt;$B82)*('3. Peat Data'!$F$5:$F$604&gt;$B82)*'3. Peat Data'!$R$5:$R$604*($B82-'3. Peat Data'!$E$5:$E$604)))</f>
        <v/>
      </c>
      <c r="G82" s="18">
        <f>IF(OR($A82="",NOT(ISNUMBER($B82)),NOT(ISNUMBER($C82))),"",IFERROR(($B82-$K82)/($C82-IF($K82=0,0,SUMIFS('4. Chronology'!$C$5:$C$204,'4. Chronology'!$A$5:$A$204,$A82,'4. Chronology'!$B$5:$B$204,$K82))),""))</f>
        <v/>
      </c>
      <c r="H82" s="18">
        <f>IF(OR($A82="",NOT(ISNUMBER($F82)),NOT(ISNUMBER($C82))),"",IFERROR((($F82-IF($K82=0,0,SUMIFS('4. Chronology'!$F$5:$F$204,'4. Chronology'!$A$5:$A$204,$A82,'4. Chronology'!$B$5:$B$204,$K82)))*1000)/($C82-IF($K82=0,0,SUMIFS('4. Chronology'!$C$5:$C$204,'4. Chronology'!$A$5:$A$204,$A82,'4. Chronology'!$B$5:$B$204,$K82))),""))</f>
        <v/>
      </c>
      <c r="I82" s="18">
        <f>IF($A82="","",IF(COUNTIF('2. Core Log'!$A$5:$A$124,$A82)=0,"Core ID not in Core Log. ","")&amp;IF($E82="","No date source given — RERCA and LORCA need to know which method produced this age. ","")&amp;IF(AND(ISNUMBER($C82),$C82&lt;0),"Negative age: this horizon post-dates the coring year. Check the conversion. ","")&amp;IF(AND(ISNUMBER($G82),$G82&lt;0),"Age reversal — this horizon is younger than one above it. A mixed or disturbed profile may not be datable at all. ","")&amp;IF(AND(ISNUMBER($D82),ISNUMBER($C82),$C82&gt;0,$D82/$C82&gt;0.5),"Age uncertainty exceeds 50% of the age. Usable as an indication only. ","")&amp;IF(AND($D82="",$C82&lt;&gt;""),"No uncertainty given. Every radiometric age has one; a rate without it cannot be defended. ",""))</f>
        <v/>
      </c>
      <c r="J82" s="18">
        <f>IF($E82="",0,IF(OR(LEFT($E82,6)="Pb-210",LEFT($E82,6)="Cs-137"),1,0))</f>
        <v/>
      </c>
      <c r="K82" s="18">
        <f>IF(OR($A82="",NOT(ISNUMBER($B82))),"",SUMPRODUCT(MAX(('4. Chronology'!$A$5:$A$204=$A82)*('4. Chronology'!$B$5:$B$204&lt;$B82)*'4. Chronology'!$B$5:$B$204)))</f>
        <v/>
      </c>
    </row>
    <row r="83">
      <c r="A83" s="14" t="n"/>
      <c r="B83" s="14" t="n"/>
      <c r="C83" s="14" t="n"/>
      <c r="D83" s="14" t="n"/>
      <c r="E83" s="14" t="n"/>
      <c r="F83" s="18">
        <f>IF(OR($A83="",NOT(ISNUMBER($B83))),"",SUMIFS('3. Peat Data'!$P$5:$P$604,'3. Peat Data'!$B$5:$B$604,$A83,'3. Peat Data'!$F$5:$F$604,"&lt;="&amp;$B83)+SUMPRODUCT(('3. Peat Data'!$B$5:$B$604=$A83)*('3. Peat Data'!$E$5:$E$604&lt;$B83)*('3. Peat Data'!$F$5:$F$604&gt;$B83)*'3. Peat Data'!$R$5:$R$604*($B83-'3. Peat Data'!$E$5:$E$604)))</f>
        <v/>
      </c>
      <c r="G83" s="18">
        <f>IF(OR($A83="",NOT(ISNUMBER($B83)),NOT(ISNUMBER($C83))),"",IFERROR(($B83-$K83)/($C83-IF($K83=0,0,SUMIFS('4. Chronology'!$C$5:$C$204,'4. Chronology'!$A$5:$A$204,$A83,'4. Chronology'!$B$5:$B$204,$K83))),""))</f>
        <v/>
      </c>
      <c r="H83" s="18">
        <f>IF(OR($A83="",NOT(ISNUMBER($F83)),NOT(ISNUMBER($C83))),"",IFERROR((($F83-IF($K83=0,0,SUMIFS('4. Chronology'!$F$5:$F$204,'4. Chronology'!$A$5:$A$204,$A83,'4. Chronology'!$B$5:$B$204,$K83)))*1000)/($C83-IF($K83=0,0,SUMIFS('4. Chronology'!$C$5:$C$204,'4. Chronology'!$A$5:$A$204,$A83,'4. Chronology'!$B$5:$B$204,$K83))),""))</f>
        <v/>
      </c>
      <c r="I83" s="18">
        <f>IF($A83="","",IF(COUNTIF('2. Core Log'!$A$5:$A$124,$A83)=0,"Core ID not in Core Log. ","")&amp;IF($E83="","No date source given — RERCA and LORCA need to know which method produced this age. ","")&amp;IF(AND(ISNUMBER($C83),$C83&lt;0),"Negative age: this horizon post-dates the coring year. Check the conversion. ","")&amp;IF(AND(ISNUMBER($G83),$G83&lt;0),"Age reversal — this horizon is younger than one above it. A mixed or disturbed profile may not be datable at all. ","")&amp;IF(AND(ISNUMBER($D83),ISNUMBER($C83),$C83&gt;0,$D83/$C83&gt;0.5),"Age uncertainty exceeds 50% of the age. Usable as an indication only. ","")&amp;IF(AND($D83="",$C83&lt;&gt;""),"No uncertainty given. Every radiometric age has one; a rate without it cannot be defended. ",""))</f>
        <v/>
      </c>
      <c r="J83" s="18">
        <f>IF($E83="",0,IF(OR(LEFT($E83,6)="Pb-210",LEFT($E83,6)="Cs-137"),1,0))</f>
        <v/>
      </c>
      <c r="K83" s="18">
        <f>IF(OR($A83="",NOT(ISNUMBER($B83))),"",SUMPRODUCT(MAX(('4. Chronology'!$A$5:$A$204=$A83)*('4. Chronology'!$B$5:$B$204&lt;$B83)*'4. Chronology'!$B$5:$B$204)))</f>
        <v/>
      </c>
    </row>
    <row r="84">
      <c r="A84" s="14" t="n"/>
      <c r="B84" s="14" t="n"/>
      <c r="C84" s="14" t="n"/>
      <c r="D84" s="14" t="n"/>
      <c r="E84" s="14" t="n"/>
      <c r="F84" s="18">
        <f>IF(OR($A84="",NOT(ISNUMBER($B84))),"",SUMIFS('3. Peat Data'!$P$5:$P$604,'3. Peat Data'!$B$5:$B$604,$A84,'3. Peat Data'!$F$5:$F$604,"&lt;="&amp;$B84)+SUMPRODUCT(('3. Peat Data'!$B$5:$B$604=$A84)*('3. Peat Data'!$E$5:$E$604&lt;$B84)*('3. Peat Data'!$F$5:$F$604&gt;$B84)*'3. Peat Data'!$R$5:$R$604*($B84-'3. Peat Data'!$E$5:$E$604)))</f>
        <v/>
      </c>
      <c r="G84" s="18">
        <f>IF(OR($A84="",NOT(ISNUMBER($B84)),NOT(ISNUMBER($C84))),"",IFERROR(($B84-$K84)/($C84-IF($K84=0,0,SUMIFS('4. Chronology'!$C$5:$C$204,'4. Chronology'!$A$5:$A$204,$A84,'4. Chronology'!$B$5:$B$204,$K84))),""))</f>
        <v/>
      </c>
      <c r="H84" s="18">
        <f>IF(OR($A84="",NOT(ISNUMBER($F84)),NOT(ISNUMBER($C84))),"",IFERROR((($F84-IF($K84=0,0,SUMIFS('4. Chronology'!$F$5:$F$204,'4. Chronology'!$A$5:$A$204,$A84,'4. Chronology'!$B$5:$B$204,$K84)))*1000)/($C84-IF($K84=0,0,SUMIFS('4. Chronology'!$C$5:$C$204,'4. Chronology'!$A$5:$A$204,$A84,'4. Chronology'!$B$5:$B$204,$K84))),""))</f>
        <v/>
      </c>
      <c r="I84" s="18">
        <f>IF($A84="","",IF(COUNTIF('2. Core Log'!$A$5:$A$124,$A84)=0,"Core ID not in Core Log. ","")&amp;IF($E84="","No date source given — RERCA and LORCA need to know which method produced this age. ","")&amp;IF(AND(ISNUMBER($C84),$C84&lt;0),"Negative age: this horizon post-dates the coring year. Check the conversion. ","")&amp;IF(AND(ISNUMBER($G84),$G84&lt;0),"Age reversal — this horizon is younger than one above it. A mixed or disturbed profile may not be datable at all. ","")&amp;IF(AND(ISNUMBER($D84),ISNUMBER($C84),$C84&gt;0,$D84/$C84&gt;0.5),"Age uncertainty exceeds 50% of the age. Usable as an indication only. ","")&amp;IF(AND($D84="",$C84&lt;&gt;""),"No uncertainty given. Every radiometric age has one; a rate without it cannot be defended. ",""))</f>
        <v/>
      </c>
      <c r="J84" s="18">
        <f>IF($E84="",0,IF(OR(LEFT($E84,6)="Pb-210",LEFT($E84,6)="Cs-137"),1,0))</f>
        <v/>
      </c>
      <c r="K84" s="18">
        <f>IF(OR($A84="",NOT(ISNUMBER($B84))),"",SUMPRODUCT(MAX(('4. Chronology'!$A$5:$A$204=$A84)*('4. Chronology'!$B$5:$B$204&lt;$B84)*'4. Chronology'!$B$5:$B$204)))</f>
        <v/>
      </c>
    </row>
    <row r="85">
      <c r="A85" s="14" t="n"/>
      <c r="B85" s="14" t="n"/>
      <c r="C85" s="14" t="n"/>
      <c r="D85" s="14" t="n"/>
      <c r="E85" s="14" t="n"/>
      <c r="F85" s="18">
        <f>IF(OR($A85="",NOT(ISNUMBER($B85))),"",SUMIFS('3. Peat Data'!$P$5:$P$604,'3. Peat Data'!$B$5:$B$604,$A85,'3. Peat Data'!$F$5:$F$604,"&lt;="&amp;$B85)+SUMPRODUCT(('3. Peat Data'!$B$5:$B$604=$A85)*('3. Peat Data'!$E$5:$E$604&lt;$B85)*('3. Peat Data'!$F$5:$F$604&gt;$B85)*'3. Peat Data'!$R$5:$R$604*($B85-'3. Peat Data'!$E$5:$E$604)))</f>
        <v/>
      </c>
      <c r="G85" s="18">
        <f>IF(OR($A85="",NOT(ISNUMBER($B85)),NOT(ISNUMBER($C85))),"",IFERROR(($B85-$K85)/($C85-IF($K85=0,0,SUMIFS('4. Chronology'!$C$5:$C$204,'4. Chronology'!$A$5:$A$204,$A85,'4. Chronology'!$B$5:$B$204,$K85))),""))</f>
        <v/>
      </c>
      <c r="H85" s="18">
        <f>IF(OR($A85="",NOT(ISNUMBER($F85)),NOT(ISNUMBER($C85))),"",IFERROR((($F85-IF($K85=0,0,SUMIFS('4. Chronology'!$F$5:$F$204,'4. Chronology'!$A$5:$A$204,$A85,'4. Chronology'!$B$5:$B$204,$K85)))*1000)/($C85-IF($K85=0,0,SUMIFS('4. Chronology'!$C$5:$C$204,'4. Chronology'!$A$5:$A$204,$A85,'4. Chronology'!$B$5:$B$204,$K85))),""))</f>
        <v/>
      </c>
      <c r="I85" s="18">
        <f>IF($A85="","",IF(COUNTIF('2. Core Log'!$A$5:$A$124,$A85)=0,"Core ID not in Core Log. ","")&amp;IF($E85="","No date source given — RERCA and LORCA need to know which method produced this age. ","")&amp;IF(AND(ISNUMBER($C85),$C85&lt;0),"Negative age: this horizon post-dates the coring year. Check the conversion. ","")&amp;IF(AND(ISNUMBER($G85),$G85&lt;0),"Age reversal — this horizon is younger than one above it. A mixed or disturbed profile may not be datable at all. ","")&amp;IF(AND(ISNUMBER($D85),ISNUMBER($C85),$C85&gt;0,$D85/$C85&gt;0.5),"Age uncertainty exceeds 50% of the age. Usable as an indication only. ","")&amp;IF(AND($D85="",$C85&lt;&gt;""),"No uncertainty given. Every radiometric age has one; a rate without it cannot be defended. ",""))</f>
        <v/>
      </c>
      <c r="J85" s="18">
        <f>IF($E85="",0,IF(OR(LEFT($E85,6)="Pb-210",LEFT($E85,6)="Cs-137"),1,0))</f>
        <v/>
      </c>
      <c r="K85" s="18">
        <f>IF(OR($A85="",NOT(ISNUMBER($B85))),"",SUMPRODUCT(MAX(('4. Chronology'!$A$5:$A$204=$A85)*('4. Chronology'!$B$5:$B$204&lt;$B85)*'4. Chronology'!$B$5:$B$204)))</f>
        <v/>
      </c>
    </row>
    <row r="86">
      <c r="A86" s="14" t="n"/>
      <c r="B86" s="14" t="n"/>
      <c r="C86" s="14" t="n"/>
      <c r="D86" s="14" t="n"/>
      <c r="E86" s="14" t="n"/>
      <c r="F86" s="18">
        <f>IF(OR($A86="",NOT(ISNUMBER($B86))),"",SUMIFS('3. Peat Data'!$P$5:$P$604,'3. Peat Data'!$B$5:$B$604,$A86,'3. Peat Data'!$F$5:$F$604,"&lt;="&amp;$B86)+SUMPRODUCT(('3. Peat Data'!$B$5:$B$604=$A86)*('3. Peat Data'!$E$5:$E$604&lt;$B86)*('3. Peat Data'!$F$5:$F$604&gt;$B86)*'3. Peat Data'!$R$5:$R$604*($B86-'3. Peat Data'!$E$5:$E$604)))</f>
        <v/>
      </c>
      <c r="G86" s="18">
        <f>IF(OR($A86="",NOT(ISNUMBER($B86)),NOT(ISNUMBER($C86))),"",IFERROR(($B86-$K86)/($C86-IF($K86=0,0,SUMIFS('4. Chronology'!$C$5:$C$204,'4. Chronology'!$A$5:$A$204,$A86,'4. Chronology'!$B$5:$B$204,$K86))),""))</f>
        <v/>
      </c>
      <c r="H86" s="18">
        <f>IF(OR($A86="",NOT(ISNUMBER($F86)),NOT(ISNUMBER($C86))),"",IFERROR((($F86-IF($K86=0,0,SUMIFS('4. Chronology'!$F$5:$F$204,'4. Chronology'!$A$5:$A$204,$A86,'4. Chronology'!$B$5:$B$204,$K86)))*1000)/($C86-IF($K86=0,0,SUMIFS('4. Chronology'!$C$5:$C$204,'4. Chronology'!$A$5:$A$204,$A86,'4. Chronology'!$B$5:$B$204,$K86))),""))</f>
        <v/>
      </c>
      <c r="I86" s="18">
        <f>IF($A86="","",IF(COUNTIF('2. Core Log'!$A$5:$A$124,$A86)=0,"Core ID not in Core Log. ","")&amp;IF($E86="","No date source given — RERCA and LORCA need to know which method produced this age. ","")&amp;IF(AND(ISNUMBER($C86),$C86&lt;0),"Negative age: this horizon post-dates the coring year. Check the conversion. ","")&amp;IF(AND(ISNUMBER($G86),$G86&lt;0),"Age reversal — this horizon is younger than one above it. A mixed or disturbed profile may not be datable at all. ","")&amp;IF(AND(ISNUMBER($D86),ISNUMBER($C86),$C86&gt;0,$D86/$C86&gt;0.5),"Age uncertainty exceeds 50% of the age. Usable as an indication only. ","")&amp;IF(AND($D86="",$C86&lt;&gt;""),"No uncertainty given. Every radiometric age has one; a rate without it cannot be defended. ",""))</f>
        <v/>
      </c>
      <c r="J86" s="18">
        <f>IF($E86="",0,IF(OR(LEFT($E86,6)="Pb-210",LEFT($E86,6)="Cs-137"),1,0))</f>
        <v/>
      </c>
      <c r="K86" s="18">
        <f>IF(OR($A86="",NOT(ISNUMBER($B86))),"",SUMPRODUCT(MAX(('4. Chronology'!$A$5:$A$204=$A86)*('4. Chronology'!$B$5:$B$204&lt;$B86)*'4. Chronology'!$B$5:$B$204)))</f>
        <v/>
      </c>
    </row>
    <row r="87">
      <c r="A87" s="14" t="n"/>
      <c r="B87" s="14" t="n"/>
      <c r="C87" s="14" t="n"/>
      <c r="D87" s="14" t="n"/>
      <c r="E87" s="14" t="n"/>
      <c r="F87" s="18">
        <f>IF(OR($A87="",NOT(ISNUMBER($B87))),"",SUMIFS('3. Peat Data'!$P$5:$P$604,'3. Peat Data'!$B$5:$B$604,$A87,'3. Peat Data'!$F$5:$F$604,"&lt;="&amp;$B87)+SUMPRODUCT(('3. Peat Data'!$B$5:$B$604=$A87)*('3. Peat Data'!$E$5:$E$604&lt;$B87)*('3. Peat Data'!$F$5:$F$604&gt;$B87)*'3. Peat Data'!$R$5:$R$604*($B87-'3. Peat Data'!$E$5:$E$604)))</f>
        <v/>
      </c>
      <c r="G87" s="18">
        <f>IF(OR($A87="",NOT(ISNUMBER($B87)),NOT(ISNUMBER($C87))),"",IFERROR(($B87-$K87)/($C87-IF($K87=0,0,SUMIFS('4. Chronology'!$C$5:$C$204,'4. Chronology'!$A$5:$A$204,$A87,'4. Chronology'!$B$5:$B$204,$K87))),""))</f>
        <v/>
      </c>
      <c r="H87" s="18">
        <f>IF(OR($A87="",NOT(ISNUMBER($F87)),NOT(ISNUMBER($C87))),"",IFERROR((($F87-IF($K87=0,0,SUMIFS('4. Chronology'!$F$5:$F$204,'4. Chronology'!$A$5:$A$204,$A87,'4. Chronology'!$B$5:$B$204,$K87)))*1000)/($C87-IF($K87=0,0,SUMIFS('4. Chronology'!$C$5:$C$204,'4. Chronology'!$A$5:$A$204,$A87,'4. Chronology'!$B$5:$B$204,$K87))),""))</f>
        <v/>
      </c>
      <c r="I87" s="18">
        <f>IF($A87="","",IF(COUNTIF('2. Core Log'!$A$5:$A$124,$A87)=0,"Core ID not in Core Log. ","")&amp;IF($E87="","No date source given — RERCA and LORCA need to know which method produced this age. ","")&amp;IF(AND(ISNUMBER($C87),$C87&lt;0),"Negative age: this horizon post-dates the coring year. Check the conversion. ","")&amp;IF(AND(ISNUMBER($G87),$G87&lt;0),"Age reversal — this horizon is younger than one above it. A mixed or disturbed profile may not be datable at all. ","")&amp;IF(AND(ISNUMBER($D87),ISNUMBER($C87),$C87&gt;0,$D87/$C87&gt;0.5),"Age uncertainty exceeds 50% of the age. Usable as an indication only. ","")&amp;IF(AND($D87="",$C87&lt;&gt;""),"No uncertainty given. Every radiometric age has one; a rate without it cannot be defended. ",""))</f>
        <v/>
      </c>
      <c r="J87" s="18">
        <f>IF($E87="",0,IF(OR(LEFT($E87,6)="Pb-210",LEFT($E87,6)="Cs-137"),1,0))</f>
        <v/>
      </c>
      <c r="K87" s="18">
        <f>IF(OR($A87="",NOT(ISNUMBER($B87))),"",SUMPRODUCT(MAX(('4. Chronology'!$A$5:$A$204=$A87)*('4. Chronology'!$B$5:$B$204&lt;$B87)*'4. Chronology'!$B$5:$B$204)))</f>
        <v/>
      </c>
    </row>
    <row r="88">
      <c r="A88" s="14" t="n"/>
      <c r="B88" s="14" t="n"/>
      <c r="C88" s="14" t="n"/>
      <c r="D88" s="14" t="n"/>
      <c r="E88" s="14" t="n"/>
      <c r="F88" s="18">
        <f>IF(OR($A88="",NOT(ISNUMBER($B88))),"",SUMIFS('3. Peat Data'!$P$5:$P$604,'3. Peat Data'!$B$5:$B$604,$A88,'3. Peat Data'!$F$5:$F$604,"&lt;="&amp;$B88)+SUMPRODUCT(('3. Peat Data'!$B$5:$B$604=$A88)*('3. Peat Data'!$E$5:$E$604&lt;$B88)*('3. Peat Data'!$F$5:$F$604&gt;$B88)*'3. Peat Data'!$R$5:$R$604*($B88-'3. Peat Data'!$E$5:$E$604)))</f>
        <v/>
      </c>
      <c r="G88" s="18">
        <f>IF(OR($A88="",NOT(ISNUMBER($B88)),NOT(ISNUMBER($C88))),"",IFERROR(($B88-$K88)/($C88-IF($K88=0,0,SUMIFS('4. Chronology'!$C$5:$C$204,'4. Chronology'!$A$5:$A$204,$A88,'4. Chronology'!$B$5:$B$204,$K88))),""))</f>
        <v/>
      </c>
      <c r="H88" s="18">
        <f>IF(OR($A88="",NOT(ISNUMBER($F88)),NOT(ISNUMBER($C88))),"",IFERROR((($F88-IF($K88=0,0,SUMIFS('4. Chronology'!$F$5:$F$204,'4. Chronology'!$A$5:$A$204,$A88,'4. Chronology'!$B$5:$B$204,$K88)))*1000)/($C88-IF($K88=0,0,SUMIFS('4. Chronology'!$C$5:$C$204,'4. Chronology'!$A$5:$A$204,$A88,'4. Chronology'!$B$5:$B$204,$K88))),""))</f>
        <v/>
      </c>
      <c r="I88" s="18">
        <f>IF($A88="","",IF(COUNTIF('2. Core Log'!$A$5:$A$124,$A88)=0,"Core ID not in Core Log. ","")&amp;IF($E88="","No date source given — RERCA and LORCA need to know which method produced this age. ","")&amp;IF(AND(ISNUMBER($C88),$C88&lt;0),"Negative age: this horizon post-dates the coring year. Check the conversion. ","")&amp;IF(AND(ISNUMBER($G88),$G88&lt;0),"Age reversal — this horizon is younger than one above it. A mixed or disturbed profile may not be datable at all. ","")&amp;IF(AND(ISNUMBER($D88),ISNUMBER($C88),$C88&gt;0,$D88/$C88&gt;0.5),"Age uncertainty exceeds 50% of the age. Usable as an indication only. ","")&amp;IF(AND($D88="",$C88&lt;&gt;""),"No uncertainty given. Every radiometric age has one; a rate without it cannot be defended. ",""))</f>
        <v/>
      </c>
      <c r="J88" s="18">
        <f>IF($E88="",0,IF(OR(LEFT($E88,6)="Pb-210",LEFT($E88,6)="Cs-137"),1,0))</f>
        <v/>
      </c>
      <c r="K88" s="18">
        <f>IF(OR($A88="",NOT(ISNUMBER($B88))),"",SUMPRODUCT(MAX(('4. Chronology'!$A$5:$A$204=$A88)*('4. Chronology'!$B$5:$B$204&lt;$B88)*'4. Chronology'!$B$5:$B$204)))</f>
        <v/>
      </c>
    </row>
    <row r="89">
      <c r="A89" s="14" t="n"/>
      <c r="B89" s="14" t="n"/>
      <c r="C89" s="14" t="n"/>
      <c r="D89" s="14" t="n"/>
      <c r="E89" s="14" t="n"/>
      <c r="F89" s="18">
        <f>IF(OR($A89="",NOT(ISNUMBER($B89))),"",SUMIFS('3. Peat Data'!$P$5:$P$604,'3. Peat Data'!$B$5:$B$604,$A89,'3. Peat Data'!$F$5:$F$604,"&lt;="&amp;$B89)+SUMPRODUCT(('3. Peat Data'!$B$5:$B$604=$A89)*('3. Peat Data'!$E$5:$E$604&lt;$B89)*('3. Peat Data'!$F$5:$F$604&gt;$B89)*'3. Peat Data'!$R$5:$R$604*($B89-'3. Peat Data'!$E$5:$E$604)))</f>
        <v/>
      </c>
      <c r="G89" s="18">
        <f>IF(OR($A89="",NOT(ISNUMBER($B89)),NOT(ISNUMBER($C89))),"",IFERROR(($B89-$K89)/($C89-IF($K89=0,0,SUMIFS('4. Chronology'!$C$5:$C$204,'4. Chronology'!$A$5:$A$204,$A89,'4. Chronology'!$B$5:$B$204,$K89))),""))</f>
        <v/>
      </c>
      <c r="H89" s="18">
        <f>IF(OR($A89="",NOT(ISNUMBER($F89)),NOT(ISNUMBER($C89))),"",IFERROR((($F89-IF($K89=0,0,SUMIFS('4. Chronology'!$F$5:$F$204,'4. Chronology'!$A$5:$A$204,$A89,'4. Chronology'!$B$5:$B$204,$K89)))*1000)/($C89-IF($K89=0,0,SUMIFS('4. Chronology'!$C$5:$C$204,'4. Chronology'!$A$5:$A$204,$A89,'4. Chronology'!$B$5:$B$204,$K89))),""))</f>
        <v/>
      </c>
      <c r="I89" s="18">
        <f>IF($A89="","",IF(COUNTIF('2. Core Log'!$A$5:$A$124,$A89)=0,"Core ID not in Core Log. ","")&amp;IF($E89="","No date source given — RERCA and LORCA need to know which method produced this age. ","")&amp;IF(AND(ISNUMBER($C89),$C89&lt;0),"Negative age: this horizon post-dates the coring year. Check the conversion. ","")&amp;IF(AND(ISNUMBER($G89),$G89&lt;0),"Age reversal — this horizon is younger than one above it. A mixed or disturbed profile may not be datable at all. ","")&amp;IF(AND(ISNUMBER($D89),ISNUMBER($C89),$C89&gt;0,$D89/$C89&gt;0.5),"Age uncertainty exceeds 50% of the age. Usable as an indication only. ","")&amp;IF(AND($D89="",$C89&lt;&gt;""),"No uncertainty given. Every radiometric age has one; a rate without it cannot be defended. ",""))</f>
        <v/>
      </c>
      <c r="J89" s="18">
        <f>IF($E89="",0,IF(OR(LEFT($E89,6)="Pb-210",LEFT($E89,6)="Cs-137"),1,0))</f>
        <v/>
      </c>
      <c r="K89" s="18">
        <f>IF(OR($A89="",NOT(ISNUMBER($B89))),"",SUMPRODUCT(MAX(('4. Chronology'!$A$5:$A$204=$A89)*('4. Chronology'!$B$5:$B$204&lt;$B89)*'4. Chronology'!$B$5:$B$204)))</f>
        <v/>
      </c>
    </row>
    <row r="90">
      <c r="A90" s="14" t="n"/>
      <c r="B90" s="14" t="n"/>
      <c r="C90" s="14" t="n"/>
      <c r="D90" s="14" t="n"/>
      <c r="E90" s="14" t="n"/>
      <c r="F90" s="18">
        <f>IF(OR($A90="",NOT(ISNUMBER($B90))),"",SUMIFS('3. Peat Data'!$P$5:$P$604,'3. Peat Data'!$B$5:$B$604,$A90,'3. Peat Data'!$F$5:$F$604,"&lt;="&amp;$B90)+SUMPRODUCT(('3. Peat Data'!$B$5:$B$604=$A90)*('3. Peat Data'!$E$5:$E$604&lt;$B90)*('3. Peat Data'!$F$5:$F$604&gt;$B90)*'3. Peat Data'!$R$5:$R$604*($B90-'3. Peat Data'!$E$5:$E$604)))</f>
        <v/>
      </c>
      <c r="G90" s="18">
        <f>IF(OR($A90="",NOT(ISNUMBER($B90)),NOT(ISNUMBER($C90))),"",IFERROR(($B90-$K90)/($C90-IF($K90=0,0,SUMIFS('4. Chronology'!$C$5:$C$204,'4. Chronology'!$A$5:$A$204,$A90,'4. Chronology'!$B$5:$B$204,$K90))),""))</f>
        <v/>
      </c>
      <c r="H90" s="18">
        <f>IF(OR($A90="",NOT(ISNUMBER($F90)),NOT(ISNUMBER($C90))),"",IFERROR((($F90-IF($K90=0,0,SUMIFS('4. Chronology'!$F$5:$F$204,'4. Chronology'!$A$5:$A$204,$A90,'4. Chronology'!$B$5:$B$204,$K90)))*1000)/($C90-IF($K90=0,0,SUMIFS('4. Chronology'!$C$5:$C$204,'4. Chronology'!$A$5:$A$204,$A90,'4. Chronology'!$B$5:$B$204,$K90))),""))</f>
        <v/>
      </c>
      <c r="I90" s="18">
        <f>IF($A90="","",IF(COUNTIF('2. Core Log'!$A$5:$A$124,$A90)=0,"Core ID not in Core Log. ","")&amp;IF($E90="","No date source given — RERCA and LORCA need to know which method produced this age. ","")&amp;IF(AND(ISNUMBER($C90),$C90&lt;0),"Negative age: this horizon post-dates the coring year. Check the conversion. ","")&amp;IF(AND(ISNUMBER($G90),$G90&lt;0),"Age reversal — this horizon is younger than one above it. A mixed or disturbed profile may not be datable at all. ","")&amp;IF(AND(ISNUMBER($D90),ISNUMBER($C90),$C90&gt;0,$D90/$C90&gt;0.5),"Age uncertainty exceeds 50% of the age. Usable as an indication only. ","")&amp;IF(AND($D90="",$C90&lt;&gt;""),"No uncertainty given. Every radiometric age has one; a rate without it cannot be defended. ",""))</f>
        <v/>
      </c>
      <c r="J90" s="18">
        <f>IF($E90="",0,IF(OR(LEFT($E90,6)="Pb-210",LEFT($E90,6)="Cs-137"),1,0))</f>
        <v/>
      </c>
      <c r="K90" s="18">
        <f>IF(OR($A90="",NOT(ISNUMBER($B90))),"",SUMPRODUCT(MAX(('4. Chronology'!$A$5:$A$204=$A90)*('4. Chronology'!$B$5:$B$204&lt;$B90)*'4. Chronology'!$B$5:$B$204)))</f>
        <v/>
      </c>
    </row>
    <row r="91">
      <c r="A91" s="14" t="n"/>
      <c r="B91" s="14" t="n"/>
      <c r="C91" s="14" t="n"/>
      <c r="D91" s="14" t="n"/>
      <c r="E91" s="14" t="n"/>
      <c r="F91" s="18">
        <f>IF(OR($A91="",NOT(ISNUMBER($B91))),"",SUMIFS('3. Peat Data'!$P$5:$P$604,'3. Peat Data'!$B$5:$B$604,$A91,'3. Peat Data'!$F$5:$F$604,"&lt;="&amp;$B91)+SUMPRODUCT(('3. Peat Data'!$B$5:$B$604=$A91)*('3. Peat Data'!$E$5:$E$604&lt;$B91)*('3. Peat Data'!$F$5:$F$604&gt;$B91)*'3. Peat Data'!$R$5:$R$604*($B91-'3. Peat Data'!$E$5:$E$604)))</f>
        <v/>
      </c>
      <c r="G91" s="18">
        <f>IF(OR($A91="",NOT(ISNUMBER($B91)),NOT(ISNUMBER($C91))),"",IFERROR(($B91-$K91)/($C91-IF($K91=0,0,SUMIFS('4. Chronology'!$C$5:$C$204,'4. Chronology'!$A$5:$A$204,$A91,'4. Chronology'!$B$5:$B$204,$K91))),""))</f>
        <v/>
      </c>
      <c r="H91" s="18">
        <f>IF(OR($A91="",NOT(ISNUMBER($F91)),NOT(ISNUMBER($C91))),"",IFERROR((($F91-IF($K91=0,0,SUMIFS('4. Chronology'!$F$5:$F$204,'4. Chronology'!$A$5:$A$204,$A91,'4. Chronology'!$B$5:$B$204,$K91)))*1000)/($C91-IF($K91=0,0,SUMIFS('4. Chronology'!$C$5:$C$204,'4. Chronology'!$A$5:$A$204,$A91,'4. Chronology'!$B$5:$B$204,$K91))),""))</f>
        <v/>
      </c>
      <c r="I91" s="18">
        <f>IF($A91="","",IF(COUNTIF('2. Core Log'!$A$5:$A$124,$A91)=0,"Core ID not in Core Log. ","")&amp;IF($E91="","No date source given — RERCA and LORCA need to know which method produced this age. ","")&amp;IF(AND(ISNUMBER($C91),$C91&lt;0),"Negative age: this horizon post-dates the coring year. Check the conversion. ","")&amp;IF(AND(ISNUMBER($G91),$G91&lt;0),"Age reversal — this horizon is younger than one above it. A mixed or disturbed profile may not be datable at all. ","")&amp;IF(AND(ISNUMBER($D91),ISNUMBER($C91),$C91&gt;0,$D91/$C91&gt;0.5),"Age uncertainty exceeds 50% of the age. Usable as an indication only. ","")&amp;IF(AND($D91="",$C91&lt;&gt;""),"No uncertainty given. Every radiometric age has one; a rate without it cannot be defended. ",""))</f>
        <v/>
      </c>
      <c r="J91" s="18">
        <f>IF($E91="",0,IF(OR(LEFT($E91,6)="Pb-210",LEFT($E91,6)="Cs-137"),1,0))</f>
        <v/>
      </c>
      <c r="K91" s="18">
        <f>IF(OR($A91="",NOT(ISNUMBER($B91))),"",SUMPRODUCT(MAX(('4. Chronology'!$A$5:$A$204=$A91)*('4. Chronology'!$B$5:$B$204&lt;$B91)*'4. Chronology'!$B$5:$B$204)))</f>
        <v/>
      </c>
    </row>
    <row r="92">
      <c r="A92" s="14" t="n"/>
      <c r="B92" s="14" t="n"/>
      <c r="C92" s="14" t="n"/>
      <c r="D92" s="14" t="n"/>
      <c r="E92" s="14" t="n"/>
      <c r="F92" s="18">
        <f>IF(OR($A92="",NOT(ISNUMBER($B92))),"",SUMIFS('3. Peat Data'!$P$5:$P$604,'3. Peat Data'!$B$5:$B$604,$A92,'3. Peat Data'!$F$5:$F$604,"&lt;="&amp;$B92)+SUMPRODUCT(('3. Peat Data'!$B$5:$B$604=$A92)*('3. Peat Data'!$E$5:$E$604&lt;$B92)*('3. Peat Data'!$F$5:$F$604&gt;$B92)*'3. Peat Data'!$R$5:$R$604*($B92-'3. Peat Data'!$E$5:$E$604)))</f>
        <v/>
      </c>
      <c r="G92" s="18">
        <f>IF(OR($A92="",NOT(ISNUMBER($B92)),NOT(ISNUMBER($C92))),"",IFERROR(($B92-$K92)/($C92-IF($K92=0,0,SUMIFS('4. Chronology'!$C$5:$C$204,'4. Chronology'!$A$5:$A$204,$A92,'4. Chronology'!$B$5:$B$204,$K92))),""))</f>
        <v/>
      </c>
      <c r="H92" s="18">
        <f>IF(OR($A92="",NOT(ISNUMBER($F92)),NOT(ISNUMBER($C92))),"",IFERROR((($F92-IF($K92=0,0,SUMIFS('4. Chronology'!$F$5:$F$204,'4. Chronology'!$A$5:$A$204,$A92,'4. Chronology'!$B$5:$B$204,$K92)))*1000)/($C92-IF($K92=0,0,SUMIFS('4. Chronology'!$C$5:$C$204,'4. Chronology'!$A$5:$A$204,$A92,'4. Chronology'!$B$5:$B$204,$K92))),""))</f>
        <v/>
      </c>
      <c r="I92" s="18">
        <f>IF($A92="","",IF(COUNTIF('2. Core Log'!$A$5:$A$124,$A92)=0,"Core ID not in Core Log. ","")&amp;IF($E92="","No date source given — RERCA and LORCA need to know which method produced this age. ","")&amp;IF(AND(ISNUMBER($C92),$C92&lt;0),"Negative age: this horizon post-dates the coring year. Check the conversion. ","")&amp;IF(AND(ISNUMBER($G92),$G92&lt;0),"Age reversal — this horizon is younger than one above it. A mixed or disturbed profile may not be datable at all. ","")&amp;IF(AND(ISNUMBER($D92),ISNUMBER($C92),$C92&gt;0,$D92/$C92&gt;0.5),"Age uncertainty exceeds 50% of the age. Usable as an indication only. ","")&amp;IF(AND($D92="",$C92&lt;&gt;""),"No uncertainty given. Every radiometric age has one; a rate without it cannot be defended. ",""))</f>
        <v/>
      </c>
      <c r="J92" s="18">
        <f>IF($E92="",0,IF(OR(LEFT($E92,6)="Pb-210",LEFT($E92,6)="Cs-137"),1,0))</f>
        <v/>
      </c>
      <c r="K92" s="18">
        <f>IF(OR($A92="",NOT(ISNUMBER($B92))),"",SUMPRODUCT(MAX(('4. Chronology'!$A$5:$A$204=$A92)*('4. Chronology'!$B$5:$B$204&lt;$B92)*'4. Chronology'!$B$5:$B$204)))</f>
        <v/>
      </c>
    </row>
    <row r="93">
      <c r="A93" s="14" t="n"/>
      <c r="B93" s="14" t="n"/>
      <c r="C93" s="14" t="n"/>
      <c r="D93" s="14" t="n"/>
      <c r="E93" s="14" t="n"/>
      <c r="F93" s="18">
        <f>IF(OR($A93="",NOT(ISNUMBER($B93))),"",SUMIFS('3. Peat Data'!$P$5:$P$604,'3. Peat Data'!$B$5:$B$604,$A93,'3. Peat Data'!$F$5:$F$604,"&lt;="&amp;$B93)+SUMPRODUCT(('3. Peat Data'!$B$5:$B$604=$A93)*('3. Peat Data'!$E$5:$E$604&lt;$B93)*('3. Peat Data'!$F$5:$F$604&gt;$B93)*'3. Peat Data'!$R$5:$R$604*($B93-'3. Peat Data'!$E$5:$E$604)))</f>
        <v/>
      </c>
      <c r="G93" s="18">
        <f>IF(OR($A93="",NOT(ISNUMBER($B93)),NOT(ISNUMBER($C93))),"",IFERROR(($B93-$K93)/($C93-IF($K93=0,0,SUMIFS('4. Chronology'!$C$5:$C$204,'4. Chronology'!$A$5:$A$204,$A93,'4. Chronology'!$B$5:$B$204,$K93))),""))</f>
        <v/>
      </c>
      <c r="H93" s="18">
        <f>IF(OR($A93="",NOT(ISNUMBER($F93)),NOT(ISNUMBER($C93))),"",IFERROR((($F93-IF($K93=0,0,SUMIFS('4. Chronology'!$F$5:$F$204,'4. Chronology'!$A$5:$A$204,$A93,'4. Chronology'!$B$5:$B$204,$K93)))*1000)/($C93-IF($K93=0,0,SUMIFS('4. Chronology'!$C$5:$C$204,'4. Chronology'!$A$5:$A$204,$A93,'4. Chronology'!$B$5:$B$204,$K93))),""))</f>
        <v/>
      </c>
      <c r="I93" s="18">
        <f>IF($A93="","",IF(COUNTIF('2. Core Log'!$A$5:$A$124,$A93)=0,"Core ID not in Core Log. ","")&amp;IF($E93="","No date source given — RERCA and LORCA need to know which method produced this age. ","")&amp;IF(AND(ISNUMBER($C93),$C93&lt;0),"Negative age: this horizon post-dates the coring year. Check the conversion. ","")&amp;IF(AND(ISNUMBER($G93),$G93&lt;0),"Age reversal — this horizon is younger than one above it. A mixed or disturbed profile may not be datable at all. ","")&amp;IF(AND(ISNUMBER($D93),ISNUMBER($C93),$C93&gt;0,$D93/$C93&gt;0.5),"Age uncertainty exceeds 50% of the age. Usable as an indication only. ","")&amp;IF(AND($D93="",$C93&lt;&gt;""),"No uncertainty given. Every radiometric age has one; a rate without it cannot be defended. ",""))</f>
        <v/>
      </c>
      <c r="J93" s="18">
        <f>IF($E93="",0,IF(OR(LEFT($E93,6)="Pb-210",LEFT($E93,6)="Cs-137"),1,0))</f>
        <v/>
      </c>
      <c r="K93" s="18">
        <f>IF(OR($A93="",NOT(ISNUMBER($B93))),"",SUMPRODUCT(MAX(('4. Chronology'!$A$5:$A$204=$A93)*('4. Chronology'!$B$5:$B$204&lt;$B93)*'4. Chronology'!$B$5:$B$204)))</f>
        <v/>
      </c>
    </row>
    <row r="94">
      <c r="A94" s="14" t="n"/>
      <c r="B94" s="14" t="n"/>
      <c r="C94" s="14" t="n"/>
      <c r="D94" s="14" t="n"/>
      <c r="E94" s="14" t="n"/>
      <c r="F94" s="18">
        <f>IF(OR($A94="",NOT(ISNUMBER($B94))),"",SUMIFS('3. Peat Data'!$P$5:$P$604,'3. Peat Data'!$B$5:$B$604,$A94,'3. Peat Data'!$F$5:$F$604,"&lt;="&amp;$B94)+SUMPRODUCT(('3. Peat Data'!$B$5:$B$604=$A94)*('3. Peat Data'!$E$5:$E$604&lt;$B94)*('3. Peat Data'!$F$5:$F$604&gt;$B94)*'3. Peat Data'!$R$5:$R$604*($B94-'3. Peat Data'!$E$5:$E$604)))</f>
        <v/>
      </c>
      <c r="G94" s="18">
        <f>IF(OR($A94="",NOT(ISNUMBER($B94)),NOT(ISNUMBER($C94))),"",IFERROR(($B94-$K94)/($C94-IF($K94=0,0,SUMIFS('4. Chronology'!$C$5:$C$204,'4. Chronology'!$A$5:$A$204,$A94,'4. Chronology'!$B$5:$B$204,$K94))),""))</f>
        <v/>
      </c>
      <c r="H94" s="18">
        <f>IF(OR($A94="",NOT(ISNUMBER($F94)),NOT(ISNUMBER($C94))),"",IFERROR((($F94-IF($K94=0,0,SUMIFS('4. Chronology'!$F$5:$F$204,'4. Chronology'!$A$5:$A$204,$A94,'4. Chronology'!$B$5:$B$204,$K94)))*1000)/($C94-IF($K94=0,0,SUMIFS('4. Chronology'!$C$5:$C$204,'4. Chronology'!$A$5:$A$204,$A94,'4. Chronology'!$B$5:$B$204,$K94))),""))</f>
        <v/>
      </c>
      <c r="I94" s="18">
        <f>IF($A94="","",IF(COUNTIF('2. Core Log'!$A$5:$A$124,$A94)=0,"Core ID not in Core Log. ","")&amp;IF($E94="","No date source given — RERCA and LORCA need to know which method produced this age. ","")&amp;IF(AND(ISNUMBER($C94),$C94&lt;0),"Negative age: this horizon post-dates the coring year. Check the conversion. ","")&amp;IF(AND(ISNUMBER($G94),$G94&lt;0),"Age reversal — this horizon is younger than one above it. A mixed or disturbed profile may not be datable at all. ","")&amp;IF(AND(ISNUMBER($D94),ISNUMBER($C94),$C94&gt;0,$D94/$C94&gt;0.5),"Age uncertainty exceeds 50% of the age. Usable as an indication only. ","")&amp;IF(AND($D94="",$C94&lt;&gt;""),"No uncertainty given. Every radiometric age has one; a rate without it cannot be defended. ",""))</f>
        <v/>
      </c>
      <c r="J94" s="18">
        <f>IF($E94="",0,IF(OR(LEFT($E94,6)="Pb-210",LEFT($E94,6)="Cs-137"),1,0))</f>
        <v/>
      </c>
      <c r="K94" s="18">
        <f>IF(OR($A94="",NOT(ISNUMBER($B94))),"",SUMPRODUCT(MAX(('4. Chronology'!$A$5:$A$204=$A94)*('4. Chronology'!$B$5:$B$204&lt;$B94)*'4. Chronology'!$B$5:$B$204)))</f>
        <v/>
      </c>
    </row>
    <row r="95">
      <c r="A95" s="14" t="n"/>
      <c r="B95" s="14" t="n"/>
      <c r="C95" s="14" t="n"/>
      <c r="D95" s="14" t="n"/>
      <c r="E95" s="14" t="n"/>
      <c r="F95" s="18">
        <f>IF(OR($A95="",NOT(ISNUMBER($B95))),"",SUMIFS('3. Peat Data'!$P$5:$P$604,'3. Peat Data'!$B$5:$B$604,$A95,'3. Peat Data'!$F$5:$F$604,"&lt;="&amp;$B95)+SUMPRODUCT(('3. Peat Data'!$B$5:$B$604=$A95)*('3. Peat Data'!$E$5:$E$604&lt;$B95)*('3. Peat Data'!$F$5:$F$604&gt;$B95)*'3. Peat Data'!$R$5:$R$604*($B95-'3. Peat Data'!$E$5:$E$604)))</f>
        <v/>
      </c>
      <c r="G95" s="18">
        <f>IF(OR($A95="",NOT(ISNUMBER($B95)),NOT(ISNUMBER($C95))),"",IFERROR(($B95-$K95)/($C95-IF($K95=0,0,SUMIFS('4. Chronology'!$C$5:$C$204,'4. Chronology'!$A$5:$A$204,$A95,'4. Chronology'!$B$5:$B$204,$K95))),""))</f>
        <v/>
      </c>
      <c r="H95" s="18">
        <f>IF(OR($A95="",NOT(ISNUMBER($F95)),NOT(ISNUMBER($C95))),"",IFERROR((($F95-IF($K95=0,0,SUMIFS('4. Chronology'!$F$5:$F$204,'4. Chronology'!$A$5:$A$204,$A95,'4. Chronology'!$B$5:$B$204,$K95)))*1000)/($C95-IF($K95=0,0,SUMIFS('4. Chronology'!$C$5:$C$204,'4. Chronology'!$A$5:$A$204,$A95,'4. Chronology'!$B$5:$B$204,$K95))),""))</f>
        <v/>
      </c>
      <c r="I95" s="18">
        <f>IF($A95="","",IF(COUNTIF('2. Core Log'!$A$5:$A$124,$A95)=0,"Core ID not in Core Log. ","")&amp;IF($E95="","No date source given — RERCA and LORCA need to know which method produced this age. ","")&amp;IF(AND(ISNUMBER($C95),$C95&lt;0),"Negative age: this horizon post-dates the coring year. Check the conversion. ","")&amp;IF(AND(ISNUMBER($G95),$G95&lt;0),"Age reversal — this horizon is younger than one above it. A mixed or disturbed profile may not be datable at all. ","")&amp;IF(AND(ISNUMBER($D95),ISNUMBER($C95),$C95&gt;0,$D95/$C95&gt;0.5),"Age uncertainty exceeds 50% of the age. Usable as an indication only. ","")&amp;IF(AND($D95="",$C95&lt;&gt;""),"No uncertainty given. Every radiometric age has one; a rate without it cannot be defended. ",""))</f>
        <v/>
      </c>
      <c r="J95" s="18">
        <f>IF($E95="",0,IF(OR(LEFT($E95,6)="Pb-210",LEFT($E95,6)="Cs-137"),1,0))</f>
        <v/>
      </c>
      <c r="K95" s="18">
        <f>IF(OR($A95="",NOT(ISNUMBER($B95))),"",SUMPRODUCT(MAX(('4. Chronology'!$A$5:$A$204=$A95)*('4. Chronology'!$B$5:$B$204&lt;$B95)*'4. Chronology'!$B$5:$B$204)))</f>
        <v/>
      </c>
    </row>
    <row r="96">
      <c r="A96" s="14" t="n"/>
      <c r="B96" s="14" t="n"/>
      <c r="C96" s="14" t="n"/>
      <c r="D96" s="14" t="n"/>
      <c r="E96" s="14" t="n"/>
      <c r="F96" s="18">
        <f>IF(OR($A96="",NOT(ISNUMBER($B96))),"",SUMIFS('3. Peat Data'!$P$5:$P$604,'3. Peat Data'!$B$5:$B$604,$A96,'3. Peat Data'!$F$5:$F$604,"&lt;="&amp;$B96)+SUMPRODUCT(('3. Peat Data'!$B$5:$B$604=$A96)*('3. Peat Data'!$E$5:$E$604&lt;$B96)*('3. Peat Data'!$F$5:$F$604&gt;$B96)*'3. Peat Data'!$R$5:$R$604*($B96-'3. Peat Data'!$E$5:$E$604)))</f>
        <v/>
      </c>
      <c r="G96" s="18">
        <f>IF(OR($A96="",NOT(ISNUMBER($B96)),NOT(ISNUMBER($C96))),"",IFERROR(($B96-$K96)/($C96-IF($K96=0,0,SUMIFS('4. Chronology'!$C$5:$C$204,'4. Chronology'!$A$5:$A$204,$A96,'4. Chronology'!$B$5:$B$204,$K96))),""))</f>
        <v/>
      </c>
      <c r="H96" s="18">
        <f>IF(OR($A96="",NOT(ISNUMBER($F96)),NOT(ISNUMBER($C96))),"",IFERROR((($F96-IF($K96=0,0,SUMIFS('4. Chronology'!$F$5:$F$204,'4. Chronology'!$A$5:$A$204,$A96,'4. Chronology'!$B$5:$B$204,$K96)))*1000)/($C96-IF($K96=0,0,SUMIFS('4. Chronology'!$C$5:$C$204,'4. Chronology'!$A$5:$A$204,$A96,'4. Chronology'!$B$5:$B$204,$K96))),""))</f>
        <v/>
      </c>
      <c r="I96" s="18">
        <f>IF($A96="","",IF(COUNTIF('2. Core Log'!$A$5:$A$124,$A96)=0,"Core ID not in Core Log. ","")&amp;IF($E96="","No date source given — RERCA and LORCA need to know which method produced this age. ","")&amp;IF(AND(ISNUMBER($C96),$C96&lt;0),"Negative age: this horizon post-dates the coring year. Check the conversion. ","")&amp;IF(AND(ISNUMBER($G96),$G96&lt;0),"Age reversal — this horizon is younger than one above it. A mixed or disturbed profile may not be datable at all. ","")&amp;IF(AND(ISNUMBER($D96),ISNUMBER($C96),$C96&gt;0,$D96/$C96&gt;0.5),"Age uncertainty exceeds 50% of the age. Usable as an indication only. ","")&amp;IF(AND($D96="",$C96&lt;&gt;""),"No uncertainty given. Every radiometric age has one; a rate without it cannot be defended. ",""))</f>
        <v/>
      </c>
      <c r="J96" s="18">
        <f>IF($E96="",0,IF(OR(LEFT($E96,6)="Pb-210",LEFT($E96,6)="Cs-137"),1,0))</f>
        <v/>
      </c>
      <c r="K96" s="18">
        <f>IF(OR($A96="",NOT(ISNUMBER($B96))),"",SUMPRODUCT(MAX(('4. Chronology'!$A$5:$A$204=$A96)*('4. Chronology'!$B$5:$B$204&lt;$B96)*'4. Chronology'!$B$5:$B$204)))</f>
        <v/>
      </c>
    </row>
    <row r="97">
      <c r="A97" s="14" t="n"/>
      <c r="B97" s="14" t="n"/>
      <c r="C97" s="14" t="n"/>
      <c r="D97" s="14" t="n"/>
      <c r="E97" s="14" t="n"/>
      <c r="F97" s="18">
        <f>IF(OR($A97="",NOT(ISNUMBER($B97))),"",SUMIFS('3. Peat Data'!$P$5:$P$604,'3. Peat Data'!$B$5:$B$604,$A97,'3. Peat Data'!$F$5:$F$604,"&lt;="&amp;$B97)+SUMPRODUCT(('3. Peat Data'!$B$5:$B$604=$A97)*('3. Peat Data'!$E$5:$E$604&lt;$B97)*('3. Peat Data'!$F$5:$F$604&gt;$B97)*'3. Peat Data'!$R$5:$R$604*($B97-'3. Peat Data'!$E$5:$E$604)))</f>
        <v/>
      </c>
      <c r="G97" s="18">
        <f>IF(OR($A97="",NOT(ISNUMBER($B97)),NOT(ISNUMBER($C97))),"",IFERROR(($B97-$K97)/($C97-IF($K97=0,0,SUMIFS('4. Chronology'!$C$5:$C$204,'4. Chronology'!$A$5:$A$204,$A97,'4. Chronology'!$B$5:$B$204,$K97))),""))</f>
        <v/>
      </c>
      <c r="H97" s="18">
        <f>IF(OR($A97="",NOT(ISNUMBER($F97)),NOT(ISNUMBER($C97))),"",IFERROR((($F97-IF($K97=0,0,SUMIFS('4. Chronology'!$F$5:$F$204,'4. Chronology'!$A$5:$A$204,$A97,'4. Chronology'!$B$5:$B$204,$K97)))*1000)/($C97-IF($K97=0,0,SUMIFS('4. Chronology'!$C$5:$C$204,'4. Chronology'!$A$5:$A$204,$A97,'4. Chronology'!$B$5:$B$204,$K97))),""))</f>
        <v/>
      </c>
      <c r="I97" s="18">
        <f>IF($A97="","",IF(COUNTIF('2. Core Log'!$A$5:$A$124,$A97)=0,"Core ID not in Core Log. ","")&amp;IF($E97="","No date source given — RERCA and LORCA need to know which method produced this age. ","")&amp;IF(AND(ISNUMBER($C97),$C97&lt;0),"Negative age: this horizon post-dates the coring year. Check the conversion. ","")&amp;IF(AND(ISNUMBER($G97),$G97&lt;0),"Age reversal — this horizon is younger than one above it. A mixed or disturbed profile may not be datable at all. ","")&amp;IF(AND(ISNUMBER($D97),ISNUMBER($C97),$C97&gt;0,$D97/$C97&gt;0.5),"Age uncertainty exceeds 50% of the age. Usable as an indication only. ","")&amp;IF(AND($D97="",$C97&lt;&gt;""),"No uncertainty given. Every radiometric age has one; a rate without it cannot be defended. ",""))</f>
        <v/>
      </c>
      <c r="J97" s="18">
        <f>IF($E97="",0,IF(OR(LEFT($E97,6)="Pb-210",LEFT($E97,6)="Cs-137"),1,0))</f>
        <v/>
      </c>
      <c r="K97" s="18">
        <f>IF(OR($A97="",NOT(ISNUMBER($B97))),"",SUMPRODUCT(MAX(('4. Chronology'!$A$5:$A$204=$A97)*('4. Chronology'!$B$5:$B$204&lt;$B97)*'4. Chronology'!$B$5:$B$204)))</f>
        <v/>
      </c>
    </row>
    <row r="98">
      <c r="A98" s="14" t="n"/>
      <c r="B98" s="14" t="n"/>
      <c r="C98" s="14" t="n"/>
      <c r="D98" s="14" t="n"/>
      <c r="E98" s="14" t="n"/>
      <c r="F98" s="18">
        <f>IF(OR($A98="",NOT(ISNUMBER($B98))),"",SUMIFS('3. Peat Data'!$P$5:$P$604,'3. Peat Data'!$B$5:$B$604,$A98,'3. Peat Data'!$F$5:$F$604,"&lt;="&amp;$B98)+SUMPRODUCT(('3. Peat Data'!$B$5:$B$604=$A98)*('3. Peat Data'!$E$5:$E$604&lt;$B98)*('3. Peat Data'!$F$5:$F$604&gt;$B98)*'3. Peat Data'!$R$5:$R$604*($B98-'3. Peat Data'!$E$5:$E$604)))</f>
        <v/>
      </c>
      <c r="G98" s="18">
        <f>IF(OR($A98="",NOT(ISNUMBER($B98)),NOT(ISNUMBER($C98))),"",IFERROR(($B98-$K98)/($C98-IF($K98=0,0,SUMIFS('4. Chronology'!$C$5:$C$204,'4. Chronology'!$A$5:$A$204,$A98,'4. Chronology'!$B$5:$B$204,$K98))),""))</f>
        <v/>
      </c>
      <c r="H98" s="18">
        <f>IF(OR($A98="",NOT(ISNUMBER($F98)),NOT(ISNUMBER($C98))),"",IFERROR((($F98-IF($K98=0,0,SUMIFS('4. Chronology'!$F$5:$F$204,'4. Chronology'!$A$5:$A$204,$A98,'4. Chronology'!$B$5:$B$204,$K98)))*1000)/($C98-IF($K98=0,0,SUMIFS('4. Chronology'!$C$5:$C$204,'4. Chronology'!$A$5:$A$204,$A98,'4. Chronology'!$B$5:$B$204,$K98))),""))</f>
        <v/>
      </c>
      <c r="I98" s="18">
        <f>IF($A98="","",IF(COUNTIF('2. Core Log'!$A$5:$A$124,$A98)=0,"Core ID not in Core Log. ","")&amp;IF($E98="","No date source given — RERCA and LORCA need to know which method produced this age. ","")&amp;IF(AND(ISNUMBER($C98),$C98&lt;0),"Negative age: this horizon post-dates the coring year. Check the conversion. ","")&amp;IF(AND(ISNUMBER($G98),$G98&lt;0),"Age reversal — this horizon is younger than one above it. A mixed or disturbed profile may not be datable at all. ","")&amp;IF(AND(ISNUMBER($D98),ISNUMBER($C98),$C98&gt;0,$D98/$C98&gt;0.5),"Age uncertainty exceeds 50% of the age. Usable as an indication only. ","")&amp;IF(AND($D98="",$C98&lt;&gt;""),"No uncertainty given. Every radiometric age has one; a rate without it cannot be defended. ",""))</f>
        <v/>
      </c>
      <c r="J98" s="18">
        <f>IF($E98="",0,IF(OR(LEFT($E98,6)="Pb-210",LEFT($E98,6)="Cs-137"),1,0))</f>
        <v/>
      </c>
      <c r="K98" s="18">
        <f>IF(OR($A98="",NOT(ISNUMBER($B98))),"",SUMPRODUCT(MAX(('4. Chronology'!$A$5:$A$204=$A98)*('4. Chronology'!$B$5:$B$204&lt;$B98)*'4. Chronology'!$B$5:$B$204)))</f>
        <v/>
      </c>
    </row>
    <row r="99">
      <c r="A99" s="14" t="n"/>
      <c r="B99" s="14" t="n"/>
      <c r="C99" s="14" t="n"/>
      <c r="D99" s="14" t="n"/>
      <c r="E99" s="14" t="n"/>
      <c r="F99" s="18">
        <f>IF(OR($A99="",NOT(ISNUMBER($B99))),"",SUMIFS('3. Peat Data'!$P$5:$P$604,'3. Peat Data'!$B$5:$B$604,$A99,'3. Peat Data'!$F$5:$F$604,"&lt;="&amp;$B99)+SUMPRODUCT(('3. Peat Data'!$B$5:$B$604=$A99)*('3. Peat Data'!$E$5:$E$604&lt;$B99)*('3. Peat Data'!$F$5:$F$604&gt;$B99)*'3. Peat Data'!$R$5:$R$604*($B99-'3. Peat Data'!$E$5:$E$604)))</f>
        <v/>
      </c>
      <c r="G99" s="18">
        <f>IF(OR($A99="",NOT(ISNUMBER($B99)),NOT(ISNUMBER($C99))),"",IFERROR(($B99-$K99)/($C99-IF($K99=0,0,SUMIFS('4. Chronology'!$C$5:$C$204,'4. Chronology'!$A$5:$A$204,$A99,'4. Chronology'!$B$5:$B$204,$K99))),""))</f>
        <v/>
      </c>
      <c r="H99" s="18">
        <f>IF(OR($A99="",NOT(ISNUMBER($F99)),NOT(ISNUMBER($C99))),"",IFERROR((($F99-IF($K99=0,0,SUMIFS('4. Chronology'!$F$5:$F$204,'4. Chronology'!$A$5:$A$204,$A99,'4. Chronology'!$B$5:$B$204,$K99)))*1000)/($C99-IF($K99=0,0,SUMIFS('4. Chronology'!$C$5:$C$204,'4. Chronology'!$A$5:$A$204,$A99,'4. Chronology'!$B$5:$B$204,$K99))),""))</f>
        <v/>
      </c>
      <c r="I99" s="18">
        <f>IF($A99="","",IF(COUNTIF('2. Core Log'!$A$5:$A$124,$A99)=0,"Core ID not in Core Log. ","")&amp;IF($E99="","No date source given — RERCA and LORCA need to know which method produced this age. ","")&amp;IF(AND(ISNUMBER($C99),$C99&lt;0),"Negative age: this horizon post-dates the coring year. Check the conversion. ","")&amp;IF(AND(ISNUMBER($G99),$G99&lt;0),"Age reversal — this horizon is younger than one above it. A mixed or disturbed profile may not be datable at all. ","")&amp;IF(AND(ISNUMBER($D99),ISNUMBER($C99),$C99&gt;0,$D99/$C99&gt;0.5),"Age uncertainty exceeds 50% of the age. Usable as an indication only. ","")&amp;IF(AND($D99="",$C99&lt;&gt;""),"No uncertainty given. Every radiometric age has one; a rate without it cannot be defended. ",""))</f>
        <v/>
      </c>
      <c r="J99" s="18">
        <f>IF($E99="",0,IF(OR(LEFT($E99,6)="Pb-210",LEFT($E99,6)="Cs-137"),1,0))</f>
        <v/>
      </c>
      <c r="K99" s="18">
        <f>IF(OR($A99="",NOT(ISNUMBER($B99))),"",SUMPRODUCT(MAX(('4. Chronology'!$A$5:$A$204=$A99)*('4. Chronology'!$B$5:$B$204&lt;$B99)*'4. Chronology'!$B$5:$B$204)))</f>
        <v/>
      </c>
    </row>
    <row r="100">
      <c r="A100" s="14" t="n"/>
      <c r="B100" s="14" t="n"/>
      <c r="C100" s="14" t="n"/>
      <c r="D100" s="14" t="n"/>
      <c r="E100" s="14" t="n"/>
      <c r="F100" s="18">
        <f>IF(OR($A100="",NOT(ISNUMBER($B100))),"",SUMIFS('3. Peat Data'!$P$5:$P$604,'3. Peat Data'!$B$5:$B$604,$A100,'3. Peat Data'!$F$5:$F$604,"&lt;="&amp;$B100)+SUMPRODUCT(('3. Peat Data'!$B$5:$B$604=$A100)*('3. Peat Data'!$E$5:$E$604&lt;$B100)*('3. Peat Data'!$F$5:$F$604&gt;$B100)*'3. Peat Data'!$R$5:$R$604*($B100-'3. Peat Data'!$E$5:$E$604)))</f>
        <v/>
      </c>
      <c r="G100" s="18">
        <f>IF(OR($A100="",NOT(ISNUMBER($B100)),NOT(ISNUMBER($C100))),"",IFERROR(($B100-$K100)/($C100-IF($K100=0,0,SUMIFS('4. Chronology'!$C$5:$C$204,'4. Chronology'!$A$5:$A$204,$A100,'4. Chronology'!$B$5:$B$204,$K100))),""))</f>
        <v/>
      </c>
      <c r="H100" s="18">
        <f>IF(OR($A100="",NOT(ISNUMBER($F100)),NOT(ISNUMBER($C100))),"",IFERROR((($F100-IF($K100=0,0,SUMIFS('4. Chronology'!$F$5:$F$204,'4. Chronology'!$A$5:$A$204,$A100,'4. Chronology'!$B$5:$B$204,$K100)))*1000)/($C100-IF($K100=0,0,SUMIFS('4. Chronology'!$C$5:$C$204,'4. Chronology'!$A$5:$A$204,$A100,'4. Chronology'!$B$5:$B$204,$K100))),""))</f>
        <v/>
      </c>
      <c r="I100" s="18">
        <f>IF($A100="","",IF(COUNTIF('2. Core Log'!$A$5:$A$124,$A100)=0,"Core ID not in Core Log. ","")&amp;IF($E100="","No date source given — RERCA and LORCA need to know which method produced this age. ","")&amp;IF(AND(ISNUMBER($C100),$C100&lt;0),"Negative age: this horizon post-dates the coring year. Check the conversion. ","")&amp;IF(AND(ISNUMBER($G100),$G100&lt;0),"Age reversal — this horizon is younger than one above it. A mixed or disturbed profile may not be datable at all. ","")&amp;IF(AND(ISNUMBER($D100),ISNUMBER($C100),$C100&gt;0,$D100/$C100&gt;0.5),"Age uncertainty exceeds 50% of the age. Usable as an indication only. ","")&amp;IF(AND($D100="",$C100&lt;&gt;""),"No uncertainty given. Every radiometric age has one; a rate without it cannot be defended. ",""))</f>
        <v/>
      </c>
      <c r="J100" s="18">
        <f>IF($E100="",0,IF(OR(LEFT($E100,6)="Pb-210",LEFT($E100,6)="Cs-137"),1,0))</f>
        <v/>
      </c>
      <c r="K100" s="18">
        <f>IF(OR($A100="",NOT(ISNUMBER($B100))),"",SUMPRODUCT(MAX(('4. Chronology'!$A$5:$A$204=$A100)*('4. Chronology'!$B$5:$B$204&lt;$B100)*'4. Chronology'!$B$5:$B$204)))</f>
        <v/>
      </c>
    </row>
    <row r="101">
      <c r="A101" s="14" t="n"/>
      <c r="B101" s="14" t="n"/>
      <c r="C101" s="14" t="n"/>
      <c r="D101" s="14" t="n"/>
      <c r="E101" s="14" t="n"/>
      <c r="F101" s="18">
        <f>IF(OR($A101="",NOT(ISNUMBER($B101))),"",SUMIFS('3. Peat Data'!$P$5:$P$604,'3. Peat Data'!$B$5:$B$604,$A101,'3. Peat Data'!$F$5:$F$604,"&lt;="&amp;$B101)+SUMPRODUCT(('3. Peat Data'!$B$5:$B$604=$A101)*('3. Peat Data'!$E$5:$E$604&lt;$B101)*('3. Peat Data'!$F$5:$F$604&gt;$B101)*'3. Peat Data'!$R$5:$R$604*($B101-'3. Peat Data'!$E$5:$E$604)))</f>
        <v/>
      </c>
      <c r="G101" s="18">
        <f>IF(OR($A101="",NOT(ISNUMBER($B101)),NOT(ISNUMBER($C101))),"",IFERROR(($B101-$K101)/($C101-IF($K101=0,0,SUMIFS('4. Chronology'!$C$5:$C$204,'4. Chronology'!$A$5:$A$204,$A101,'4. Chronology'!$B$5:$B$204,$K101))),""))</f>
        <v/>
      </c>
      <c r="H101" s="18">
        <f>IF(OR($A101="",NOT(ISNUMBER($F101)),NOT(ISNUMBER($C101))),"",IFERROR((($F101-IF($K101=0,0,SUMIFS('4. Chronology'!$F$5:$F$204,'4. Chronology'!$A$5:$A$204,$A101,'4. Chronology'!$B$5:$B$204,$K101)))*1000)/($C101-IF($K101=0,0,SUMIFS('4. Chronology'!$C$5:$C$204,'4. Chronology'!$A$5:$A$204,$A101,'4. Chronology'!$B$5:$B$204,$K101))),""))</f>
        <v/>
      </c>
      <c r="I101" s="18">
        <f>IF($A101="","",IF(COUNTIF('2. Core Log'!$A$5:$A$124,$A101)=0,"Core ID not in Core Log. ","")&amp;IF($E101="","No date source given — RERCA and LORCA need to know which method produced this age. ","")&amp;IF(AND(ISNUMBER($C101),$C101&lt;0),"Negative age: this horizon post-dates the coring year. Check the conversion. ","")&amp;IF(AND(ISNUMBER($G101),$G101&lt;0),"Age reversal — this horizon is younger than one above it. A mixed or disturbed profile may not be datable at all. ","")&amp;IF(AND(ISNUMBER($D101),ISNUMBER($C101),$C101&gt;0,$D101/$C101&gt;0.5),"Age uncertainty exceeds 50% of the age. Usable as an indication only. ","")&amp;IF(AND($D101="",$C101&lt;&gt;""),"No uncertainty given. Every radiometric age has one; a rate without it cannot be defended. ",""))</f>
        <v/>
      </c>
      <c r="J101" s="18">
        <f>IF($E101="",0,IF(OR(LEFT($E101,6)="Pb-210",LEFT($E101,6)="Cs-137"),1,0))</f>
        <v/>
      </c>
      <c r="K101" s="18">
        <f>IF(OR($A101="",NOT(ISNUMBER($B101))),"",SUMPRODUCT(MAX(('4. Chronology'!$A$5:$A$204=$A101)*('4. Chronology'!$B$5:$B$204&lt;$B101)*'4. Chronology'!$B$5:$B$204)))</f>
        <v/>
      </c>
    </row>
    <row r="102">
      <c r="A102" s="14" t="n"/>
      <c r="B102" s="14" t="n"/>
      <c r="C102" s="14" t="n"/>
      <c r="D102" s="14" t="n"/>
      <c r="E102" s="14" t="n"/>
      <c r="F102" s="18">
        <f>IF(OR($A102="",NOT(ISNUMBER($B102))),"",SUMIFS('3. Peat Data'!$P$5:$P$604,'3. Peat Data'!$B$5:$B$604,$A102,'3. Peat Data'!$F$5:$F$604,"&lt;="&amp;$B102)+SUMPRODUCT(('3. Peat Data'!$B$5:$B$604=$A102)*('3. Peat Data'!$E$5:$E$604&lt;$B102)*('3. Peat Data'!$F$5:$F$604&gt;$B102)*'3. Peat Data'!$R$5:$R$604*($B102-'3. Peat Data'!$E$5:$E$604)))</f>
        <v/>
      </c>
      <c r="G102" s="18">
        <f>IF(OR($A102="",NOT(ISNUMBER($B102)),NOT(ISNUMBER($C102))),"",IFERROR(($B102-$K102)/($C102-IF($K102=0,0,SUMIFS('4. Chronology'!$C$5:$C$204,'4. Chronology'!$A$5:$A$204,$A102,'4. Chronology'!$B$5:$B$204,$K102))),""))</f>
        <v/>
      </c>
      <c r="H102" s="18">
        <f>IF(OR($A102="",NOT(ISNUMBER($F102)),NOT(ISNUMBER($C102))),"",IFERROR((($F102-IF($K102=0,0,SUMIFS('4. Chronology'!$F$5:$F$204,'4. Chronology'!$A$5:$A$204,$A102,'4. Chronology'!$B$5:$B$204,$K102)))*1000)/($C102-IF($K102=0,0,SUMIFS('4. Chronology'!$C$5:$C$204,'4. Chronology'!$A$5:$A$204,$A102,'4. Chronology'!$B$5:$B$204,$K102))),""))</f>
        <v/>
      </c>
      <c r="I102" s="18">
        <f>IF($A102="","",IF(COUNTIF('2. Core Log'!$A$5:$A$124,$A102)=0,"Core ID not in Core Log. ","")&amp;IF($E102="","No date source given — RERCA and LORCA need to know which method produced this age. ","")&amp;IF(AND(ISNUMBER($C102),$C102&lt;0),"Negative age: this horizon post-dates the coring year. Check the conversion. ","")&amp;IF(AND(ISNUMBER($G102),$G102&lt;0),"Age reversal — this horizon is younger than one above it. A mixed or disturbed profile may not be datable at all. ","")&amp;IF(AND(ISNUMBER($D102),ISNUMBER($C102),$C102&gt;0,$D102/$C102&gt;0.5),"Age uncertainty exceeds 50% of the age. Usable as an indication only. ","")&amp;IF(AND($D102="",$C102&lt;&gt;""),"No uncertainty given. Every radiometric age has one; a rate without it cannot be defended. ",""))</f>
        <v/>
      </c>
      <c r="J102" s="18">
        <f>IF($E102="",0,IF(OR(LEFT($E102,6)="Pb-210",LEFT($E102,6)="Cs-137"),1,0))</f>
        <v/>
      </c>
      <c r="K102" s="18">
        <f>IF(OR($A102="",NOT(ISNUMBER($B102))),"",SUMPRODUCT(MAX(('4. Chronology'!$A$5:$A$204=$A102)*('4. Chronology'!$B$5:$B$204&lt;$B102)*'4. Chronology'!$B$5:$B$204)))</f>
        <v/>
      </c>
    </row>
    <row r="103">
      <c r="A103" s="14" t="n"/>
      <c r="B103" s="14" t="n"/>
      <c r="C103" s="14" t="n"/>
      <c r="D103" s="14" t="n"/>
      <c r="E103" s="14" t="n"/>
      <c r="F103" s="18">
        <f>IF(OR($A103="",NOT(ISNUMBER($B103))),"",SUMIFS('3. Peat Data'!$P$5:$P$604,'3. Peat Data'!$B$5:$B$604,$A103,'3. Peat Data'!$F$5:$F$604,"&lt;="&amp;$B103)+SUMPRODUCT(('3. Peat Data'!$B$5:$B$604=$A103)*('3. Peat Data'!$E$5:$E$604&lt;$B103)*('3. Peat Data'!$F$5:$F$604&gt;$B103)*'3. Peat Data'!$R$5:$R$604*($B103-'3. Peat Data'!$E$5:$E$604)))</f>
        <v/>
      </c>
      <c r="G103" s="18">
        <f>IF(OR($A103="",NOT(ISNUMBER($B103)),NOT(ISNUMBER($C103))),"",IFERROR(($B103-$K103)/($C103-IF($K103=0,0,SUMIFS('4. Chronology'!$C$5:$C$204,'4. Chronology'!$A$5:$A$204,$A103,'4. Chronology'!$B$5:$B$204,$K103))),""))</f>
        <v/>
      </c>
      <c r="H103" s="18">
        <f>IF(OR($A103="",NOT(ISNUMBER($F103)),NOT(ISNUMBER($C103))),"",IFERROR((($F103-IF($K103=0,0,SUMIFS('4. Chronology'!$F$5:$F$204,'4. Chronology'!$A$5:$A$204,$A103,'4. Chronology'!$B$5:$B$204,$K103)))*1000)/($C103-IF($K103=0,0,SUMIFS('4. Chronology'!$C$5:$C$204,'4. Chronology'!$A$5:$A$204,$A103,'4. Chronology'!$B$5:$B$204,$K103))),""))</f>
        <v/>
      </c>
      <c r="I103" s="18">
        <f>IF($A103="","",IF(COUNTIF('2. Core Log'!$A$5:$A$124,$A103)=0,"Core ID not in Core Log. ","")&amp;IF($E103="","No date source given — RERCA and LORCA need to know which method produced this age. ","")&amp;IF(AND(ISNUMBER($C103),$C103&lt;0),"Negative age: this horizon post-dates the coring year. Check the conversion. ","")&amp;IF(AND(ISNUMBER($G103),$G103&lt;0),"Age reversal — this horizon is younger than one above it. A mixed or disturbed profile may not be datable at all. ","")&amp;IF(AND(ISNUMBER($D103),ISNUMBER($C103),$C103&gt;0,$D103/$C103&gt;0.5),"Age uncertainty exceeds 50% of the age. Usable as an indication only. ","")&amp;IF(AND($D103="",$C103&lt;&gt;""),"No uncertainty given. Every radiometric age has one; a rate without it cannot be defended. ",""))</f>
        <v/>
      </c>
      <c r="J103" s="18">
        <f>IF($E103="",0,IF(OR(LEFT($E103,6)="Pb-210",LEFT($E103,6)="Cs-137"),1,0))</f>
        <v/>
      </c>
      <c r="K103" s="18">
        <f>IF(OR($A103="",NOT(ISNUMBER($B103))),"",SUMPRODUCT(MAX(('4. Chronology'!$A$5:$A$204=$A103)*('4. Chronology'!$B$5:$B$204&lt;$B103)*'4. Chronology'!$B$5:$B$204)))</f>
        <v/>
      </c>
    </row>
    <row r="104">
      <c r="A104" s="14" t="n"/>
      <c r="B104" s="14" t="n"/>
      <c r="C104" s="14" t="n"/>
      <c r="D104" s="14" t="n"/>
      <c r="E104" s="14" t="n"/>
      <c r="F104" s="18">
        <f>IF(OR($A104="",NOT(ISNUMBER($B104))),"",SUMIFS('3. Peat Data'!$P$5:$P$604,'3. Peat Data'!$B$5:$B$604,$A104,'3. Peat Data'!$F$5:$F$604,"&lt;="&amp;$B104)+SUMPRODUCT(('3. Peat Data'!$B$5:$B$604=$A104)*('3. Peat Data'!$E$5:$E$604&lt;$B104)*('3. Peat Data'!$F$5:$F$604&gt;$B104)*'3. Peat Data'!$R$5:$R$604*($B104-'3. Peat Data'!$E$5:$E$604)))</f>
        <v/>
      </c>
      <c r="G104" s="18">
        <f>IF(OR($A104="",NOT(ISNUMBER($B104)),NOT(ISNUMBER($C104))),"",IFERROR(($B104-$K104)/($C104-IF($K104=0,0,SUMIFS('4. Chronology'!$C$5:$C$204,'4. Chronology'!$A$5:$A$204,$A104,'4. Chronology'!$B$5:$B$204,$K104))),""))</f>
        <v/>
      </c>
      <c r="H104" s="18">
        <f>IF(OR($A104="",NOT(ISNUMBER($F104)),NOT(ISNUMBER($C104))),"",IFERROR((($F104-IF($K104=0,0,SUMIFS('4. Chronology'!$F$5:$F$204,'4. Chronology'!$A$5:$A$204,$A104,'4. Chronology'!$B$5:$B$204,$K104)))*1000)/($C104-IF($K104=0,0,SUMIFS('4. Chronology'!$C$5:$C$204,'4. Chronology'!$A$5:$A$204,$A104,'4. Chronology'!$B$5:$B$204,$K104))),""))</f>
        <v/>
      </c>
      <c r="I104" s="18">
        <f>IF($A104="","",IF(COUNTIF('2. Core Log'!$A$5:$A$124,$A104)=0,"Core ID not in Core Log. ","")&amp;IF($E104="","No date source given — RERCA and LORCA need to know which method produced this age. ","")&amp;IF(AND(ISNUMBER($C104),$C104&lt;0),"Negative age: this horizon post-dates the coring year. Check the conversion. ","")&amp;IF(AND(ISNUMBER($G104),$G104&lt;0),"Age reversal — this horizon is younger than one above it. A mixed or disturbed profile may not be datable at all. ","")&amp;IF(AND(ISNUMBER($D104),ISNUMBER($C104),$C104&gt;0,$D104/$C104&gt;0.5),"Age uncertainty exceeds 50% of the age. Usable as an indication only. ","")&amp;IF(AND($D104="",$C104&lt;&gt;""),"No uncertainty given. Every radiometric age has one; a rate without it cannot be defended. ",""))</f>
        <v/>
      </c>
      <c r="J104" s="18">
        <f>IF($E104="",0,IF(OR(LEFT($E104,6)="Pb-210",LEFT($E104,6)="Cs-137"),1,0))</f>
        <v/>
      </c>
      <c r="K104" s="18">
        <f>IF(OR($A104="",NOT(ISNUMBER($B104))),"",SUMPRODUCT(MAX(('4. Chronology'!$A$5:$A$204=$A104)*('4. Chronology'!$B$5:$B$204&lt;$B104)*'4. Chronology'!$B$5:$B$204)))</f>
        <v/>
      </c>
    </row>
    <row r="105">
      <c r="A105" s="14" t="n"/>
      <c r="B105" s="14" t="n"/>
      <c r="C105" s="14" t="n"/>
      <c r="D105" s="14" t="n"/>
      <c r="E105" s="14" t="n"/>
      <c r="F105" s="18">
        <f>IF(OR($A105="",NOT(ISNUMBER($B105))),"",SUMIFS('3. Peat Data'!$P$5:$P$604,'3. Peat Data'!$B$5:$B$604,$A105,'3. Peat Data'!$F$5:$F$604,"&lt;="&amp;$B105)+SUMPRODUCT(('3. Peat Data'!$B$5:$B$604=$A105)*('3. Peat Data'!$E$5:$E$604&lt;$B105)*('3. Peat Data'!$F$5:$F$604&gt;$B105)*'3. Peat Data'!$R$5:$R$604*($B105-'3. Peat Data'!$E$5:$E$604)))</f>
        <v/>
      </c>
      <c r="G105" s="18">
        <f>IF(OR($A105="",NOT(ISNUMBER($B105)),NOT(ISNUMBER($C105))),"",IFERROR(($B105-$K105)/($C105-IF($K105=0,0,SUMIFS('4. Chronology'!$C$5:$C$204,'4. Chronology'!$A$5:$A$204,$A105,'4. Chronology'!$B$5:$B$204,$K105))),""))</f>
        <v/>
      </c>
      <c r="H105" s="18">
        <f>IF(OR($A105="",NOT(ISNUMBER($F105)),NOT(ISNUMBER($C105))),"",IFERROR((($F105-IF($K105=0,0,SUMIFS('4. Chronology'!$F$5:$F$204,'4. Chronology'!$A$5:$A$204,$A105,'4. Chronology'!$B$5:$B$204,$K105)))*1000)/($C105-IF($K105=0,0,SUMIFS('4. Chronology'!$C$5:$C$204,'4. Chronology'!$A$5:$A$204,$A105,'4. Chronology'!$B$5:$B$204,$K105))),""))</f>
        <v/>
      </c>
      <c r="I105" s="18">
        <f>IF($A105="","",IF(COUNTIF('2. Core Log'!$A$5:$A$124,$A105)=0,"Core ID not in Core Log. ","")&amp;IF($E105="","No date source given — RERCA and LORCA need to know which method produced this age. ","")&amp;IF(AND(ISNUMBER($C105),$C105&lt;0),"Negative age: this horizon post-dates the coring year. Check the conversion. ","")&amp;IF(AND(ISNUMBER($G105),$G105&lt;0),"Age reversal — this horizon is younger than one above it. A mixed or disturbed profile may not be datable at all. ","")&amp;IF(AND(ISNUMBER($D105),ISNUMBER($C105),$C105&gt;0,$D105/$C105&gt;0.5),"Age uncertainty exceeds 50% of the age. Usable as an indication only. ","")&amp;IF(AND($D105="",$C105&lt;&gt;""),"No uncertainty given. Every radiometric age has one; a rate without it cannot be defended. ",""))</f>
        <v/>
      </c>
      <c r="J105" s="18">
        <f>IF($E105="",0,IF(OR(LEFT($E105,6)="Pb-210",LEFT($E105,6)="Cs-137"),1,0))</f>
        <v/>
      </c>
      <c r="K105" s="18">
        <f>IF(OR($A105="",NOT(ISNUMBER($B105))),"",SUMPRODUCT(MAX(('4. Chronology'!$A$5:$A$204=$A105)*('4. Chronology'!$B$5:$B$204&lt;$B105)*'4. Chronology'!$B$5:$B$204)))</f>
        <v/>
      </c>
    </row>
    <row r="106">
      <c r="A106" s="14" t="n"/>
      <c r="B106" s="14" t="n"/>
      <c r="C106" s="14" t="n"/>
      <c r="D106" s="14" t="n"/>
      <c r="E106" s="14" t="n"/>
      <c r="F106" s="18">
        <f>IF(OR($A106="",NOT(ISNUMBER($B106))),"",SUMIFS('3. Peat Data'!$P$5:$P$604,'3. Peat Data'!$B$5:$B$604,$A106,'3. Peat Data'!$F$5:$F$604,"&lt;="&amp;$B106)+SUMPRODUCT(('3. Peat Data'!$B$5:$B$604=$A106)*('3. Peat Data'!$E$5:$E$604&lt;$B106)*('3. Peat Data'!$F$5:$F$604&gt;$B106)*'3. Peat Data'!$R$5:$R$604*($B106-'3. Peat Data'!$E$5:$E$604)))</f>
        <v/>
      </c>
      <c r="G106" s="18">
        <f>IF(OR($A106="",NOT(ISNUMBER($B106)),NOT(ISNUMBER($C106))),"",IFERROR(($B106-$K106)/($C106-IF($K106=0,0,SUMIFS('4. Chronology'!$C$5:$C$204,'4. Chronology'!$A$5:$A$204,$A106,'4. Chronology'!$B$5:$B$204,$K106))),""))</f>
        <v/>
      </c>
      <c r="H106" s="18">
        <f>IF(OR($A106="",NOT(ISNUMBER($F106)),NOT(ISNUMBER($C106))),"",IFERROR((($F106-IF($K106=0,0,SUMIFS('4. Chronology'!$F$5:$F$204,'4. Chronology'!$A$5:$A$204,$A106,'4. Chronology'!$B$5:$B$204,$K106)))*1000)/($C106-IF($K106=0,0,SUMIFS('4. Chronology'!$C$5:$C$204,'4. Chronology'!$A$5:$A$204,$A106,'4. Chronology'!$B$5:$B$204,$K106))),""))</f>
        <v/>
      </c>
      <c r="I106" s="18">
        <f>IF($A106="","",IF(COUNTIF('2. Core Log'!$A$5:$A$124,$A106)=0,"Core ID not in Core Log. ","")&amp;IF($E106="","No date source given — RERCA and LORCA need to know which method produced this age. ","")&amp;IF(AND(ISNUMBER($C106),$C106&lt;0),"Negative age: this horizon post-dates the coring year. Check the conversion. ","")&amp;IF(AND(ISNUMBER($G106),$G106&lt;0),"Age reversal — this horizon is younger than one above it. A mixed or disturbed profile may not be datable at all. ","")&amp;IF(AND(ISNUMBER($D106),ISNUMBER($C106),$C106&gt;0,$D106/$C106&gt;0.5),"Age uncertainty exceeds 50% of the age. Usable as an indication only. ","")&amp;IF(AND($D106="",$C106&lt;&gt;""),"No uncertainty given. Every radiometric age has one; a rate without it cannot be defended. ",""))</f>
        <v/>
      </c>
      <c r="J106" s="18">
        <f>IF($E106="",0,IF(OR(LEFT($E106,6)="Pb-210",LEFT($E106,6)="Cs-137"),1,0))</f>
        <v/>
      </c>
      <c r="K106" s="18">
        <f>IF(OR($A106="",NOT(ISNUMBER($B106))),"",SUMPRODUCT(MAX(('4. Chronology'!$A$5:$A$204=$A106)*('4. Chronology'!$B$5:$B$204&lt;$B106)*'4. Chronology'!$B$5:$B$204)))</f>
        <v/>
      </c>
    </row>
    <row r="107">
      <c r="A107" s="14" t="n"/>
      <c r="B107" s="14" t="n"/>
      <c r="C107" s="14" t="n"/>
      <c r="D107" s="14" t="n"/>
      <c r="E107" s="14" t="n"/>
      <c r="F107" s="18">
        <f>IF(OR($A107="",NOT(ISNUMBER($B107))),"",SUMIFS('3. Peat Data'!$P$5:$P$604,'3. Peat Data'!$B$5:$B$604,$A107,'3. Peat Data'!$F$5:$F$604,"&lt;="&amp;$B107)+SUMPRODUCT(('3. Peat Data'!$B$5:$B$604=$A107)*('3. Peat Data'!$E$5:$E$604&lt;$B107)*('3. Peat Data'!$F$5:$F$604&gt;$B107)*'3. Peat Data'!$R$5:$R$604*($B107-'3. Peat Data'!$E$5:$E$604)))</f>
        <v/>
      </c>
      <c r="G107" s="18">
        <f>IF(OR($A107="",NOT(ISNUMBER($B107)),NOT(ISNUMBER($C107))),"",IFERROR(($B107-$K107)/($C107-IF($K107=0,0,SUMIFS('4. Chronology'!$C$5:$C$204,'4. Chronology'!$A$5:$A$204,$A107,'4. Chronology'!$B$5:$B$204,$K107))),""))</f>
        <v/>
      </c>
      <c r="H107" s="18">
        <f>IF(OR($A107="",NOT(ISNUMBER($F107)),NOT(ISNUMBER($C107))),"",IFERROR((($F107-IF($K107=0,0,SUMIFS('4. Chronology'!$F$5:$F$204,'4. Chronology'!$A$5:$A$204,$A107,'4. Chronology'!$B$5:$B$204,$K107)))*1000)/($C107-IF($K107=0,0,SUMIFS('4. Chronology'!$C$5:$C$204,'4. Chronology'!$A$5:$A$204,$A107,'4. Chronology'!$B$5:$B$204,$K107))),""))</f>
        <v/>
      </c>
      <c r="I107" s="18">
        <f>IF($A107="","",IF(COUNTIF('2. Core Log'!$A$5:$A$124,$A107)=0,"Core ID not in Core Log. ","")&amp;IF($E107="","No date source given — RERCA and LORCA need to know which method produced this age. ","")&amp;IF(AND(ISNUMBER($C107),$C107&lt;0),"Negative age: this horizon post-dates the coring year. Check the conversion. ","")&amp;IF(AND(ISNUMBER($G107),$G107&lt;0),"Age reversal — this horizon is younger than one above it. A mixed or disturbed profile may not be datable at all. ","")&amp;IF(AND(ISNUMBER($D107),ISNUMBER($C107),$C107&gt;0,$D107/$C107&gt;0.5),"Age uncertainty exceeds 50% of the age. Usable as an indication only. ","")&amp;IF(AND($D107="",$C107&lt;&gt;""),"No uncertainty given. Every radiometric age has one; a rate without it cannot be defended. ",""))</f>
        <v/>
      </c>
      <c r="J107" s="18">
        <f>IF($E107="",0,IF(OR(LEFT($E107,6)="Pb-210",LEFT($E107,6)="Cs-137"),1,0))</f>
        <v/>
      </c>
      <c r="K107" s="18">
        <f>IF(OR($A107="",NOT(ISNUMBER($B107))),"",SUMPRODUCT(MAX(('4. Chronology'!$A$5:$A$204=$A107)*('4. Chronology'!$B$5:$B$204&lt;$B107)*'4. Chronology'!$B$5:$B$204)))</f>
        <v/>
      </c>
    </row>
    <row r="108">
      <c r="A108" s="14" t="n"/>
      <c r="B108" s="14" t="n"/>
      <c r="C108" s="14" t="n"/>
      <c r="D108" s="14" t="n"/>
      <c r="E108" s="14" t="n"/>
      <c r="F108" s="18">
        <f>IF(OR($A108="",NOT(ISNUMBER($B108))),"",SUMIFS('3. Peat Data'!$P$5:$P$604,'3. Peat Data'!$B$5:$B$604,$A108,'3. Peat Data'!$F$5:$F$604,"&lt;="&amp;$B108)+SUMPRODUCT(('3. Peat Data'!$B$5:$B$604=$A108)*('3. Peat Data'!$E$5:$E$604&lt;$B108)*('3. Peat Data'!$F$5:$F$604&gt;$B108)*'3. Peat Data'!$R$5:$R$604*($B108-'3. Peat Data'!$E$5:$E$604)))</f>
        <v/>
      </c>
      <c r="G108" s="18">
        <f>IF(OR($A108="",NOT(ISNUMBER($B108)),NOT(ISNUMBER($C108))),"",IFERROR(($B108-$K108)/($C108-IF($K108=0,0,SUMIFS('4. Chronology'!$C$5:$C$204,'4. Chronology'!$A$5:$A$204,$A108,'4. Chronology'!$B$5:$B$204,$K108))),""))</f>
        <v/>
      </c>
      <c r="H108" s="18">
        <f>IF(OR($A108="",NOT(ISNUMBER($F108)),NOT(ISNUMBER($C108))),"",IFERROR((($F108-IF($K108=0,0,SUMIFS('4. Chronology'!$F$5:$F$204,'4. Chronology'!$A$5:$A$204,$A108,'4. Chronology'!$B$5:$B$204,$K108)))*1000)/($C108-IF($K108=0,0,SUMIFS('4. Chronology'!$C$5:$C$204,'4. Chronology'!$A$5:$A$204,$A108,'4. Chronology'!$B$5:$B$204,$K108))),""))</f>
        <v/>
      </c>
      <c r="I108" s="18">
        <f>IF($A108="","",IF(COUNTIF('2. Core Log'!$A$5:$A$124,$A108)=0,"Core ID not in Core Log. ","")&amp;IF($E108="","No date source given — RERCA and LORCA need to know which method produced this age. ","")&amp;IF(AND(ISNUMBER($C108),$C108&lt;0),"Negative age: this horizon post-dates the coring year. Check the conversion. ","")&amp;IF(AND(ISNUMBER($G108),$G108&lt;0),"Age reversal — this horizon is younger than one above it. A mixed or disturbed profile may not be datable at all. ","")&amp;IF(AND(ISNUMBER($D108),ISNUMBER($C108),$C108&gt;0,$D108/$C108&gt;0.5),"Age uncertainty exceeds 50% of the age. Usable as an indication only. ","")&amp;IF(AND($D108="",$C108&lt;&gt;""),"No uncertainty given. Every radiometric age has one; a rate without it cannot be defended. ",""))</f>
        <v/>
      </c>
      <c r="J108" s="18">
        <f>IF($E108="",0,IF(OR(LEFT($E108,6)="Pb-210",LEFT($E108,6)="Cs-137"),1,0))</f>
        <v/>
      </c>
      <c r="K108" s="18">
        <f>IF(OR($A108="",NOT(ISNUMBER($B108))),"",SUMPRODUCT(MAX(('4. Chronology'!$A$5:$A$204=$A108)*('4. Chronology'!$B$5:$B$204&lt;$B108)*'4. Chronology'!$B$5:$B$204)))</f>
        <v/>
      </c>
    </row>
    <row r="109">
      <c r="A109" s="14" t="n"/>
      <c r="B109" s="14" t="n"/>
      <c r="C109" s="14" t="n"/>
      <c r="D109" s="14" t="n"/>
      <c r="E109" s="14" t="n"/>
      <c r="F109" s="18">
        <f>IF(OR($A109="",NOT(ISNUMBER($B109))),"",SUMIFS('3. Peat Data'!$P$5:$P$604,'3. Peat Data'!$B$5:$B$604,$A109,'3. Peat Data'!$F$5:$F$604,"&lt;="&amp;$B109)+SUMPRODUCT(('3. Peat Data'!$B$5:$B$604=$A109)*('3. Peat Data'!$E$5:$E$604&lt;$B109)*('3. Peat Data'!$F$5:$F$604&gt;$B109)*'3. Peat Data'!$R$5:$R$604*($B109-'3. Peat Data'!$E$5:$E$604)))</f>
        <v/>
      </c>
      <c r="G109" s="18">
        <f>IF(OR($A109="",NOT(ISNUMBER($B109)),NOT(ISNUMBER($C109))),"",IFERROR(($B109-$K109)/($C109-IF($K109=0,0,SUMIFS('4. Chronology'!$C$5:$C$204,'4. Chronology'!$A$5:$A$204,$A109,'4. Chronology'!$B$5:$B$204,$K109))),""))</f>
        <v/>
      </c>
      <c r="H109" s="18">
        <f>IF(OR($A109="",NOT(ISNUMBER($F109)),NOT(ISNUMBER($C109))),"",IFERROR((($F109-IF($K109=0,0,SUMIFS('4. Chronology'!$F$5:$F$204,'4. Chronology'!$A$5:$A$204,$A109,'4. Chronology'!$B$5:$B$204,$K109)))*1000)/($C109-IF($K109=0,0,SUMIFS('4. Chronology'!$C$5:$C$204,'4. Chronology'!$A$5:$A$204,$A109,'4. Chronology'!$B$5:$B$204,$K109))),""))</f>
        <v/>
      </c>
      <c r="I109" s="18">
        <f>IF($A109="","",IF(COUNTIF('2. Core Log'!$A$5:$A$124,$A109)=0,"Core ID not in Core Log. ","")&amp;IF($E109="","No date source given — RERCA and LORCA need to know which method produced this age. ","")&amp;IF(AND(ISNUMBER($C109),$C109&lt;0),"Negative age: this horizon post-dates the coring year. Check the conversion. ","")&amp;IF(AND(ISNUMBER($G109),$G109&lt;0),"Age reversal — this horizon is younger than one above it. A mixed or disturbed profile may not be datable at all. ","")&amp;IF(AND(ISNUMBER($D109),ISNUMBER($C109),$C109&gt;0,$D109/$C109&gt;0.5),"Age uncertainty exceeds 50% of the age. Usable as an indication only. ","")&amp;IF(AND($D109="",$C109&lt;&gt;""),"No uncertainty given. Every radiometric age has one; a rate without it cannot be defended. ",""))</f>
        <v/>
      </c>
      <c r="J109" s="18">
        <f>IF($E109="",0,IF(OR(LEFT($E109,6)="Pb-210",LEFT($E109,6)="Cs-137"),1,0))</f>
        <v/>
      </c>
      <c r="K109" s="18">
        <f>IF(OR($A109="",NOT(ISNUMBER($B109))),"",SUMPRODUCT(MAX(('4. Chronology'!$A$5:$A$204=$A109)*('4. Chronology'!$B$5:$B$204&lt;$B109)*'4. Chronology'!$B$5:$B$204)))</f>
        <v/>
      </c>
    </row>
    <row r="110">
      <c r="A110" s="14" t="n"/>
      <c r="B110" s="14" t="n"/>
      <c r="C110" s="14" t="n"/>
      <c r="D110" s="14" t="n"/>
      <c r="E110" s="14" t="n"/>
      <c r="F110" s="18">
        <f>IF(OR($A110="",NOT(ISNUMBER($B110))),"",SUMIFS('3. Peat Data'!$P$5:$P$604,'3. Peat Data'!$B$5:$B$604,$A110,'3. Peat Data'!$F$5:$F$604,"&lt;="&amp;$B110)+SUMPRODUCT(('3. Peat Data'!$B$5:$B$604=$A110)*('3. Peat Data'!$E$5:$E$604&lt;$B110)*('3. Peat Data'!$F$5:$F$604&gt;$B110)*'3. Peat Data'!$R$5:$R$604*($B110-'3. Peat Data'!$E$5:$E$604)))</f>
        <v/>
      </c>
      <c r="G110" s="18">
        <f>IF(OR($A110="",NOT(ISNUMBER($B110)),NOT(ISNUMBER($C110))),"",IFERROR(($B110-$K110)/($C110-IF($K110=0,0,SUMIFS('4. Chronology'!$C$5:$C$204,'4. Chronology'!$A$5:$A$204,$A110,'4. Chronology'!$B$5:$B$204,$K110))),""))</f>
        <v/>
      </c>
      <c r="H110" s="18">
        <f>IF(OR($A110="",NOT(ISNUMBER($F110)),NOT(ISNUMBER($C110))),"",IFERROR((($F110-IF($K110=0,0,SUMIFS('4. Chronology'!$F$5:$F$204,'4. Chronology'!$A$5:$A$204,$A110,'4. Chronology'!$B$5:$B$204,$K110)))*1000)/($C110-IF($K110=0,0,SUMIFS('4. Chronology'!$C$5:$C$204,'4. Chronology'!$A$5:$A$204,$A110,'4. Chronology'!$B$5:$B$204,$K110))),""))</f>
        <v/>
      </c>
      <c r="I110" s="18">
        <f>IF($A110="","",IF(COUNTIF('2. Core Log'!$A$5:$A$124,$A110)=0,"Core ID not in Core Log. ","")&amp;IF($E110="","No date source given — RERCA and LORCA need to know which method produced this age. ","")&amp;IF(AND(ISNUMBER($C110),$C110&lt;0),"Negative age: this horizon post-dates the coring year. Check the conversion. ","")&amp;IF(AND(ISNUMBER($G110),$G110&lt;0),"Age reversal — this horizon is younger than one above it. A mixed or disturbed profile may not be datable at all. ","")&amp;IF(AND(ISNUMBER($D110),ISNUMBER($C110),$C110&gt;0,$D110/$C110&gt;0.5),"Age uncertainty exceeds 50% of the age. Usable as an indication only. ","")&amp;IF(AND($D110="",$C110&lt;&gt;""),"No uncertainty given. Every radiometric age has one; a rate without it cannot be defended. ",""))</f>
        <v/>
      </c>
      <c r="J110" s="18">
        <f>IF($E110="",0,IF(OR(LEFT($E110,6)="Pb-210",LEFT($E110,6)="Cs-137"),1,0))</f>
        <v/>
      </c>
      <c r="K110" s="18">
        <f>IF(OR($A110="",NOT(ISNUMBER($B110))),"",SUMPRODUCT(MAX(('4. Chronology'!$A$5:$A$204=$A110)*('4. Chronology'!$B$5:$B$204&lt;$B110)*'4. Chronology'!$B$5:$B$204)))</f>
        <v/>
      </c>
    </row>
    <row r="111">
      <c r="A111" s="14" t="n"/>
      <c r="B111" s="14" t="n"/>
      <c r="C111" s="14" t="n"/>
      <c r="D111" s="14" t="n"/>
      <c r="E111" s="14" t="n"/>
      <c r="F111" s="18">
        <f>IF(OR($A111="",NOT(ISNUMBER($B111))),"",SUMIFS('3. Peat Data'!$P$5:$P$604,'3. Peat Data'!$B$5:$B$604,$A111,'3. Peat Data'!$F$5:$F$604,"&lt;="&amp;$B111)+SUMPRODUCT(('3. Peat Data'!$B$5:$B$604=$A111)*('3. Peat Data'!$E$5:$E$604&lt;$B111)*('3. Peat Data'!$F$5:$F$604&gt;$B111)*'3. Peat Data'!$R$5:$R$604*($B111-'3. Peat Data'!$E$5:$E$604)))</f>
        <v/>
      </c>
      <c r="G111" s="18">
        <f>IF(OR($A111="",NOT(ISNUMBER($B111)),NOT(ISNUMBER($C111))),"",IFERROR(($B111-$K111)/($C111-IF($K111=0,0,SUMIFS('4. Chronology'!$C$5:$C$204,'4. Chronology'!$A$5:$A$204,$A111,'4. Chronology'!$B$5:$B$204,$K111))),""))</f>
        <v/>
      </c>
      <c r="H111" s="18">
        <f>IF(OR($A111="",NOT(ISNUMBER($F111)),NOT(ISNUMBER($C111))),"",IFERROR((($F111-IF($K111=0,0,SUMIFS('4. Chronology'!$F$5:$F$204,'4. Chronology'!$A$5:$A$204,$A111,'4. Chronology'!$B$5:$B$204,$K111)))*1000)/($C111-IF($K111=0,0,SUMIFS('4. Chronology'!$C$5:$C$204,'4. Chronology'!$A$5:$A$204,$A111,'4. Chronology'!$B$5:$B$204,$K111))),""))</f>
        <v/>
      </c>
      <c r="I111" s="18">
        <f>IF($A111="","",IF(COUNTIF('2. Core Log'!$A$5:$A$124,$A111)=0,"Core ID not in Core Log. ","")&amp;IF($E111="","No date source given — RERCA and LORCA need to know which method produced this age. ","")&amp;IF(AND(ISNUMBER($C111),$C111&lt;0),"Negative age: this horizon post-dates the coring year. Check the conversion. ","")&amp;IF(AND(ISNUMBER($G111),$G111&lt;0),"Age reversal — this horizon is younger than one above it. A mixed or disturbed profile may not be datable at all. ","")&amp;IF(AND(ISNUMBER($D111),ISNUMBER($C111),$C111&gt;0,$D111/$C111&gt;0.5),"Age uncertainty exceeds 50% of the age. Usable as an indication only. ","")&amp;IF(AND($D111="",$C111&lt;&gt;""),"No uncertainty given. Every radiometric age has one; a rate without it cannot be defended. ",""))</f>
        <v/>
      </c>
      <c r="J111" s="18">
        <f>IF($E111="",0,IF(OR(LEFT($E111,6)="Pb-210",LEFT($E111,6)="Cs-137"),1,0))</f>
        <v/>
      </c>
      <c r="K111" s="18">
        <f>IF(OR($A111="",NOT(ISNUMBER($B111))),"",SUMPRODUCT(MAX(('4. Chronology'!$A$5:$A$204=$A111)*('4. Chronology'!$B$5:$B$204&lt;$B111)*'4. Chronology'!$B$5:$B$204)))</f>
        <v/>
      </c>
    </row>
    <row r="112">
      <c r="A112" s="14" t="n"/>
      <c r="B112" s="14" t="n"/>
      <c r="C112" s="14" t="n"/>
      <c r="D112" s="14" t="n"/>
      <c r="E112" s="14" t="n"/>
      <c r="F112" s="18">
        <f>IF(OR($A112="",NOT(ISNUMBER($B112))),"",SUMIFS('3. Peat Data'!$P$5:$P$604,'3. Peat Data'!$B$5:$B$604,$A112,'3. Peat Data'!$F$5:$F$604,"&lt;="&amp;$B112)+SUMPRODUCT(('3. Peat Data'!$B$5:$B$604=$A112)*('3. Peat Data'!$E$5:$E$604&lt;$B112)*('3. Peat Data'!$F$5:$F$604&gt;$B112)*'3. Peat Data'!$R$5:$R$604*($B112-'3. Peat Data'!$E$5:$E$604)))</f>
        <v/>
      </c>
      <c r="G112" s="18">
        <f>IF(OR($A112="",NOT(ISNUMBER($B112)),NOT(ISNUMBER($C112))),"",IFERROR(($B112-$K112)/($C112-IF($K112=0,0,SUMIFS('4. Chronology'!$C$5:$C$204,'4. Chronology'!$A$5:$A$204,$A112,'4. Chronology'!$B$5:$B$204,$K112))),""))</f>
        <v/>
      </c>
      <c r="H112" s="18">
        <f>IF(OR($A112="",NOT(ISNUMBER($F112)),NOT(ISNUMBER($C112))),"",IFERROR((($F112-IF($K112=0,0,SUMIFS('4. Chronology'!$F$5:$F$204,'4. Chronology'!$A$5:$A$204,$A112,'4. Chronology'!$B$5:$B$204,$K112)))*1000)/($C112-IF($K112=0,0,SUMIFS('4. Chronology'!$C$5:$C$204,'4. Chronology'!$A$5:$A$204,$A112,'4. Chronology'!$B$5:$B$204,$K112))),""))</f>
        <v/>
      </c>
      <c r="I112" s="18">
        <f>IF($A112="","",IF(COUNTIF('2. Core Log'!$A$5:$A$124,$A112)=0,"Core ID not in Core Log. ","")&amp;IF($E112="","No date source given — RERCA and LORCA need to know which method produced this age. ","")&amp;IF(AND(ISNUMBER($C112),$C112&lt;0),"Negative age: this horizon post-dates the coring year. Check the conversion. ","")&amp;IF(AND(ISNUMBER($G112),$G112&lt;0),"Age reversal — this horizon is younger than one above it. A mixed or disturbed profile may not be datable at all. ","")&amp;IF(AND(ISNUMBER($D112),ISNUMBER($C112),$C112&gt;0,$D112/$C112&gt;0.5),"Age uncertainty exceeds 50% of the age. Usable as an indication only. ","")&amp;IF(AND($D112="",$C112&lt;&gt;""),"No uncertainty given. Every radiometric age has one; a rate without it cannot be defended. ",""))</f>
        <v/>
      </c>
      <c r="J112" s="18">
        <f>IF($E112="",0,IF(OR(LEFT($E112,6)="Pb-210",LEFT($E112,6)="Cs-137"),1,0))</f>
        <v/>
      </c>
      <c r="K112" s="18">
        <f>IF(OR($A112="",NOT(ISNUMBER($B112))),"",SUMPRODUCT(MAX(('4. Chronology'!$A$5:$A$204=$A112)*('4. Chronology'!$B$5:$B$204&lt;$B112)*'4. Chronology'!$B$5:$B$204)))</f>
        <v/>
      </c>
    </row>
    <row r="113">
      <c r="A113" s="14" t="n"/>
      <c r="B113" s="14" t="n"/>
      <c r="C113" s="14" t="n"/>
      <c r="D113" s="14" t="n"/>
      <c r="E113" s="14" t="n"/>
      <c r="F113" s="18">
        <f>IF(OR($A113="",NOT(ISNUMBER($B113))),"",SUMIFS('3. Peat Data'!$P$5:$P$604,'3. Peat Data'!$B$5:$B$604,$A113,'3. Peat Data'!$F$5:$F$604,"&lt;="&amp;$B113)+SUMPRODUCT(('3. Peat Data'!$B$5:$B$604=$A113)*('3. Peat Data'!$E$5:$E$604&lt;$B113)*('3. Peat Data'!$F$5:$F$604&gt;$B113)*'3. Peat Data'!$R$5:$R$604*($B113-'3. Peat Data'!$E$5:$E$604)))</f>
        <v/>
      </c>
      <c r="G113" s="18">
        <f>IF(OR($A113="",NOT(ISNUMBER($B113)),NOT(ISNUMBER($C113))),"",IFERROR(($B113-$K113)/($C113-IF($K113=0,0,SUMIFS('4. Chronology'!$C$5:$C$204,'4. Chronology'!$A$5:$A$204,$A113,'4. Chronology'!$B$5:$B$204,$K113))),""))</f>
        <v/>
      </c>
      <c r="H113" s="18">
        <f>IF(OR($A113="",NOT(ISNUMBER($F113)),NOT(ISNUMBER($C113))),"",IFERROR((($F113-IF($K113=0,0,SUMIFS('4. Chronology'!$F$5:$F$204,'4. Chronology'!$A$5:$A$204,$A113,'4. Chronology'!$B$5:$B$204,$K113)))*1000)/($C113-IF($K113=0,0,SUMIFS('4. Chronology'!$C$5:$C$204,'4. Chronology'!$A$5:$A$204,$A113,'4. Chronology'!$B$5:$B$204,$K113))),""))</f>
        <v/>
      </c>
      <c r="I113" s="18">
        <f>IF($A113="","",IF(COUNTIF('2. Core Log'!$A$5:$A$124,$A113)=0,"Core ID not in Core Log. ","")&amp;IF($E113="","No date source given — RERCA and LORCA need to know which method produced this age. ","")&amp;IF(AND(ISNUMBER($C113),$C113&lt;0),"Negative age: this horizon post-dates the coring year. Check the conversion. ","")&amp;IF(AND(ISNUMBER($G113),$G113&lt;0),"Age reversal — this horizon is younger than one above it. A mixed or disturbed profile may not be datable at all. ","")&amp;IF(AND(ISNUMBER($D113),ISNUMBER($C113),$C113&gt;0,$D113/$C113&gt;0.5),"Age uncertainty exceeds 50% of the age. Usable as an indication only. ","")&amp;IF(AND($D113="",$C113&lt;&gt;""),"No uncertainty given. Every radiometric age has one; a rate without it cannot be defended. ",""))</f>
        <v/>
      </c>
      <c r="J113" s="18">
        <f>IF($E113="",0,IF(OR(LEFT($E113,6)="Pb-210",LEFT($E113,6)="Cs-137"),1,0))</f>
        <v/>
      </c>
      <c r="K113" s="18">
        <f>IF(OR($A113="",NOT(ISNUMBER($B113))),"",SUMPRODUCT(MAX(('4. Chronology'!$A$5:$A$204=$A113)*('4. Chronology'!$B$5:$B$204&lt;$B113)*'4. Chronology'!$B$5:$B$204)))</f>
        <v/>
      </c>
    </row>
    <row r="114">
      <c r="A114" s="14" t="n"/>
      <c r="B114" s="14" t="n"/>
      <c r="C114" s="14" t="n"/>
      <c r="D114" s="14" t="n"/>
      <c r="E114" s="14" t="n"/>
      <c r="F114" s="18">
        <f>IF(OR($A114="",NOT(ISNUMBER($B114))),"",SUMIFS('3. Peat Data'!$P$5:$P$604,'3. Peat Data'!$B$5:$B$604,$A114,'3. Peat Data'!$F$5:$F$604,"&lt;="&amp;$B114)+SUMPRODUCT(('3. Peat Data'!$B$5:$B$604=$A114)*('3. Peat Data'!$E$5:$E$604&lt;$B114)*('3. Peat Data'!$F$5:$F$604&gt;$B114)*'3. Peat Data'!$R$5:$R$604*($B114-'3. Peat Data'!$E$5:$E$604)))</f>
        <v/>
      </c>
      <c r="G114" s="18">
        <f>IF(OR($A114="",NOT(ISNUMBER($B114)),NOT(ISNUMBER($C114))),"",IFERROR(($B114-$K114)/($C114-IF($K114=0,0,SUMIFS('4. Chronology'!$C$5:$C$204,'4. Chronology'!$A$5:$A$204,$A114,'4. Chronology'!$B$5:$B$204,$K114))),""))</f>
        <v/>
      </c>
      <c r="H114" s="18">
        <f>IF(OR($A114="",NOT(ISNUMBER($F114)),NOT(ISNUMBER($C114))),"",IFERROR((($F114-IF($K114=0,0,SUMIFS('4. Chronology'!$F$5:$F$204,'4. Chronology'!$A$5:$A$204,$A114,'4. Chronology'!$B$5:$B$204,$K114)))*1000)/($C114-IF($K114=0,0,SUMIFS('4. Chronology'!$C$5:$C$204,'4. Chronology'!$A$5:$A$204,$A114,'4. Chronology'!$B$5:$B$204,$K114))),""))</f>
        <v/>
      </c>
      <c r="I114" s="18">
        <f>IF($A114="","",IF(COUNTIF('2. Core Log'!$A$5:$A$124,$A114)=0,"Core ID not in Core Log. ","")&amp;IF($E114="","No date source given — RERCA and LORCA need to know which method produced this age. ","")&amp;IF(AND(ISNUMBER($C114),$C114&lt;0),"Negative age: this horizon post-dates the coring year. Check the conversion. ","")&amp;IF(AND(ISNUMBER($G114),$G114&lt;0),"Age reversal — this horizon is younger than one above it. A mixed or disturbed profile may not be datable at all. ","")&amp;IF(AND(ISNUMBER($D114),ISNUMBER($C114),$C114&gt;0,$D114/$C114&gt;0.5),"Age uncertainty exceeds 50% of the age. Usable as an indication only. ","")&amp;IF(AND($D114="",$C114&lt;&gt;""),"No uncertainty given. Every radiometric age has one; a rate without it cannot be defended. ",""))</f>
        <v/>
      </c>
      <c r="J114" s="18">
        <f>IF($E114="",0,IF(OR(LEFT($E114,6)="Pb-210",LEFT($E114,6)="Cs-137"),1,0))</f>
        <v/>
      </c>
      <c r="K114" s="18">
        <f>IF(OR($A114="",NOT(ISNUMBER($B114))),"",SUMPRODUCT(MAX(('4. Chronology'!$A$5:$A$204=$A114)*('4. Chronology'!$B$5:$B$204&lt;$B114)*'4. Chronology'!$B$5:$B$204)))</f>
        <v/>
      </c>
    </row>
    <row r="115">
      <c r="A115" s="14" t="n"/>
      <c r="B115" s="14" t="n"/>
      <c r="C115" s="14" t="n"/>
      <c r="D115" s="14" t="n"/>
      <c r="E115" s="14" t="n"/>
      <c r="F115" s="18">
        <f>IF(OR($A115="",NOT(ISNUMBER($B115))),"",SUMIFS('3. Peat Data'!$P$5:$P$604,'3. Peat Data'!$B$5:$B$604,$A115,'3. Peat Data'!$F$5:$F$604,"&lt;="&amp;$B115)+SUMPRODUCT(('3. Peat Data'!$B$5:$B$604=$A115)*('3. Peat Data'!$E$5:$E$604&lt;$B115)*('3. Peat Data'!$F$5:$F$604&gt;$B115)*'3. Peat Data'!$R$5:$R$604*($B115-'3. Peat Data'!$E$5:$E$604)))</f>
        <v/>
      </c>
      <c r="G115" s="18">
        <f>IF(OR($A115="",NOT(ISNUMBER($B115)),NOT(ISNUMBER($C115))),"",IFERROR(($B115-$K115)/($C115-IF($K115=0,0,SUMIFS('4. Chronology'!$C$5:$C$204,'4. Chronology'!$A$5:$A$204,$A115,'4. Chronology'!$B$5:$B$204,$K115))),""))</f>
        <v/>
      </c>
      <c r="H115" s="18">
        <f>IF(OR($A115="",NOT(ISNUMBER($F115)),NOT(ISNUMBER($C115))),"",IFERROR((($F115-IF($K115=0,0,SUMIFS('4. Chronology'!$F$5:$F$204,'4. Chronology'!$A$5:$A$204,$A115,'4. Chronology'!$B$5:$B$204,$K115)))*1000)/($C115-IF($K115=0,0,SUMIFS('4. Chronology'!$C$5:$C$204,'4. Chronology'!$A$5:$A$204,$A115,'4. Chronology'!$B$5:$B$204,$K115))),""))</f>
        <v/>
      </c>
      <c r="I115" s="18">
        <f>IF($A115="","",IF(COUNTIF('2. Core Log'!$A$5:$A$124,$A115)=0,"Core ID not in Core Log. ","")&amp;IF($E115="","No date source given — RERCA and LORCA need to know which method produced this age. ","")&amp;IF(AND(ISNUMBER($C115),$C115&lt;0),"Negative age: this horizon post-dates the coring year. Check the conversion. ","")&amp;IF(AND(ISNUMBER($G115),$G115&lt;0),"Age reversal — this horizon is younger than one above it. A mixed or disturbed profile may not be datable at all. ","")&amp;IF(AND(ISNUMBER($D115),ISNUMBER($C115),$C115&gt;0,$D115/$C115&gt;0.5),"Age uncertainty exceeds 50% of the age. Usable as an indication only. ","")&amp;IF(AND($D115="",$C115&lt;&gt;""),"No uncertainty given. Every radiometric age has one; a rate without it cannot be defended. ",""))</f>
        <v/>
      </c>
      <c r="J115" s="18">
        <f>IF($E115="",0,IF(OR(LEFT($E115,6)="Pb-210",LEFT($E115,6)="Cs-137"),1,0))</f>
        <v/>
      </c>
      <c r="K115" s="18">
        <f>IF(OR($A115="",NOT(ISNUMBER($B115))),"",SUMPRODUCT(MAX(('4. Chronology'!$A$5:$A$204=$A115)*('4. Chronology'!$B$5:$B$204&lt;$B115)*'4. Chronology'!$B$5:$B$204)))</f>
        <v/>
      </c>
    </row>
    <row r="116">
      <c r="A116" s="14" t="n"/>
      <c r="B116" s="14" t="n"/>
      <c r="C116" s="14" t="n"/>
      <c r="D116" s="14" t="n"/>
      <c r="E116" s="14" t="n"/>
      <c r="F116" s="18">
        <f>IF(OR($A116="",NOT(ISNUMBER($B116))),"",SUMIFS('3. Peat Data'!$P$5:$P$604,'3. Peat Data'!$B$5:$B$604,$A116,'3. Peat Data'!$F$5:$F$604,"&lt;="&amp;$B116)+SUMPRODUCT(('3. Peat Data'!$B$5:$B$604=$A116)*('3. Peat Data'!$E$5:$E$604&lt;$B116)*('3. Peat Data'!$F$5:$F$604&gt;$B116)*'3. Peat Data'!$R$5:$R$604*($B116-'3. Peat Data'!$E$5:$E$604)))</f>
        <v/>
      </c>
      <c r="G116" s="18">
        <f>IF(OR($A116="",NOT(ISNUMBER($B116)),NOT(ISNUMBER($C116))),"",IFERROR(($B116-$K116)/($C116-IF($K116=0,0,SUMIFS('4. Chronology'!$C$5:$C$204,'4. Chronology'!$A$5:$A$204,$A116,'4. Chronology'!$B$5:$B$204,$K116))),""))</f>
        <v/>
      </c>
      <c r="H116" s="18">
        <f>IF(OR($A116="",NOT(ISNUMBER($F116)),NOT(ISNUMBER($C116))),"",IFERROR((($F116-IF($K116=0,0,SUMIFS('4. Chronology'!$F$5:$F$204,'4. Chronology'!$A$5:$A$204,$A116,'4. Chronology'!$B$5:$B$204,$K116)))*1000)/($C116-IF($K116=0,0,SUMIFS('4. Chronology'!$C$5:$C$204,'4. Chronology'!$A$5:$A$204,$A116,'4. Chronology'!$B$5:$B$204,$K116))),""))</f>
        <v/>
      </c>
      <c r="I116" s="18">
        <f>IF($A116="","",IF(COUNTIF('2. Core Log'!$A$5:$A$124,$A116)=0,"Core ID not in Core Log. ","")&amp;IF($E116="","No date source given — RERCA and LORCA need to know which method produced this age. ","")&amp;IF(AND(ISNUMBER($C116),$C116&lt;0),"Negative age: this horizon post-dates the coring year. Check the conversion. ","")&amp;IF(AND(ISNUMBER($G116),$G116&lt;0),"Age reversal — this horizon is younger than one above it. A mixed or disturbed profile may not be datable at all. ","")&amp;IF(AND(ISNUMBER($D116),ISNUMBER($C116),$C116&gt;0,$D116/$C116&gt;0.5),"Age uncertainty exceeds 50% of the age. Usable as an indication only. ","")&amp;IF(AND($D116="",$C116&lt;&gt;""),"No uncertainty given. Every radiometric age has one; a rate without it cannot be defended. ",""))</f>
        <v/>
      </c>
      <c r="J116" s="18">
        <f>IF($E116="",0,IF(OR(LEFT($E116,6)="Pb-210",LEFT($E116,6)="Cs-137"),1,0))</f>
        <v/>
      </c>
      <c r="K116" s="18">
        <f>IF(OR($A116="",NOT(ISNUMBER($B116))),"",SUMPRODUCT(MAX(('4. Chronology'!$A$5:$A$204=$A116)*('4. Chronology'!$B$5:$B$204&lt;$B116)*'4. Chronology'!$B$5:$B$204)))</f>
        <v/>
      </c>
    </row>
    <row r="117">
      <c r="A117" s="14" t="n"/>
      <c r="B117" s="14" t="n"/>
      <c r="C117" s="14" t="n"/>
      <c r="D117" s="14" t="n"/>
      <c r="E117" s="14" t="n"/>
      <c r="F117" s="18">
        <f>IF(OR($A117="",NOT(ISNUMBER($B117))),"",SUMIFS('3. Peat Data'!$P$5:$P$604,'3. Peat Data'!$B$5:$B$604,$A117,'3. Peat Data'!$F$5:$F$604,"&lt;="&amp;$B117)+SUMPRODUCT(('3. Peat Data'!$B$5:$B$604=$A117)*('3. Peat Data'!$E$5:$E$604&lt;$B117)*('3. Peat Data'!$F$5:$F$604&gt;$B117)*'3. Peat Data'!$R$5:$R$604*($B117-'3. Peat Data'!$E$5:$E$604)))</f>
        <v/>
      </c>
      <c r="G117" s="18">
        <f>IF(OR($A117="",NOT(ISNUMBER($B117)),NOT(ISNUMBER($C117))),"",IFERROR(($B117-$K117)/($C117-IF($K117=0,0,SUMIFS('4. Chronology'!$C$5:$C$204,'4. Chronology'!$A$5:$A$204,$A117,'4. Chronology'!$B$5:$B$204,$K117))),""))</f>
        <v/>
      </c>
      <c r="H117" s="18">
        <f>IF(OR($A117="",NOT(ISNUMBER($F117)),NOT(ISNUMBER($C117))),"",IFERROR((($F117-IF($K117=0,0,SUMIFS('4. Chronology'!$F$5:$F$204,'4. Chronology'!$A$5:$A$204,$A117,'4. Chronology'!$B$5:$B$204,$K117)))*1000)/($C117-IF($K117=0,0,SUMIFS('4. Chronology'!$C$5:$C$204,'4. Chronology'!$A$5:$A$204,$A117,'4. Chronology'!$B$5:$B$204,$K117))),""))</f>
        <v/>
      </c>
      <c r="I117" s="18">
        <f>IF($A117="","",IF(COUNTIF('2. Core Log'!$A$5:$A$124,$A117)=0,"Core ID not in Core Log. ","")&amp;IF($E117="","No date source given — RERCA and LORCA need to know which method produced this age. ","")&amp;IF(AND(ISNUMBER($C117),$C117&lt;0),"Negative age: this horizon post-dates the coring year. Check the conversion. ","")&amp;IF(AND(ISNUMBER($G117),$G117&lt;0),"Age reversal — this horizon is younger than one above it. A mixed or disturbed profile may not be datable at all. ","")&amp;IF(AND(ISNUMBER($D117),ISNUMBER($C117),$C117&gt;0,$D117/$C117&gt;0.5),"Age uncertainty exceeds 50% of the age. Usable as an indication only. ","")&amp;IF(AND($D117="",$C117&lt;&gt;""),"No uncertainty given. Every radiometric age has one; a rate without it cannot be defended. ",""))</f>
        <v/>
      </c>
      <c r="J117" s="18">
        <f>IF($E117="",0,IF(OR(LEFT($E117,6)="Pb-210",LEFT($E117,6)="Cs-137"),1,0))</f>
        <v/>
      </c>
      <c r="K117" s="18">
        <f>IF(OR($A117="",NOT(ISNUMBER($B117))),"",SUMPRODUCT(MAX(('4. Chronology'!$A$5:$A$204=$A117)*('4. Chronology'!$B$5:$B$204&lt;$B117)*'4. Chronology'!$B$5:$B$204)))</f>
        <v/>
      </c>
    </row>
    <row r="118">
      <c r="A118" s="14" t="n"/>
      <c r="B118" s="14" t="n"/>
      <c r="C118" s="14" t="n"/>
      <c r="D118" s="14" t="n"/>
      <c r="E118" s="14" t="n"/>
      <c r="F118" s="18">
        <f>IF(OR($A118="",NOT(ISNUMBER($B118))),"",SUMIFS('3. Peat Data'!$P$5:$P$604,'3. Peat Data'!$B$5:$B$604,$A118,'3. Peat Data'!$F$5:$F$604,"&lt;="&amp;$B118)+SUMPRODUCT(('3. Peat Data'!$B$5:$B$604=$A118)*('3. Peat Data'!$E$5:$E$604&lt;$B118)*('3. Peat Data'!$F$5:$F$604&gt;$B118)*'3. Peat Data'!$R$5:$R$604*($B118-'3. Peat Data'!$E$5:$E$604)))</f>
        <v/>
      </c>
      <c r="G118" s="18">
        <f>IF(OR($A118="",NOT(ISNUMBER($B118)),NOT(ISNUMBER($C118))),"",IFERROR(($B118-$K118)/($C118-IF($K118=0,0,SUMIFS('4. Chronology'!$C$5:$C$204,'4. Chronology'!$A$5:$A$204,$A118,'4. Chronology'!$B$5:$B$204,$K118))),""))</f>
        <v/>
      </c>
      <c r="H118" s="18">
        <f>IF(OR($A118="",NOT(ISNUMBER($F118)),NOT(ISNUMBER($C118))),"",IFERROR((($F118-IF($K118=0,0,SUMIFS('4. Chronology'!$F$5:$F$204,'4. Chronology'!$A$5:$A$204,$A118,'4. Chronology'!$B$5:$B$204,$K118)))*1000)/($C118-IF($K118=0,0,SUMIFS('4. Chronology'!$C$5:$C$204,'4. Chronology'!$A$5:$A$204,$A118,'4. Chronology'!$B$5:$B$204,$K118))),""))</f>
        <v/>
      </c>
      <c r="I118" s="18">
        <f>IF($A118="","",IF(COUNTIF('2. Core Log'!$A$5:$A$124,$A118)=0,"Core ID not in Core Log. ","")&amp;IF($E118="","No date source given — RERCA and LORCA need to know which method produced this age. ","")&amp;IF(AND(ISNUMBER($C118),$C118&lt;0),"Negative age: this horizon post-dates the coring year. Check the conversion. ","")&amp;IF(AND(ISNUMBER($G118),$G118&lt;0),"Age reversal — this horizon is younger than one above it. A mixed or disturbed profile may not be datable at all. ","")&amp;IF(AND(ISNUMBER($D118),ISNUMBER($C118),$C118&gt;0,$D118/$C118&gt;0.5),"Age uncertainty exceeds 50% of the age. Usable as an indication only. ","")&amp;IF(AND($D118="",$C118&lt;&gt;""),"No uncertainty given. Every radiometric age has one; a rate without it cannot be defended. ",""))</f>
        <v/>
      </c>
      <c r="J118" s="18">
        <f>IF($E118="",0,IF(OR(LEFT($E118,6)="Pb-210",LEFT($E118,6)="Cs-137"),1,0))</f>
        <v/>
      </c>
      <c r="K118" s="18">
        <f>IF(OR($A118="",NOT(ISNUMBER($B118))),"",SUMPRODUCT(MAX(('4. Chronology'!$A$5:$A$204=$A118)*('4. Chronology'!$B$5:$B$204&lt;$B118)*'4. Chronology'!$B$5:$B$204)))</f>
        <v/>
      </c>
    </row>
    <row r="119">
      <c r="A119" s="14" t="n"/>
      <c r="B119" s="14" t="n"/>
      <c r="C119" s="14" t="n"/>
      <c r="D119" s="14" t="n"/>
      <c r="E119" s="14" t="n"/>
      <c r="F119" s="18">
        <f>IF(OR($A119="",NOT(ISNUMBER($B119))),"",SUMIFS('3. Peat Data'!$P$5:$P$604,'3. Peat Data'!$B$5:$B$604,$A119,'3. Peat Data'!$F$5:$F$604,"&lt;="&amp;$B119)+SUMPRODUCT(('3. Peat Data'!$B$5:$B$604=$A119)*('3. Peat Data'!$E$5:$E$604&lt;$B119)*('3. Peat Data'!$F$5:$F$604&gt;$B119)*'3. Peat Data'!$R$5:$R$604*($B119-'3. Peat Data'!$E$5:$E$604)))</f>
        <v/>
      </c>
      <c r="G119" s="18">
        <f>IF(OR($A119="",NOT(ISNUMBER($B119)),NOT(ISNUMBER($C119))),"",IFERROR(($B119-$K119)/($C119-IF($K119=0,0,SUMIFS('4. Chronology'!$C$5:$C$204,'4. Chronology'!$A$5:$A$204,$A119,'4. Chronology'!$B$5:$B$204,$K119))),""))</f>
        <v/>
      </c>
      <c r="H119" s="18">
        <f>IF(OR($A119="",NOT(ISNUMBER($F119)),NOT(ISNUMBER($C119))),"",IFERROR((($F119-IF($K119=0,0,SUMIFS('4. Chronology'!$F$5:$F$204,'4. Chronology'!$A$5:$A$204,$A119,'4. Chronology'!$B$5:$B$204,$K119)))*1000)/($C119-IF($K119=0,0,SUMIFS('4. Chronology'!$C$5:$C$204,'4. Chronology'!$A$5:$A$204,$A119,'4. Chronology'!$B$5:$B$204,$K119))),""))</f>
        <v/>
      </c>
      <c r="I119" s="18">
        <f>IF($A119="","",IF(COUNTIF('2. Core Log'!$A$5:$A$124,$A119)=0,"Core ID not in Core Log. ","")&amp;IF($E119="","No date source given — RERCA and LORCA need to know which method produced this age. ","")&amp;IF(AND(ISNUMBER($C119),$C119&lt;0),"Negative age: this horizon post-dates the coring year. Check the conversion. ","")&amp;IF(AND(ISNUMBER($G119),$G119&lt;0),"Age reversal — this horizon is younger than one above it. A mixed or disturbed profile may not be datable at all. ","")&amp;IF(AND(ISNUMBER($D119),ISNUMBER($C119),$C119&gt;0,$D119/$C119&gt;0.5),"Age uncertainty exceeds 50% of the age. Usable as an indication only. ","")&amp;IF(AND($D119="",$C119&lt;&gt;""),"No uncertainty given. Every radiometric age has one; a rate without it cannot be defended. ",""))</f>
        <v/>
      </c>
      <c r="J119" s="18">
        <f>IF($E119="",0,IF(OR(LEFT($E119,6)="Pb-210",LEFT($E119,6)="Cs-137"),1,0))</f>
        <v/>
      </c>
      <c r="K119" s="18">
        <f>IF(OR($A119="",NOT(ISNUMBER($B119))),"",SUMPRODUCT(MAX(('4. Chronology'!$A$5:$A$204=$A119)*('4. Chronology'!$B$5:$B$204&lt;$B119)*'4. Chronology'!$B$5:$B$204)))</f>
        <v/>
      </c>
    </row>
    <row r="120">
      <c r="A120" s="14" t="n"/>
      <c r="B120" s="14" t="n"/>
      <c r="C120" s="14" t="n"/>
      <c r="D120" s="14" t="n"/>
      <c r="E120" s="14" t="n"/>
      <c r="F120" s="18">
        <f>IF(OR($A120="",NOT(ISNUMBER($B120))),"",SUMIFS('3. Peat Data'!$P$5:$P$604,'3. Peat Data'!$B$5:$B$604,$A120,'3. Peat Data'!$F$5:$F$604,"&lt;="&amp;$B120)+SUMPRODUCT(('3. Peat Data'!$B$5:$B$604=$A120)*('3. Peat Data'!$E$5:$E$604&lt;$B120)*('3. Peat Data'!$F$5:$F$604&gt;$B120)*'3. Peat Data'!$R$5:$R$604*($B120-'3. Peat Data'!$E$5:$E$604)))</f>
        <v/>
      </c>
      <c r="G120" s="18">
        <f>IF(OR($A120="",NOT(ISNUMBER($B120)),NOT(ISNUMBER($C120))),"",IFERROR(($B120-$K120)/($C120-IF($K120=0,0,SUMIFS('4. Chronology'!$C$5:$C$204,'4. Chronology'!$A$5:$A$204,$A120,'4. Chronology'!$B$5:$B$204,$K120))),""))</f>
        <v/>
      </c>
      <c r="H120" s="18">
        <f>IF(OR($A120="",NOT(ISNUMBER($F120)),NOT(ISNUMBER($C120))),"",IFERROR((($F120-IF($K120=0,0,SUMIFS('4. Chronology'!$F$5:$F$204,'4. Chronology'!$A$5:$A$204,$A120,'4. Chronology'!$B$5:$B$204,$K120)))*1000)/($C120-IF($K120=0,0,SUMIFS('4. Chronology'!$C$5:$C$204,'4. Chronology'!$A$5:$A$204,$A120,'4. Chronology'!$B$5:$B$204,$K120))),""))</f>
        <v/>
      </c>
      <c r="I120" s="18">
        <f>IF($A120="","",IF(COUNTIF('2. Core Log'!$A$5:$A$124,$A120)=0,"Core ID not in Core Log. ","")&amp;IF($E120="","No date source given — RERCA and LORCA need to know which method produced this age. ","")&amp;IF(AND(ISNUMBER($C120),$C120&lt;0),"Negative age: this horizon post-dates the coring year. Check the conversion. ","")&amp;IF(AND(ISNUMBER($G120),$G120&lt;0),"Age reversal — this horizon is younger than one above it. A mixed or disturbed profile may not be datable at all. ","")&amp;IF(AND(ISNUMBER($D120),ISNUMBER($C120),$C120&gt;0,$D120/$C120&gt;0.5),"Age uncertainty exceeds 50% of the age. Usable as an indication only. ","")&amp;IF(AND($D120="",$C120&lt;&gt;""),"No uncertainty given. Every radiometric age has one; a rate without it cannot be defended. ",""))</f>
        <v/>
      </c>
      <c r="J120" s="18">
        <f>IF($E120="",0,IF(OR(LEFT($E120,6)="Pb-210",LEFT($E120,6)="Cs-137"),1,0))</f>
        <v/>
      </c>
      <c r="K120" s="18">
        <f>IF(OR($A120="",NOT(ISNUMBER($B120))),"",SUMPRODUCT(MAX(('4. Chronology'!$A$5:$A$204=$A120)*('4. Chronology'!$B$5:$B$204&lt;$B120)*'4. Chronology'!$B$5:$B$204)))</f>
        <v/>
      </c>
    </row>
    <row r="121">
      <c r="A121" s="14" t="n"/>
      <c r="B121" s="14" t="n"/>
      <c r="C121" s="14" t="n"/>
      <c r="D121" s="14" t="n"/>
      <c r="E121" s="14" t="n"/>
      <c r="F121" s="18">
        <f>IF(OR($A121="",NOT(ISNUMBER($B121))),"",SUMIFS('3. Peat Data'!$P$5:$P$604,'3. Peat Data'!$B$5:$B$604,$A121,'3. Peat Data'!$F$5:$F$604,"&lt;="&amp;$B121)+SUMPRODUCT(('3. Peat Data'!$B$5:$B$604=$A121)*('3. Peat Data'!$E$5:$E$604&lt;$B121)*('3. Peat Data'!$F$5:$F$604&gt;$B121)*'3. Peat Data'!$R$5:$R$604*($B121-'3. Peat Data'!$E$5:$E$604)))</f>
        <v/>
      </c>
      <c r="G121" s="18">
        <f>IF(OR($A121="",NOT(ISNUMBER($B121)),NOT(ISNUMBER($C121))),"",IFERROR(($B121-$K121)/($C121-IF($K121=0,0,SUMIFS('4. Chronology'!$C$5:$C$204,'4. Chronology'!$A$5:$A$204,$A121,'4. Chronology'!$B$5:$B$204,$K121))),""))</f>
        <v/>
      </c>
      <c r="H121" s="18">
        <f>IF(OR($A121="",NOT(ISNUMBER($F121)),NOT(ISNUMBER($C121))),"",IFERROR((($F121-IF($K121=0,0,SUMIFS('4. Chronology'!$F$5:$F$204,'4. Chronology'!$A$5:$A$204,$A121,'4. Chronology'!$B$5:$B$204,$K121)))*1000)/($C121-IF($K121=0,0,SUMIFS('4. Chronology'!$C$5:$C$204,'4. Chronology'!$A$5:$A$204,$A121,'4. Chronology'!$B$5:$B$204,$K121))),""))</f>
        <v/>
      </c>
      <c r="I121" s="18">
        <f>IF($A121="","",IF(COUNTIF('2. Core Log'!$A$5:$A$124,$A121)=0,"Core ID not in Core Log. ","")&amp;IF($E121="","No date source given — RERCA and LORCA need to know which method produced this age. ","")&amp;IF(AND(ISNUMBER($C121),$C121&lt;0),"Negative age: this horizon post-dates the coring year. Check the conversion. ","")&amp;IF(AND(ISNUMBER($G121),$G121&lt;0),"Age reversal — this horizon is younger than one above it. A mixed or disturbed profile may not be datable at all. ","")&amp;IF(AND(ISNUMBER($D121),ISNUMBER($C121),$C121&gt;0,$D121/$C121&gt;0.5),"Age uncertainty exceeds 50% of the age. Usable as an indication only. ","")&amp;IF(AND($D121="",$C121&lt;&gt;""),"No uncertainty given. Every radiometric age has one; a rate without it cannot be defended. ",""))</f>
        <v/>
      </c>
      <c r="J121" s="18">
        <f>IF($E121="",0,IF(OR(LEFT($E121,6)="Pb-210",LEFT($E121,6)="Cs-137"),1,0))</f>
        <v/>
      </c>
      <c r="K121" s="18">
        <f>IF(OR($A121="",NOT(ISNUMBER($B121))),"",SUMPRODUCT(MAX(('4. Chronology'!$A$5:$A$204=$A121)*('4. Chronology'!$B$5:$B$204&lt;$B121)*'4. Chronology'!$B$5:$B$204)))</f>
        <v/>
      </c>
    </row>
    <row r="122">
      <c r="A122" s="14" t="n"/>
      <c r="B122" s="14" t="n"/>
      <c r="C122" s="14" t="n"/>
      <c r="D122" s="14" t="n"/>
      <c r="E122" s="14" t="n"/>
      <c r="F122" s="18">
        <f>IF(OR($A122="",NOT(ISNUMBER($B122))),"",SUMIFS('3. Peat Data'!$P$5:$P$604,'3. Peat Data'!$B$5:$B$604,$A122,'3. Peat Data'!$F$5:$F$604,"&lt;="&amp;$B122)+SUMPRODUCT(('3. Peat Data'!$B$5:$B$604=$A122)*('3. Peat Data'!$E$5:$E$604&lt;$B122)*('3. Peat Data'!$F$5:$F$604&gt;$B122)*'3. Peat Data'!$R$5:$R$604*($B122-'3. Peat Data'!$E$5:$E$604)))</f>
        <v/>
      </c>
      <c r="G122" s="18">
        <f>IF(OR($A122="",NOT(ISNUMBER($B122)),NOT(ISNUMBER($C122))),"",IFERROR(($B122-$K122)/($C122-IF($K122=0,0,SUMIFS('4. Chronology'!$C$5:$C$204,'4. Chronology'!$A$5:$A$204,$A122,'4. Chronology'!$B$5:$B$204,$K122))),""))</f>
        <v/>
      </c>
      <c r="H122" s="18">
        <f>IF(OR($A122="",NOT(ISNUMBER($F122)),NOT(ISNUMBER($C122))),"",IFERROR((($F122-IF($K122=0,0,SUMIFS('4. Chronology'!$F$5:$F$204,'4. Chronology'!$A$5:$A$204,$A122,'4. Chronology'!$B$5:$B$204,$K122)))*1000)/($C122-IF($K122=0,0,SUMIFS('4. Chronology'!$C$5:$C$204,'4. Chronology'!$A$5:$A$204,$A122,'4. Chronology'!$B$5:$B$204,$K122))),""))</f>
        <v/>
      </c>
      <c r="I122" s="18">
        <f>IF($A122="","",IF(COUNTIF('2. Core Log'!$A$5:$A$124,$A122)=0,"Core ID not in Core Log. ","")&amp;IF($E122="","No date source given — RERCA and LORCA need to know which method produced this age. ","")&amp;IF(AND(ISNUMBER($C122),$C122&lt;0),"Negative age: this horizon post-dates the coring year. Check the conversion. ","")&amp;IF(AND(ISNUMBER($G122),$G122&lt;0),"Age reversal — this horizon is younger than one above it. A mixed or disturbed profile may not be datable at all. ","")&amp;IF(AND(ISNUMBER($D122),ISNUMBER($C122),$C122&gt;0,$D122/$C122&gt;0.5),"Age uncertainty exceeds 50% of the age. Usable as an indication only. ","")&amp;IF(AND($D122="",$C122&lt;&gt;""),"No uncertainty given. Every radiometric age has one; a rate without it cannot be defended. ",""))</f>
        <v/>
      </c>
      <c r="J122" s="18">
        <f>IF($E122="",0,IF(OR(LEFT($E122,6)="Pb-210",LEFT($E122,6)="Cs-137"),1,0))</f>
        <v/>
      </c>
      <c r="K122" s="18">
        <f>IF(OR($A122="",NOT(ISNUMBER($B122))),"",SUMPRODUCT(MAX(('4. Chronology'!$A$5:$A$204=$A122)*('4. Chronology'!$B$5:$B$204&lt;$B122)*'4. Chronology'!$B$5:$B$204)))</f>
        <v/>
      </c>
    </row>
    <row r="123">
      <c r="A123" s="14" t="n"/>
      <c r="B123" s="14" t="n"/>
      <c r="C123" s="14" t="n"/>
      <c r="D123" s="14" t="n"/>
      <c r="E123" s="14" t="n"/>
      <c r="F123" s="18">
        <f>IF(OR($A123="",NOT(ISNUMBER($B123))),"",SUMIFS('3. Peat Data'!$P$5:$P$604,'3. Peat Data'!$B$5:$B$604,$A123,'3. Peat Data'!$F$5:$F$604,"&lt;="&amp;$B123)+SUMPRODUCT(('3. Peat Data'!$B$5:$B$604=$A123)*('3. Peat Data'!$E$5:$E$604&lt;$B123)*('3. Peat Data'!$F$5:$F$604&gt;$B123)*'3. Peat Data'!$R$5:$R$604*($B123-'3. Peat Data'!$E$5:$E$604)))</f>
        <v/>
      </c>
      <c r="G123" s="18">
        <f>IF(OR($A123="",NOT(ISNUMBER($B123)),NOT(ISNUMBER($C123))),"",IFERROR(($B123-$K123)/($C123-IF($K123=0,0,SUMIFS('4. Chronology'!$C$5:$C$204,'4. Chronology'!$A$5:$A$204,$A123,'4. Chronology'!$B$5:$B$204,$K123))),""))</f>
        <v/>
      </c>
      <c r="H123" s="18">
        <f>IF(OR($A123="",NOT(ISNUMBER($F123)),NOT(ISNUMBER($C123))),"",IFERROR((($F123-IF($K123=0,0,SUMIFS('4. Chronology'!$F$5:$F$204,'4. Chronology'!$A$5:$A$204,$A123,'4. Chronology'!$B$5:$B$204,$K123)))*1000)/($C123-IF($K123=0,0,SUMIFS('4. Chronology'!$C$5:$C$204,'4. Chronology'!$A$5:$A$204,$A123,'4. Chronology'!$B$5:$B$204,$K123))),""))</f>
        <v/>
      </c>
      <c r="I123" s="18">
        <f>IF($A123="","",IF(COUNTIF('2. Core Log'!$A$5:$A$124,$A123)=0,"Core ID not in Core Log. ","")&amp;IF($E123="","No date source given — RERCA and LORCA need to know which method produced this age. ","")&amp;IF(AND(ISNUMBER($C123),$C123&lt;0),"Negative age: this horizon post-dates the coring year. Check the conversion. ","")&amp;IF(AND(ISNUMBER($G123),$G123&lt;0),"Age reversal — this horizon is younger than one above it. A mixed or disturbed profile may not be datable at all. ","")&amp;IF(AND(ISNUMBER($D123),ISNUMBER($C123),$C123&gt;0,$D123/$C123&gt;0.5),"Age uncertainty exceeds 50% of the age. Usable as an indication only. ","")&amp;IF(AND($D123="",$C123&lt;&gt;""),"No uncertainty given. Every radiometric age has one; a rate without it cannot be defended. ",""))</f>
        <v/>
      </c>
      <c r="J123" s="18">
        <f>IF($E123="",0,IF(OR(LEFT($E123,6)="Pb-210",LEFT($E123,6)="Cs-137"),1,0))</f>
        <v/>
      </c>
      <c r="K123" s="18">
        <f>IF(OR($A123="",NOT(ISNUMBER($B123))),"",SUMPRODUCT(MAX(('4. Chronology'!$A$5:$A$204=$A123)*('4. Chronology'!$B$5:$B$204&lt;$B123)*'4. Chronology'!$B$5:$B$204)))</f>
        <v/>
      </c>
    </row>
    <row r="124">
      <c r="A124" s="14" t="n"/>
      <c r="B124" s="14" t="n"/>
      <c r="C124" s="14" t="n"/>
      <c r="D124" s="14" t="n"/>
      <c r="E124" s="14" t="n"/>
      <c r="F124" s="18">
        <f>IF(OR($A124="",NOT(ISNUMBER($B124))),"",SUMIFS('3. Peat Data'!$P$5:$P$604,'3. Peat Data'!$B$5:$B$604,$A124,'3. Peat Data'!$F$5:$F$604,"&lt;="&amp;$B124)+SUMPRODUCT(('3. Peat Data'!$B$5:$B$604=$A124)*('3. Peat Data'!$E$5:$E$604&lt;$B124)*('3. Peat Data'!$F$5:$F$604&gt;$B124)*'3. Peat Data'!$R$5:$R$604*($B124-'3. Peat Data'!$E$5:$E$604)))</f>
        <v/>
      </c>
      <c r="G124" s="18">
        <f>IF(OR($A124="",NOT(ISNUMBER($B124)),NOT(ISNUMBER($C124))),"",IFERROR(($B124-$K124)/($C124-IF($K124=0,0,SUMIFS('4. Chronology'!$C$5:$C$204,'4. Chronology'!$A$5:$A$204,$A124,'4. Chronology'!$B$5:$B$204,$K124))),""))</f>
        <v/>
      </c>
      <c r="H124" s="18">
        <f>IF(OR($A124="",NOT(ISNUMBER($F124)),NOT(ISNUMBER($C124))),"",IFERROR((($F124-IF($K124=0,0,SUMIFS('4. Chronology'!$F$5:$F$204,'4. Chronology'!$A$5:$A$204,$A124,'4. Chronology'!$B$5:$B$204,$K124)))*1000)/($C124-IF($K124=0,0,SUMIFS('4. Chronology'!$C$5:$C$204,'4. Chronology'!$A$5:$A$204,$A124,'4. Chronology'!$B$5:$B$204,$K124))),""))</f>
        <v/>
      </c>
      <c r="I124" s="18">
        <f>IF($A124="","",IF(COUNTIF('2. Core Log'!$A$5:$A$124,$A124)=0,"Core ID not in Core Log. ","")&amp;IF($E124="","No date source given — RERCA and LORCA need to know which method produced this age. ","")&amp;IF(AND(ISNUMBER($C124),$C124&lt;0),"Negative age: this horizon post-dates the coring year. Check the conversion. ","")&amp;IF(AND(ISNUMBER($G124),$G124&lt;0),"Age reversal — this horizon is younger than one above it. A mixed or disturbed profile may not be datable at all. ","")&amp;IF(AND(ISNUMBER($D124),ISNUMBER($C124),$C124&gt;0,$D124/$C124&gt;0.5),"Age uncertainty exceeds 50% of the age. Usable as an indication only. ","")&amp;IF(AND($D124="",$C124&lt;&gt;""),"No uncertainty given. Every radiometric age has one; a rate without it cannot be defended. ",""))</f>
        <v/>
      </c>
      <c r="J124" s="18">
        <f>IF($E124="",0,IF(OR(LEFT($E124,6)="Pb-210",LEFT($E124,6)="Cs-137"),1,0))</f>
        <v/>
      </c>
      <c r="K124" s="18">
        <f>IF(OR($A124="",NOT(ISNUMBER($B124))),"",SUMPRODUCT(MAX(('4. Chronology'!$A$5:$A$204=$A124)*('4. Chronology'!$B$5:$B$204&lt;$B124)*'4. Chronology'!$B$5:$B$204)))</f>
        <v/>
      </c>
    </row>
    <row r="125">
      <c r="A125" s="14" t="n"/>
      <c r="B125" s="14" t="n"/>
      <c r="C125" s="14" t="n"/>
      <c r="D125" s="14" t="n"/>
      <c r="E125" s="14" t="n"/>
      <c r="F125" s="18">
        <f>IF(OR($A125="",NOT(ISNUMBER($B125))),"",SUMIFS('3. Peat Data'!$P$5:$P$604,'3. Peat Data'!$B$5:$B$604,$A125,'3. Peat Data'!$F$5:$F$604,"&lt;="&amp;$B125)+SUMPRODUCT(('3. Peat Data'!$B$5:$B$604=$A125)*('3. Peat Data'!$E$5:$E$604&lt;$B125)*('3. Peat Data'!$F$5:$F$604&gt;$B125)*'3. Peat Data'!$R$5:$R$604*($B125-'3. Peat Data'!$E$5:$E$604)))</f>
        <v/>
      </c>
      <c r="G125" s="18">
        <f>IF(OR($A125="",NOT(ISNUMBER($B125)),NOT(ISNUMBER($C125))),"",IFERROR(($B125-$K125)/($C125-IF($K125=0,0,SUMIFS('4. Chronology'!$C$5:$C$204,'4. Chronology'!$A$5:$A$204,$A125,'4. Chronology'!$B$5:$B$204,$K125))),""))</f>
        <v/>
      </c>
      <c r="H125" s="18">
        <f>IF(OR($A125="",NOT(ISNUMBER($F125)),NOT(ISNUMBER($C125))),"",IFERROR((($F125-IF($K125=0,0,SUMIFS('4. Chronology'!$F$5:$F$204,'4. Chronology'!$A$5:$A$204,$A125,'4. Chronology'!$B$5:$B$204,$K125)))*1000)/($C125-IF($K125=0,0,SUMIFS('4. Chronology'!$C$5:$C$204,'4. Chronology'!$A$5:$A$204,$A125,'4. Chronology'!$B$5:$B$204,$K125))),""))</f>
        <v/>
      </c>
      <c r="I125" s="18">
        <f>IF($A125="","",IF(COUNTIF('2. Core Log'!$A$5:$A$124,$A125)=0,"Core ID not in Core Log. ","")&amp;IF($E125="","No date source given — RERCA and LORCA need to know which method produced this age. ","")&amp;IF(AND(ISNUMBER($C125),$C125&lt;0),"Negative age: this horizon post-dates the coring year. Check the conversion. ","")&amp;IF(AND(ISNUMBER($G125),$G125&lt;0),"Age reversal — this horizon is younger than one above it. A mixed or disturbed profile may not be datable at all. ","")&amp;IF(AND(ISNUMBER($D125),ISNUMBER($C125),$C125&gt;0,$D125/$C125&gt;0.5),"Age uncertainty exceeds 50% of the age. Usable as an indication only. ","")&amp;IF(AND($D125="",$C125&lt;&gt;""),"No uncertainty given. Every radiometric age has one; a rate without it cannot be defended. ",""))</f>
        <v/>
      </c>
      <c r="J125" s="18">
        <f>IF($E125="",0,IF(OR(LEFT($E125,6)="Pb-210",LEFT($E125,6)="Cs-137"),1,0))</f>
        <v/>
      </c>
      <c r="K125" s="18">
        <f>IF(OR($A125="",NOT(ISNUMBER($B125))),"",SUMPRODUCT(MAX(('4. Chronology'!$A$5:$A$204=$A125)*('4. Chronology'!$B$5:$B$204&lt;$B125)*'4. Chronology'!$B$5:$B$204)))</f>
        <v/>
      </c>
    </row>
    <row r="126">
      <c r="A126" s="14" t="n"/>
      <c r="B126" s="14" t="n"/>
      <c r="C126" s="14" t="n"/>
      <c r="D126" s="14" t="n"/>
      <c r="E126" s="14" t="n"/>
      <c r="F126" s="18">
        <f>IF(OR($A126="",NOT(ISNUMBER($B126))),"",SUMIFS('3. Peat Data'!$P$5:$P$604,'3. Peat Data'!$B$5:$B$604,$A126,'3. Peat Data'!$F$5:$F$604,"&lt;="&amp;$B126)+SUMPRODUCT(('3. Peat Data'!$B$5:$B$604=$A126)*('3. Peat Data'!$E$5:$E$604&lt;$B126)*('3. Peat Data'!$F$5:$F$604&gt;$B126)*'3. Peat Data'!$R$5:$R$604*($B126-'3. Peat Data'!$E$5:$E$604)))</f>
        <v/>
      </c>
      <c r="G126" s="18">
        <f>IF(OR($A126="",NOT(ISNUMBER($B126)),NOT(ISNUMBER($C126))),"",IFERROR(($B126-$K126)/($C126-IF($K126=0,0,SUMIFS('4. Chronology'!$C$5:$C$204,'4. Chronology'!$A$5:$A$204,$A126,'4. Chronology'!$B$5:$B$204,$K126))),""))</f>
        <v/>
      </c>
      <c r="H126" s="18">
        <f>IF(OR($A126="",NOT(ISNUMBER($F126)),NOT(ISNUMBER($C126))),"",IFERROR((($F126-IF($K126=0,0,SUMIFS('4. Chronology'!$F$5:$F$204,'4. Chronology'!$A$5:$A$204,$A126,'4. Chronology'!$B$5:$B$204,$K126)))*1000)/($C126-IF($K126=0,0,SUMIFS('4. Chronology'!$C$5:$C$204,'4. Chronology'!$A$5:$A$204,$A126,'4. Chronology'!$B$5:$B$204,$K126))),""))</f>
        <v/>
      </c>
      <c r="I126" s="18">
        <f>IF($A126="","",IF(COUNTIF('2. Core Log'!$A$5:$A$124,$A126)=0,"Core ID not in Core Log. ","")&amp;IF($E126="","No date source given — RERCA and LORCA need to know which method produced this age. ","")&amp;IF(AND(ISNUMBER($C126),$C126&lt;0),"Negative age: this horizon post-dates the coring year. Check the conversion. ","")&amp;IF(AND(ISNUMBER($G126),$G126&lt;0),"Age reversal — this horizon is younger than one above it. A mixed or disturbed profile may not be datable at all. ","")&amp;IF(AND(ISNUMBER($D126),ISNUMBER($C126),$C126&gt;0,$D126/$C126&gt;0.5),"Age uncertainty exceeds 50% of the age. Usable as an indication only. ","")&amp;IF(AND($D126="",$C126&lt;&gt;""),"No uncertainty given. Every radiometric age has one; a rate without it cannot be defended. ",""))</f>
        <v/>
      </c>
      <c r="J126" s="18">
        <f>IF($E126="",0,IF(OR(LEFT($E126,6)="Pb-210",LEFT($E126,6)="Cs-137"),1,0))</f>
        <v/>
      </c>
      <c r="K126" s="18">
        <f>IF(OR($A126="",NOT(ISNUMBER($B126))),"",SUMPRODUCT(MAX(('4. Chronology'!$A$5:$A$204=$A126)*('4. Chronology'!$B$5:$B$204&lt;$B126)*'4. Chronology'!$B$5:$B$204)))</f>
        <v/>
      </c>
    </row>
    <row r="127">
      <c r="A127" s="14" t="n"/>
      <c r="B127" s="14" t="n"/>
      <c r="C127" s="14" t="n"/>
      <c r="D127" s="14" t="n"/>
      <c r="E127" s="14" t="n"/>
      <c r="F127" s="18">
        <f>IF(OR($A127="",NOT(ISNUMBER($B127))),"",SUMIFS('3. Peat Data'!$P$5:$P$604,'3. Peat Data'!$B$5:$B$604,$A127,'3. Peat Data'!$F$5:$F$604,"&lt;="&amp;$B127)+SUMPRODUCT(('3. Peat Data'!$B$5:$B$604=$A127)*('3. Peat Data'!$E$5:$E$604&lt;$B127)*('3. Peat Data'!$F$5:$F$604&gt;$B127)*'3. Peat Data'!$R$5:$R$604*($B127-'3. Peat Data'!$E$5:$E$604)))</f>
        <v/>
      </c>
      <c r="G127" s="18">
        <f>IF(OR($A127="",NOT(ISNUMBER($B127)),NOT(ISNUMBER($C127))),"",IFERROR(($B127-$K127)/($C127-IF($K127=0,0,SUMIFS('4. Chronology'!$C$5:$C$204,'4. Chronology'!$A$5:$A$204,$A127,'4. Chronology'!$B$5:$B$204,$K127))),""))</f>
        <v/>
      </c>
      <c r="H127" s="18">
        <f>IF(OR($A127="",NOT(ISNUMBER($F127)),NOT(ISNUMBER($C127))),"",IFERROR((($F127-IF($K127=0,0,SUMIFS('4. Chronology'!$F$5:$F$204,'4. Chronology'!$A$5:$A$204,$A127,'4. Chronology'!$B$5:$B$204,$K127)))*1000)/($C127-IF($K127=0,0,SUMIFS('4. Chronology'!$C$5:$C$204,'4. Chronology'!$A$5:$A$204,$A127,'4. Chronology'!$B$5:$B$204,$K127))),""))</f>
        <v/>
      </c>
      <c r="I127" s="18">
        <f>IF($A127="","",IF(COUNTIF('2. Core Log'!$A$5:$A$124,$A127)=0,"Core ID not in Core Log. ","")&amp;IF($E127="","No date source given — RERCA and LORCA need to know which method produced this age. ","")&amp;IF(AND(ISNUMBER($C127),$C127&lt;0),"Negative age: this horizon post-dates the coring year. Check the conversion. ","")&amp;IF(AND(ISNUMBER($G127),$G127&lt;0),"Age reversal — this horizon is younger than one above it. A mixed or disturbed profile may not be datable at all. ","")&amp;IF(AND(ISNUMBER($D127),ISNUMBER($C127),$C127&gt;0,$D127/$C127&gt;0.5),"Age uncertainty exceeds 50% of the age. Usable as an indication only. ","")&amp;IF(AND($D127="",$C127&lt;&gt;""),"No uncertainty given. Every radiometric age has one; a rate without it cannot be defended. ",""))</f>
        <v/>
      </c>
      <c r="J127" s="18">
        <f>IF($E127="",0,IF(OR(LEFT($E127,6)="Pb-210",LEFT($E127,6)="Cs-137"),1,0))</f>
        <v/>
      </c>
      <c r="K127" s="18">
        <f>IF(OR($A127="",NOT(ISNUMBER($B127))),"",SUMPRODUCT(MAX(('4. Chronology'!$A$5:$A$204=$A127)*('4. Chronology'!$B$5:$B$204&lt;$B127)*'4. Chronology'!$B$5:$B$204)))</f>
        <v/>
      </c>
    </row>
    <row r="128">
      <c r="A128" s="14" t="n"/>
      <c r="B128" s="14" t="n"/>
      <c r="C128" s="14" t="n"/>
      <c r="D128" s="14" t="n"/>
      <c r="E128" s="14" t="n"/>
      <c r="F128" s="18">
        <f>IF(OR($A128="",NOT(ISNUMBER($B128))),"",SUMIFS('3. Peat Data'!$P$5:$P$604,'3. Peat Data'!$B$5:$B$604,$A128,'3. Peat Data'!$F$5:$F$604,"&lt;="&amp;$B128)+SUMPRODUCT(('3. Peat Data'!$B$5:$B$604=$A128)*('3. Peat Data'!$E$5:$E$604&lt;$B128)*('3. Peat Data'!$F$5:$F$604&gt;$B128)*'3. Peat Data'!$R$5:$R$604*($B128-'3. Peat Data'!$E$5:$E$604)))</f>
        <v/>
      </c>
      <c r="G128" s="18">
        <f>IF(OR($A128="",NOT(ISNUMBER($B128)),NOT(ISNUMBER($C128))),"",IFERROR(($B128-$K128)/($C128-IF($K128=0,0,SUMIFS('4. Chronology'!$C$5:$C$204,'4. Chronology'!$A$5:$A$204,$A128,'4. Chronology'!$B$5:$B$204,$K128))),""))</f>
        <v/>
      </c>
      <c r="H128" s="18">
        <f>IF(OR($A128="",NOT(ISNUMBER($F128)),NOT(ISNUMBER($C128))),"",IFERROR((($F128-IF($K128=0,0,SUMIFS('4. Chronology'!$F$5:$F$204,'4. Chronology'!$A$5:$A$204,$A128,'4. Chronology'!$B$5:$B$204,$K128)))*1000)/($C128-IF($K128=0,0,SUMIFS('4. Chronology'!$C$5:$C$204,'4. Chronology'!$A$5:$A$204,$A128,'4. Chronology'!$B$5:$B$204,$K128))),""))</f>
        <v/>
      </c>
      <c r="I128" s="18">
        <f>IF($A128="","",IF(COUNTIF('2. Core Log'!$A$5:$A$124,$A128)=0,"Core ID not in Core Log. ","")&amp;IF($E128="","No date source given — RERCA and LORCA need to know which method produced this age. ","")&amp;IF(AND(ISNUMBER($C128),$C128&lt;0),"Negative age: this horizon post-dates the coring year. Check the conversion. ","")&amp;IF(AND(ISNUMBER($G128),$G128&lt;0),"Age reversal — this horizon is younger than one above it. A mixed or disturbed profile may not be datable at all. ","")&amp;IF(AND(ISNUMBER($D128),ISNUMBER($C128),$C128&gt;0,$D128/$C128&gt;0.5),"Age uncertainty exceeds 50% of the age. Usable as an indication only. ","")&amp;IF(AND($D128="",$C128&lt;&gt;""),"No uncertainty given. Every radiometric age has one; a rate without it cannot be defended. ",""))</f>
        <v/>
      </c>
      <c r="J128" s="18">
        <f>IF($E128="",0,IF(OR(LEFT($E128,6)="Pb-210",LEFT($E128,6)="Cs-137"),1,0))</f>
        <v/>
      </c>
      <c r="K128" s="18">
        <f>IF(OR($A128="",NOT(ISNUMBER($B128))),"",SUMPRODUCT(MAX(('4. Chronology'!$A$5:$A$204=$A128)*('4. Chronology'!$B$5:$B$204&lt;$B128)*'4. Chronology'!$B$5:$B$204)))</f>
        <v/>
      </c>
    </row>
    <row r="129">
      <c r="A129" s="14" t="n"/>
      <c r="B129" s="14" t="n"/>
      <c r="C129" s="14" t="n"/>
      <c r="D129" s="14" t="n"/>
      <c r="E129" s="14" t="n"/>
      <c r="F129" s="18">
        <f>IF(OR($A129="",NOT(ISNUMBER($B129))),"",SUMIFS('3. Peat Data'!$P$5:$P$604,'3. Peat Data'!$B$5:$B$604,$A129,'3. Peat Data'!$F$5:$F$604,"&lt;="&amp;$B129)+SUMPRODUCT(('3. Peat Data'!$B$5:$B$604=$A129)*('3. Peat Data'!$E$5:$E$604&lt;$B129)*('3. Peat Data'!$F$5:$F$604&gt;$B129)*'3. Peat Data'!$R$5:$R$604*($B129-'3. Peat Data'!$E$5:$E$604)))</f>
        <v/>
      </c>
      <c r="G129" s="18">
        <f>IF(OR($A129="",NOT(ISNUMBER($B129)),NOT(ISNUMBER($C129))),"",IFERROR(($B129-$K129)/($C129-IF($K129=0,0,SUMIFS('4. Chronology'!$C$5:$C$204,'4. Chronology'!$A$5:$A$204,$A129,'4. Chronology'!$B$5:$B$204,$K129))),""))</f>
        <v/>
      </c>
      <c r="H129" s="18">
        <f>IF(OR($A129="",NOT(ISNUMBER($F129)),NOT(ISNUMBER($C129))),"",IFERROR((($F129-IF($K129=0,0,SUMIFS('4. Chronology'!$F$5:$F$204,'4. Chronology'!$A$5:$A$204,$A129,'4. Chronology'!$B$5:$B$204,$K129)))*1000)/($C129-IF($K129=0,0,SUMIFS('4. Chronology'!$C$5:$C$204,'4. Chronology'!$A$5:$A$204,$A129,'4. Chronology'!$B$5:$B$204,$K129))),""))</f>
        <v/>
      </c>
      <c r="I129" s="18">
        <f>IF($A129="","",IF(COUNTIF('2. Core Log'!$A$5:$A$124,$A129)=0,"Core ID not in Core Log. ","")&amp;IF($E129="","No date source given — RERCA and LORCA need to know which method produced this age. ","")&amp;IF(AND(ISNUMBER($C129),$C129&lt;0),"Negative age: this horizon post-dates the coring year. Check the conversion. ","")&amp;IF(AND(ISNUMBER($G129),$G129&lt;0),"Age reversal — this horizon is younger than one above it. A mixed or disturbed profile may not be datable at all. ","")&amp;IF(AND(ISNUMBER($D129),ISNUMBER($C129),$C129&gt;0,$D129/$C129&gt;0.5),"Age uncertainty exceeds 50% of the age. Usable as an indication only. ","")&amp;IF(AND($D129="",$C129&lt;&gt;""),"No uncertainty given. Every radiometric age has one; a rate without it cannot be defended. ",""))</f>
        <v/>
      </c>
      <c r="J129" s="18">
        <f>IF($E129="",0,IF(OR(LEFT($E129,6)="Pb-210",LEFT($E129,6)="Cs-137"),1,0))</f>
        <v/>
      </c>
      <c r="K129" s="18">
        <f>IF(OR($A129="",NOT(ISNUMBER($B129))),"",SUMPRODUCT(MAX(('4. Chronology'!$A$5:$A$204=$A129)*('4. Chronology'!$B$5:$B$204&lt;$B129)*'4. Chronology'!$B$5:$B$204)))</f>
        <v/>
      </c>
    </row>
    <row r="130">
      <c r="A130" s="14" t="n"/>
      <c r="B130" s="14" t="n"/>
      <c r="C130" s="14" t="n"/>
      <c r="D130" s="14" t="n"/>
      <c r="E130" s="14" t="n"/>
      <c r="F130" s="18">
        <f>IF(OR($A130="",NOT(ISNUMBER($B130))),"",SUMIFS('3. Peat Data'!$P$5:$P$604,'3. Peat Data'!$B$5:$B$604,$A130,'3. Peat Data'!$F$5:$F$604,"&lt;="&amp;$B130)+SUMPRODUCT(('3. Peat Data'!$B$5:$B$604=$A130)*('3. Peat Data'!$E$5:$E$604&lt;$B130)*('3. Peat Data'!$F$5:$F$604&gt;$B130)*'3. Peat Data'!$R$5:$R$604*($B130-'3. Peat Data'!$E$5:$E$604)))</f>
        <v/>
      </c>
      <c r="G130" s="18">
        <f>IF(OR($A130="",NOT(ISNUMBER($B130)),NOT(ISNUMBER($C130))),"",IFERROR(($B130-$K130)/($C130-IF($K130=0,0,SUMIFS('4. Chronology'!$C$5:$C$204,'4. Chronology'!$A$5:$A$204,$A130,'4. Chronology'!$B$5:$B$204,$K130))),""))</f>
        <v/>
      </c>
      <c r="H130" s="18">
        <f>IF(OR($A130="",NOT(ISNUMBER($F130)),NOT(ISNUMBER($C130))),"",IFERROR((($F130-IF($K130=0,0,SUMIFS('4. Chronology'!$F$5:$F$204,'4. Chronology'!$A$5:$A$204,$A130,'4. Chronology'!$B$5:$B$204,$K130)))*1000)/($C130-IF($K130=0,0,SUMIFS('4. Chronology'!$C$5:$C$204,'4. Chronology'!$A$5:$A$204,$A130,'4. Chronology'!$B$5:$B$204,$K130))),""))</f>
        <v/>
      </c>
      <c r="I130" s="18">
        <f>IF($A130="","",IF(COUNTIF('2. Core Log'!$A$5:$A$124,$A130)=0,"Core ID not in Core Log. ","")&amp;IF($E130="","No date source given — RERCA and LORCA need to know which method produced this age. ","")&amp;IF(AND(ISNUMBER($C130),$C130&lt;0),"Negative age: this horizon post-dates the coring year. Check the conversion. ","")&amp;IF(AND(ISNUMBER($G130),$G130&lt;0),"Age reversal — this horizon is younger than one above it. A mixed or disturbed profile may not be datable at all. ","")&amp;IF(AND(ISNUMBER($D130),ISNUMBER($C130),$C130&gt;0,$D130/$C130&gt;0.5),"Age uncertainty exceeds 50% of the age. Usable as an indication only. ","")&amp;IF(AND($D130="",$C130&lt;&gt;""),"No uncertainty given. Every radiometric age has one; a rate without it cannot be defended. ",""))</f>
        <v/>
      </c>
      <c r="J130" s="18">
        <f>IF($E130="",0,IF(OR(LEFT($E130,6)="Pb-210",LEFT($E130,6)="Cs-137"),1,0))</f>
        <v/>
      </c>
      <c r="K130" s="18">
        <f>IF(OR($A130="",NOT(ISNUMBER($B130))),"",SUMPRODUCT(MAX(('4. Chronology'!$A$5:$A$204=$A130)*('4. Chronology'!$B$5:$B$204&lt;$B130)*'4. Chronology'!$B$5:$B$204)))</f>
        <v/>
      </c>
    </row>
    <row r="131">
      <c r="A131" s="14" t="n"/>
      <c r="B131" s="14" t="n"/>
      <c r="C131" s="14" t="n"/>
      <c r="D131" s="14" t="n"/>
      <c r="E131" s="14" t="n"/>
      <c r="F131" s="18">
        <f>IF(OR($A131="",NOT(ISNUMBER($B131))),"",SUMIFS('3. Peat Data'!$P$5:$P$604,'3. Peat Data'!$B$5:$B$604,$A131,'3. Peat Data'!$F$5:$F$604,"&lt;="&amp;$B131)+SUMPRODUCT(('3. Peat Data'!$B$5:$B$604=$A131)*('3. Peat Data'!$E$5:$E$604&lt;$B131)*('3. Peat Data'!$F$5:$F$604&gt;$B131)*'3. Peat Data'!$R$5:$R$604*($B131-'3. Peat Data'!$E$5:$E$604)))</f>
        <v/>
      </c>
      <c r="G131" s="18">
        <f>IF(OR($A131="",NOT(ISNUMBER($B131)),NOT(ISNUMBER($C131))),"",IFERROR(($B131-$K131)/($C131-IF($K131=0,0,SUMIFS('4. Chronology'!$C$5:$C$204,'4. Chronology'!$A$5:$A$204,$A131,'4. Chronology'!$B$5:$B$204,$K131))),""))</f>
        <v/>
      </c>
      <c r="H131" s="18">
        <f>IF(OR($A131="",NOT(ISNUMBER($F131)),NOT(ISNUMBER($C131))),"",IFERROR((($F131-IF($K131=0,0,SUMIFS('4. Chronology'!$F$5:$F$204,'4. Chronology'!$A$5:$A$204,$A131,'4. Chronology'!$B$5:$B$204,$K131)))*1000)/($C131-IF($K131=0,0,SUMIFS('4. Chronology'!$C$5:$C$204,'4. Chronology'!$A$5:$A$204,$A131,'4. Chronology'!$B$5:$B$204,$K131))),""))</f>
        <v/>
      </c>
      <c r="I131" s="18">
        <f>IF($A131="","",IF(COUNTIF('2. Core Log'!$A$5:$A$124,$A131)=0,"Core ID not in Core Log. ","")&amp;IF($E131="","No date source given — RERCA and LORCA need to know which method produced this age. ","")&amp;IF(AND(ISNUMBER($C131),$C131&lt;0),"Negative age: this horizon post-dates the coring year. Check the conversion. ","")&amp;IF(AND(ISNUMBER($G131),$G131&lt;0),"Age reversal — this horizon is younger than one above it. A mixed or disturbed profile may not be datable at all. ","")&amp;IF(AND(ISNUMBER($D131),ISNUMBER($C131),$C131&gt;0,$D131/$C131&gt;0.5),"Age uncertainty exceeds 50% of the age. Usable as an indication only. ","")&amp;IF(AND($D131="",$C131&lt;&gt;""),"No uncertainty given. Every radiometric age has one; a rate without it cannot be defended. ",""))</f>
        <v/>
      </c>
      <c r="J131" s="18">
        <f>IF($E131="",0,IF(OR(LEFT($E131,6)="Pb-210",LEFT($E131,6)="Cs-137"),1,0))</f>
        <v/>
      </c>
      <c r="K131" s="18">
        <f>IF(OR($A131="",NOT(ISNUMBER($B131))),"",SUMPRODUCT(MAX(('4. Chronology'!$A$5:$A$204=$A131)*('4. Chronology'!$B$5:$B$204&lt;$B131)*'4. Chronology'!$B$5:$B$204)))</f>
        <v/>
      </c>
    </row>
    <row r="132">
      <c r="A132" s="14" t="n"/>
      <c r="B132" s="14" t="n"/>
      <c r="C132" s="14" t="n"/>
      <c r="D132" s="14" t="n"/>
      <c r="E132" s="14" t="n"/>
      <c r="F132" s="18">
        <f>IF(OR($A132="",NOT(ISNUMBER($B132))),"",SUMIFS('3. Peat Data'!$P$5:$P$604,'3. Peat Data'!$B$5:$B$604,$A132,'3. Peat Data'!$F$5:$F$604,"&lt;="&amp;$B132)+SUMPRODUCT(('3. Peat Data'!$B$5:$B$604=$A132)*('3. Peat Data'!$E$5:$E$604&lt;$B132)*('3. Peat Data'!$F$5:$F$604&gt;$B132)*'3. Peat Data'!$R$5:$R$604*($B132-'3. Peat Data'!$E$5:$E$604)))</f>
        <v/>
      </c>
      <c r="G132" s="18">
        <f>IF(OR($A132="",NOT(ISNUMBER($B132)),NOT(ISNUMBER($C132))),"",IFERROR(($B132-$K132)/($C132-IF($K132=0,0,SUMIFS('4. Chronology'!$C$5:$C$204,'4. Chronology'!$A$5:$A$204,$A132,'4. Chronology'!$B$5:$B$204,$K132))),""))</f>
        <v/>
      </c>
      <c r="H132" s="18">
        <f>IF(OR($A132="",NOT(ISNUMBER($F132)),NOT(ISNUMBER($C132))),"",IFERROR((($F132-IF($K132=0,0,SUMIFS('4. Chronology'!$F$5:$F$204,'4. Chronology'!$A$5:$A$204,$A132,'4. Chronology'!$B$5:$B$204,$K132)))*1000)/($C132-IF($K132=0,0,SUMIFS('4. Chronology'!$C$5:$C$204,'4. Chronology'!$A$5:$A$204,$A132,'4. Chronology'!$B$5:$B$204,$K132))),""))</f>
        <v/>
      </c>
      <c r="I132" s="18">
        <f>IF($A132="","",IF(COUNTIF('2. Core Log'!$A$5:$A$124,$A132)=0,"Core ID not in Core Log. ","")&amp;IF($E132="","No date source given — RERCA and LORCA need to know which method produced this age. ","")&amp;IF(AND(ISNUMBER($C132),$C132&lt;0),"Negative age: this horizon post-dates the coring year. Check the conversion. ","")&amp;IF(AND(ISNUMBER($G132),$G132&lt;0),"Age reversal — this horizon is younger than one above it. A mixed or disturbed profile may not be datable at all. ","")&amp;IF(AND(ISNUMBER($D132),ISNUMBER($C132),$C132&gt;0,$D132/$C132&gt;0.5),"Age uncertainty exceeds 50% of the age. Usable as an indication only. ","")&amp;IF(AND($D132="",$C132&lt;&gt;""),"No uncertainty given. Every radiometric age has one; a rate without it cannot be defended. ",""))</f>
        <v/>
      </c>
      <c r="J132" s="18">
        <f>IF($E132="",0,IF(OR(LEFT($E132,6)="Pb-210",LEFT($E132,6)="Cs-137"),1,0))</f>
        <v/>
      </c>
      <c r="K132" s="18">
        <f>IF(OR($A132="",NOT(ISNUMBER($B132))),"",SUMPRODUCT(MAX(('4. Chronology'!$A$5:$A$204=$A132)*('4. Chronology'!$B$5:$B$204&lt;$B132)*'4. Chronology'!$B$5:$B$204)))</f>
        <v/>
      </c>
    </row>
    <row r="133">
      <c r="A133" s="14" t="n"/>
      <c r="B133" s="14" t="n"/>
      <c r="C133" s="14" t="n"/>
      <c r="D133" s="14" t="n"/>
      <c r="E133" s="14" t="n"/>
      <c r="F133" s="18">
        <f>IF(OR($A133="",NOT(ISNUMBER($B133))),"",SUMIFS('3. Peat Data'!$P$5:$P$604,'3. Peat Data'!$B$5:$B$604,$A133,'3. Peat Data'!$F$5:$F$604,"&lt;="&amp;$B133)+SUMPRODUCT(('3. Peat Data'!$B$5:$B$604=$A133)*('3. Peat Data'!$E$5:$E$604&lt;$B133)*('3. Peat Data'!$F$5:$F$604&gt;$B133)*'3. Peat Data'!$R$5:$R$604*($B133-'3. Peat Data'!$E$5:$E$604)))</f>
        <v/>
      </c>
      <c r="G133" s="18">
        <f>IF(OR($A133="",NOT(ISNUMBER($B133)),NOT(ISNUMBER($C133))),"",IFERROR(($B133-$K133)/($C133-IF($K133=0,0,SUMIFS('4. Chronology'!$C$5:$C$204,'4. Chronology'!$A$5:$A$204,$A133,'4. Chronology'!$B$5:$B$204,$K133))),""))</f>
        <v/>
      </c>
      <c r="H133" s="18">
        <f>IF(OR($A133="",NOT(ISNUMBER($F133)),NOT(ISNUMBER($C133))),"",IFERROR((($F133-IF($K133=0,0,SUMIFS('4. Chronology'!$F$5:$F$204,'4. Chronology'!$A$5:$A$204,$A133,'4. Chronology'!$B$5:$B$204,$K133)))*1000)/($C133-IF($K133=0,0,SUMIFS('4. Chronology'!$C$5:$C$204,'4. Chronology'!$A$5:$A$204,$A133,'4. Chronology'!$B$5:$B$204,$K133))),""))</f>
        <v/>
      </c>
      <c r="I133" s="18">
        <f>IF($A133="","",IF(COUNTIF('2. Core Log'!$A$5:$A$124,$A133)=0,"Core ID not in Core Log. ","")&amp;IF($E133="","No date source given — RERCA and LORCA need to know which method produced this age. ","")&amp;IF(AND(ISNUMBER($C133),$C133&lt;0),"Negative age: this horizon post-dates the coring year. Check the conversion. ","")&amp;IF(AND(ISNUMBER($G133),$G133&lt;0),"Age reversal — this horizon is younger than one above it. A mixed or disturbed profile may not be datable at all. ","")&amp;IF(AND(ISNUMBER($D133),ISNUMBER($C133),$C133&gt;0,$D133/$C133&gt;0.5),"Age uncertainty exceeds 50% of the age. Usable as an indication only. ","")&amp;IF(AND($D133="",$C133&lt;&gt;""),"No uncertainty given. Every radiometric age has one; a rate without it cannot be defended. ",""))</f>
        <v/>
      </c>
      <c r="J133" s="18">
        <f>IF($E133="",0,IF(OR(LEFT($E133,6)="Pb-210",LEFT($E133,6)="Cs-137"),1,0))</f>
        <v/>
      </c>
      <c r="K133" s="18">
        <f>IF(OR($A133="",NOT(ISNUMBER($B133))),"",SUMPRODUCT(MAX(('4. Chronology'!$A$5:$A$204=$A133)*('4. Chronology'!$B$5:$B$204&lt;$B133)*'4. Chronology'!$B$5:$B$204)))</f>
        <v/>
      </c>
    </row>
    <row r="134">
      <c r="A134" s="14" t="n"/>
      <c r="B134" s="14" t="n"/>
      <c r="C134" s="14" t="n"/>
      <c r="D134" s="14" t="n"/>
      <c r="E134" s="14" t="n"/>
      <c r="F134" s="18">
        <f>IF(OR($A134="",NOT(ISNUMBER($B134))),"",SUMIFS('3. Peat Data'!$P$5:$P$604,'3. Peat Data'!$B$5:$B$604,$A134,'3. Peat Data'!$F$5:$F$604,"&lt;="&amp;$B134)+SUMPRODUCT(('3. Peat Data'!$B$5:$B$604=$A134)*('3. Peat Data'!$E$5:$E$604&lt;$B134)*('3. Peat Data'!$F$5:$F$604&gt;$B134)*'3. Peat Data'!$R$5:$R$604*($B134-'3. Peat Data'!$E$5:$E$604)))</f>
        <v/>
      </c>
      <c r="G134" s="18">
        <f>IF(OR($A134="",NOT(ISNUMBER($B134)),NOT(ISNUMBER($C134))),"",IFERROR(($B134-$K134)/($C134-IF($K134=0,0,SUMIFS('4. Chronology'!$C$5:$C$204,'4. Chronology'!$A$5:$A$204,$A134,'4. Chronology'!$B$5:$B$204,$K134))),""))</f>
        <v/>
      </c>
      <c r="H134" s="18">
        <f>IF(OR($A134="",NOT(ISNUMBER($F134)),NOT(ISNUMBER($C134))),"",IFERROR((($F134-IF($K134=0,0,SUMIFS('4. Chronology'!$F$5:$F$204,'4. Chronology'!$A$5:$A$204,$A134,'4. Chronology'!$B$5:$B$204,$K134)))*1000)/($C134-IF($K134=0,0,SUMIFS('4. Chronology'!$C$5:$C$204,'4. Chronology'!$A$5:$A$204,$A134,'4. Chronology'!$B$5:$B$204,$K134))),""))</f>
        <v/>
      </c>
      <c r="I134" s="18">
        <f>IF($A134="","",IF(COUNTIF('2. Core Log'!$A$5:$A$124,$A134)=0,"Core ID not in Core Log. ","")&amp;IF($E134="","No date source given — RERCA and LORCA need to know which method produced this age. ","")&amp;IF(AND(ISNUMBER($C134),$C134&lt;0),"Negative age: this horizon post-dates the coring year. Check the conversion. ","")&amp;IF(AND(ISNUMBER($G134),$G134&lt;0),"Age reversal — this horizon is younger than one above it. A mixed or disturbed profile may not be datable at all. ","")&amp;IF(AND(ISNUMBER($D134),ISNUMBER($C134),$C134&gt;0,$D134/$C134&gt;0.5),"Age uncertainty exceeds 50% of the age. Usable as an indication only. ","")&amp;IF(AND($D134="",$C134&lt;&gt;""),"No uncertainty given. Every radiometric age has one; a rate without it cannot be defended. ",""))</f>
        <v/>
      </c>
      <c r="J134" s="18">
        <f>IF($E134="",0,IF(OR(LEFT($E134,6)="Pb-210",LEFT($E134,6)="Cs-137"),1,0))</f>
        <v/>
      </c>
      <c r="K134" s="18">
        <f>IF(OR($A134="",NOT(ISNUMBER($B134))),"",SUMPRODUCT(MAX(('4. Chronology'!$A$5:$A$204=$A134)*('4. Chronology'!$B$5:$B$204&lt;$B134)*'4. Chronology'!$B$5:$B$204)))</f>
        <v/>
      </c>
    </row>
    <row r="135">
      <c r="A135" s="14" t="n"/>
      <c r="B135" s="14" t="n"/>
      <c r="C135" s="14" t="n"/>
      <c r="D135" s="14" t="n"/>
      <c r="E135" s="14" t="n"/>
      <c r="F135" s="18">
        <f>IF(OR($A135="",NOT(ISNUMBER($B135))),"",SUMIFS('3. Peat Data'!$P$5:$P$604,'3. Peat Data'!$B$5:$B$604,$A135,'3. Peat Data'!$F$5:$F$604,"&lt;="&amp;$B135)+SUMPRODUCT(('3. Peat Data'!$B$5:$B$604=$A135)*('3. Peat Data'!$E$5:$E$604&lt;$B135)*('3. Peat Data'!$F$5:$F$604&gt;$B135)*'3. Peat Data'!$R$5:$R$604*($B135-'3. Peat Data'!$E$5:$E$604)))</f>
        <v/>
      </c>
      <c r="G135" s="18">
        <f>IF(OR($A135="",NOT(ISNUMBER($B135)),NOT(ISNUMBER($C135))),"",IFERROR(($B135-$K135)/($C135-IF($K135=0,0,SUMIFS('4. Chronology'!$C$5:$C$204,'4. Chronology'!$A$5:$A$204,$A135,'4. Chronology'!$B$5:$B$204,$K135))),""))</f>
        <v/>
      </c>
      <c r="H135" s="18">
        <f>IF(OR($A135="",NOT(ISNUMBER($F135)),NOT(ISNUMBER($C135))),"",IFERROR((($F135-IF($K135=0,0,SUMIFS('4. Chronology'!$F$5:$F$204,'4. Chronology'!$A$5:$A$204,$A135,'4. Chronology'!$B$5:$B$204,$K135)))*1000)/($C135-IF($K135=0,0,SUMIFS('4. Chronology'!$C$5:$C$204,'4. Chronology'!$A$5:$A$204,$A135,'4. Chronology'!$B$5:$B$204,$K135))),""))</f>
        <v/>
      </c>
      <c r="I135" s="18">
        <f>IF($A135="","",IF(COUNTIF('2. Core Log'!$A$5:$A$124,$A135)=0,"Core ID not in Core Log. ","")&amp;IF($E135="","No date source given — RERCA and LORCA need to know which method produced this age. ","")&amp;IF(AND(ISNUMBER($C135),$C135&lt;0),"Negative age: this horizon post-dates the coring year. Check the conversion. ","")&amp;IF(AND(ISNUMBER($G135),$G135&lt;0),"Age reversal — this horizon is younger than one above it. A mixed or disturbed profile may not be datable at all. ","")&amp;IF(AND(ISNUMBER($D135),ISNUMBER($C135),$C135&gt;0,$D135/$C135&gt;0.5),"Age uncertainty exceeds 50% of the age. Usable as an indication only. ","")&amp;IF(AND($D135="",$C135&lt;&gt;""),"No uncertainty given. Every radiometric age has one; a rate without it cannot be defended. ",""))</f>
        <v/>
      </c>
      <c r="J135" s="18">
        <f>IF($E135="",0,IF(OR(LEFT($E135,6)="Pb-210",LEFT($E135,6)="Cs-137"),1,0))</f>
        <v/>
      </c>
      <c r="K135" s="18">
        <f>IF(OR($A135="",NOT(ISNUMBER($B135))),"",SUMPRODUCT(MAX(('4. Chronology'!$A$5:$A$204=$A135)*('4. Chronology'!$B$5:$B$204&lt;$B135)*'4. Chronology'!$B$5:$B$204)))</f>
        <v/>
      </c>
    </row>
    <row r="136">
      <c r="A136" s="14" t="n"/>
      <c r="B136" s="14" t="n"/>
      <c r="C136" s="14" t="n"/>
      <c r="D136" s="14" t="n"/>
      <c r="E136" s="14" t="n"/>
      <c r="F136" s="18">
        <f>IF(OR($A136="",NOT(ISNUMBER($B136))),"",SUMIFS('3. Peat Data'!$P$5:$P$604,'3. Peat Data'!$B$5:$B$604,$A136,'3. Peat Data'!$F$5:$F$604,"&lt;="&amp;$B136)+SUMPRODUCT(('3. Peat Data'!$B$5:$B$604=$A136)*('3. Peat Data'!$E$5:$E$604&lt;$B136)*('3. Peat Data'!$F$5:$F$604&gt;$B136)*'3. Peat Data'!$R$5:$R$604*($B136-'3. Peat Data'!$E$5:$E$604)))</f>
        <v/>
      </c>
      <c r="G136" s="18">
        <f>IF(OR($A136="",NOT(ISNUMBER($B136)),NOT(ISNUMBER($C136))),"",IFERROR(($B136-$K136)/($C136-IF($K136=0,0,SUMIFS('4. Chronology'!$C$5:$C$204,'4. Chronology'!$A$5:$A$204,$A136,'4. Chronology'!$B$5:$B$204,$K136))),""))</f>
        <v/>
      </c>
      <c r="H136" s="18">
        <f>IF(OR($A136="",NOT(ISNUMBER($F136)),NOT(ISNUMBER($C136))),"",IFERROR((($F136-IF($K136=0,0,SUMIFS('4. Chronology'!$F$5:$F$204,'4. Chronology'!$A$5:$A$204,$A136,'4. Chronology'!$B$5:$B$204,$K136)))*1000)/($C136-IF($K136=0,0,SUMIFS('4. Chronology'!$C$5:$C$204,'4. Chronology'!$A$5:$A$204,$A136,'4. Chronology'!$B$5:$B$204,$K136))),""))</f>
        <v/>
      </c>
      <c r="I136" s="18">
        <f>IF($A136="","",IF(COUNTIF('2. Core Log'!$A$5:$A$124,$A136)=0,"Core ID not in Core Log. ","")&amp;IF($E136="","No date source given — RERCA and LORCA need to know which method produced this age. ","")&amp;IF(AND(ISNUMBER($C136),$C136&lt;0),"Negative age: this horizon post-dates the coring year. Check the conversion. ","")&amp;IF(AND(ISNUMBER($G136),$G136&lt;0),"Age reversal — this horizon is younger than one above it. A mixed or disturbed profile may not be datable at all. ","")&amp;IF(AND(ISNUMBER($D136),ISNUMBER($C136),$C136&gt;0,$D136/$C136&gt;0.5),"Age uncertainty exceeds 50% of the age. Usable as an indication only. ","")&amp;IF(AND($D136="",$C136&lt;&gt;""),"No uncertainty given. Every radiometric age has one; a rate without it cannot be defended. ",""))</f>
        <v/>
      </c>
      <c r="J136" s="18">
        <f>IF($E136="",0,IF(OR(LEFT($E136,6)="Pb-210",LEFT($E136,6)="Cs-137"),1,0))</f>
        <v/>
      </c>
      <c r="K136" s="18">
        <f>IF(OR($A136="",NOT(ISNUMBER($B136))),"",SUMPRODUCT(MAX(('4. Chronology'!$A$5:$A$204=$A136)*('4. Chronology'!$B$5:$B$204&lt;$B136)*'4. Chronology'!$B$5:$B$204)))</f>
        <v/>
      </c>
    </row>
    <row r="137">
      <c r="A137" s="14" t="n"/>
      <c r="B137" s="14" t="n"/>
      <c r="C137" s="14" t="n"/>
      <c r="D137" s="14" t="n"/>
      <c r="E137" s="14" t="n"/>
      <c r="F137" s="18">
        <f>IF(OR($A137="",NOT(ISNUMBER($B137))),"",SUMIFS('3. Peat Data'!$P$5:$P$604,'3. Peat Data'!$B$5:$B$604,$A137,'3. Peat Data'!$F$5:$F$604,"&lt;="&amp;$B137)+SUMPRODUCT(('3. Peat Data'!$B$5:$B$604=$A137)*('3. Peat Data'!$E$5:$E$604&lt;$B137)*('3. Peat Data'!$F$5:$F$604&gt;$B137)*'3. Peat Data'!$R$5:$R$604*($B137-'3. Peat Data'!$E$5:$E$604)))</f>
        <v/>
      </c>
      <c r="G137" s="18">
        <f>IF(OR($A137="",NOT(ISNUMBER($B137)),NOT(ISNUMBER($C137))),"",IFERROR(($B137-$K137)/($C137-IF($K137=0,0,SUMIFS('4. Chronology'!$C$5:$C$204,'4. Chronology'!$A$5:$A$204,$A137,'4. Chronology'!$B$5:$B$204,$K137))),""))</f>
        <v/>
      </c>
      <c r="H137" s="18">
        <f>IF(OR($A137="",NOT(ISNUMBER($F137)),NOT(ISNUMBER($C137))),"",IFERROR((($F137-IF($K137=0,0,SUMIFS('4. Chronology'!$F$5:$F$204,'4. Chronology'!$A$5:$A$204,$A137,'4. Chronology'!$B$5:$B$204,$K137)))*1000)/($C137-IF($K137=0,0,SUMIFS('4. Chronology'!$C$5:$C$204,'4. Chronology'!$A$5:$A$204,$A137,'4. Chronology'!$B$5:$B$204,$K137))),""))</f>
        <v/>
      </c>
      <c r="I137" s="18">
        <f>IF($A137="","",IF(COUNTIF('2. Core Log'!$A$5:$A$124,$A137)=0,"Core ID not in Core Log. ","")&amp;IF($E137="","No date source given — RERCA and LORCA need to know which method produced this age. ","")&amp;IF(AND(ISNUMBER($C137),$C137&lt;0),"Negative age: this horizon post-dates the coring year. Check the conversion. ","")&amp;IF(AND(ISNUMBER($G137),$G137&lt;0),"Age reversal — this horizon is younger than one above it. A mixed or disturbed profile may not be datable at all. ","")&amp;IF(AND(ISNUMBER($D137),ISNUMBER($C137),$C137&gt;0,$D137/$C137&gt;0.5),"Age uncertainty exceeds 50% of the age. Usable as an indication only. ","")&amp;IF(AND($D137="",$C137&lt;&gt;""),"No uncertainty given. Every radiometric age has one; a rate without it cannot be defended. ",""))</f>
        <v/>
      </c>
      <c r="J137" s="18">
        <f>IF($E137="",0,IF(OR(LEFT($E137,6)="Pb-210",LEFT($E137,6)="Cs-137"),1,0))</f>
        <v/>
      </c>
      <c r="K137" s="18">
        <f>IF(OR($A137="",NOT(ISNUMBER($B137))),"",SUMPRODUCT(MAX(('4. Chronology'!$A$5:$A$204=$A137)*('4. Chronology'!$B$5:$B$204&lt;$B137)*'4. Chronology'!$B$5:$B$204)))</f>
        <v/>
      </c>
    </row>
    <row r="138">
      <c r="A138" s="14" t="n"/>
      <c r="B138" s="14" t="n"/>
      <c r="C138" s="14" t="n"/>
      <c r="D138" s="14" t="n"/>
      <c r="E138" s="14" t="n"/>
      <c r="F138" s="18">
        <f>IF(OR($A138="",NOT(ISNUMBER($B138))),"",SUMIFS('3. Peat Data'!$P$5:$P$604,'3. Peat Data'!$B$5:$B$604,$A138,'3. Peat Data'!$F$5:$F$604,"&lt;="&amp;$B138)+SUMPRODUCT(('3. Peat Data'!$B$5:$B$604=$A138)*('3. Peat Data'!$E$5:$E$604&lt;$B138)*('3. Peat Data'!$F$5:$F$604&gt;$B138)*'3. Peat Data'!$R$5:$R$604*($B138-'3. Peat Data'!$E$5:$E$604)))</f>
        <v/>
      </c>
      <c r="G138" s="18">
        <f>IF(OR($A138="",NOT(ISNUMBER($B138)),NOT(ISNUMBER($C138))),"",IFERROR(($B138-$K138)/($C138-IF($K138=0,0,SUMIFS('4. Chronology'!$C$5:$C$204,'4. Chronology'!$A$5:$A$204,$A138,'4. Chronology'!$B$5:$B$204,$K138))),""))</f>
        <v/>
      </c>
      <c r="H138" s="18">
        <f>IF(OR($A138="",NOT(ISNUMBER($F138)),NOT(ISNUMBER($C138))),"",IFERROR((($F138-IF($K138=0,0,SUMIFS('4. Chronology'!$F$5:$F$204,'4. Chronology'!$A$5:$A$204,$A138,'4. Chronology'!$B$5:$B$204,$K138)))*1000)/($C138-IF($K138=0,0,SUMIFS('4. Chronology'!$C$5:$C$204,'4. Chronology'!$A$5:$A$204,$A138,'4. Chronology'!$B$5:$B$204,$K138))),""))</f>
        <v/>
      </c>
      <c r="I138" s="18">
        <f>IF($A138="","",IF(COUNTIF('2. Core Log'!$A$5:$A$124,$A138)=0,"Core ID not in Core Log. ","")&amp;IF($E138="","No date source given — RERCA and LORCA need to know which method produced this age. ","")&amp;IF(AND(ISNUMBER($C138),$C138&lt;0),"Negative age: this horizon post-dates the coring year. Check the conversion. ","")&amp;IF(AND(ISNUMBER($G138),$G138&lt;0),"Age reversal — this horizon is younger than one above it. A mixed or disturbed profile may not be datable at all. ","")&amp;IF(AND(ISNUMBER($D138),ISNUMBER($C138),$C138&gt;0,$D138/$C138&gt;0.5),"Age uncertainty exceeds 50% of the age. Usable as an indication only. ","")&amp;IF(AND($D138="",$C138&lt;&gt;""),"No uncertainty given. Every radiometric age has one; a rate without it cannot be defended. ",""))</f>
        <v/>
      </c>
      <c r="J138" s="18">
        <f>IF($E138="",0,IF(OR(LEFT($E138,6)="Pb-210",LEFT($E138,6)="Cs-137"),1,0))</f>
        <v/>
      </c>
      <c r="K138" s="18">
        <f>IF(OR($A138="",NOT(ISNUMBER($B138))),"",SUMPRODUCT(MAX(('4. Chronology'!$A$5:$A$204=$A138)*('4. Chronology'!$B$5:$B$204&lt;$B138)*'4. Chronology'!$B$5:$B$204)))</f>
        <v/>
      </c>
    </row>
    <row r="139">
      <c r="A139" s="14" t="n"/>
      <c r="B139" s="14" t="n"/>
      <c r="C139" s="14" t="n"/>
      <c r="D139" s="14" t="n"/>
      <c r="E139" s="14" t="n"/>
      <c r="F139" s="18">
        <f>IF(OR($A139="",NOT(ISNUMBER($B139))),"",SUMIFS('3. Peat Data'!$P$5:$P$604,'3. Peat Data'!$B$5:$B$604,$A139,'3. Peat Data'!$F$5:$F$604,"&lt;="&amp;$B139)+SUMPRODUCT(('3. Peat Data'!$B$5:$B$604=$A139)*('3. Peat Data'!$E$5:$E$604&lt;$B139)*('3. Peat Data'!$F$5:$F$604&gt;$B139)*'3. Peat Data'!$R$5:$R$604*($B139-'3. Peat Data'!$E$5:$E$604)))</f>
        <v/>
      </c>
      <c r="G139" s="18">
        <f>IF(OR($A139="",NOT(ISNUMBER($B139)),NOT(ISNUMBER($C139))),"",IFERROR(($B139-$K139)/($C139-IF($K139=0,0,SUMIFS('4. Chronology'!$C$5:$C$204,'4. Chronology'!$A$5:$A$204,$A139,'4. Chronology'!$B$5:$B$204,$K139))),""))</f>
        <v/>
      </c>
      <c r="H139" s="18">
        <f>IF(OR($A139="",NOT(ISNUMBER($F139)),NOT(ISNUMBER($C139))),"",IFERROR((($F139-IF($K139=0,0,SUMIFS('4. Chronology'!$F$5:$F$204,'4. Chronology'!$A$5:$A$204,$A139,'4. Chronology'!$B$5:$B$204,$K139)))*1000)/($C139-IF($K139=0,0,SUMIFS('4. Chronology'!$C$5:$C$204,'4. Chronology'!$A$5:$A$204,$A139,'4. Chronology'!$B$5:$B$204,$K139))),""))</f>
        <v/>
      </c>
      <c r="I139" s="18">
        <f>IF($A139="","",IF(COUNTIF('2. Core Log'!$A$5:$A$124,$A139)=0,"Core ID not in Core Log. ","")&amp;IF($E139="","No date source given — RERCA and LORCA need to know which method produced this age. ","")&amp;IF(AND(ISNUMBER($C139),$C139&lt;0),"Negative age: this horizon post-dates the coring year. Check the conversion. ","")&amp;IF(AND(ISNUMBER($G139),$G139&lt;0),"Age reversal — this horizon is younger than one above it. A mixed or disturbed profile may not be datable at all. ","")&amp;IF(AND(ISNUMBER($D139),ISNUMBER($C139),$C139&gt;0,$D139/$C139&gt;0.5),"Age uncertainty exceeds 50% of the age. Usable as an indication only. ","")&amp;IF(AND($D139="",$C139&lt;&gt;""),"No uncertainty given. Every radiometric age has one; a rate without it cannot be defended. ",""))</f>
        <v/>
      </c>
      <c r="J139" s="18">
        <f>IF($E139="",0,IF(OR(LEFT($E139,6)="Pb-210",LEFT($E139,6)="Cs-137"),1,0))</f>
        <v/>
      </c>
      <c r="K139" s="18">
        <f>IF(OR($A139="",NOT(ISNUMBER($B139))),"",SUMPRODUCT(MAX(('4. Chronology'!$A$5:$A$204=$A139)*('4. Chronology'!$B$5:$B$204&lt;$B139)*'4. Chronology'!$B$5:$B$204)))</f>
        <v/>
      </c>
    </row>
    <row r="140">
      <c r="A140" s="14" t="n"/>
      <c r="B140" s="14" t="n"/>
      <c r="C140" s="14" t="n"/>
      <c r="D140" s="14" t="n"/>
      <c r="E140" s="14" t="n"/>
      <c r="F140" s="18">
        <f>IF(OR($A140="",NOT(ISNUMBER($B140))),"",SUMIFS('3. Peat Data'!$P$5:$P$604,'3. Peat Data'!$B$5:$B$604,$A140,'3. Peat Data'!$F$5:$F$604,"&lt;="&amp;$B140)+SUMPRODUCT(('3. Peat Data'!$B$5:$B$604=$A140)*('3. Peat Data'!$E$5:$E$604&lt;$B140)*('3. Peat Data'!$F$5:$F$604&gt;$B140)*'3. Peat Data'!$R$5:$R$604*($B140-'3. Peat Data'!$E$5:$E$604)))</f>
        <v/>
      </c>
      <c r="G140" s="18">
        <f>IF(OR($A140="",NOT(ISNUMBER($B140)),NOT(ISNUMBER($C140))),"",IFERROR(($B140-$K140)/($C140-IF($K140=0,0,SUMIFS('4. Chronology'!$C$5:$C$204,'4. Chronology'!$A$5:$A$204,$A140,'4. Chronology'!$B$5:$B$204,$K140))),""))</f>
        <v/>
      </c>
      <c r="H140" s="18">
        <f>IF(OR($A140="",NOT(ISNUMBER($F140)),NOT(ISNUMBER($C140))),"",IFERROR((($F140-IF($K140=0,0,SUMIFS('4. Chronology'!$F$5:$F$204,'4. Chronology'!$A$5:$A$204,$A140,'4. Chronology'!$B$5:$B$204,$K140)))*1000)/($C140-IF($K140=0,0,SUMIFS('4. Chronology'!$C$5:$C$204,'4. Chronology'!$A$5:$A$204,$A140,'4. Chronology'!$B$5:$B$204,$K140))),""))</f>
        <v/>
      </c>
      <c r="I140" s="18">
        <f>IF($A140="","",IF(COUNTIF('2. Core Log'!$A$5:$A$124,$A140)=0,"Core ID not in Core Log. ","")&amp;IF($E140="","No date source given — RERCA and LORCA need to know which method produced this age. ","")&amp;IF(AND(ISNUMBER($C140),$C140&lt;0),"Negative age: this horizon post-dates the coring year. Check the conversion. ","")&amp;IF(AND(ISNUMBER($G140),$G140&lt;0),"Age reversal — this horizon is younger than one above it. A mixed or disturbed profile may not be datable at all. ","")&amp;IF(AND(ISNUMBER($D140),ISNUMBER($C140),$C140&gt;0,$D140/$C140&gt;0.5),"Age uncertainty exceeds 50% of the age. Usable as an indication only. ","")&amp;IF(AND($D140="",$C140&lt;&gt;""),"No uncertainty given. Every radiometric age has one; a rate without it cannot be defended. ",""))</f>
        <v/>
      </c>
      <c r="J140" s="18">
        <f>IF($E140="",0,IF(OR(LEFT($E140,6)="Pb-210",LEFT($E140,6)="Cs-137"),1,0))</f>
        <v/>
      </c>
      <c r="K140" s="18">
        <f>IF(OR($A140="",NOT(ISNUMBER($B140))),"",SUMPRODUCT(MAX(('4. Chronology'!$A$5:$A$204=$A140)*('4. Chronology'!$B$5:$B$204&lt;$B140)*'4. Chronology'!$B$5:$B$204)))</f>
        <v/>
      </c>
    </row>
    <row r="141">
      <c r="A141" s="14" t="n"/>
      <c r="B141" s="14" t="n"/>
      <c r="C141" s="14" t="n"/>
      <c r="D141" s="14" t="n"/>
      <c r="E141" s="14" t="n"/>
      <c r="F141" s="18">
        <f>IF(OR($A141="",NOT(ISNUMBER($B141))),"",SUMIFS('3. Peat Data'!$P$5:$P$604,'3. Peat Data'!$B$5:$B$604,$A141,'3. Peat Data'!$F$5:$F$604,"&lt;="&amp;$B141)+SUMPRODUCT(('3. Peat Data'!$B$5:$B$604=$A141)*('3. Peat Data'!$E$5:$E$604&lt;$B141)*('3. Peat Data'!$F$5:$F$604&gt;$B141)*'3. Peat Data'!$R$5:$R$604*($B141-'3. Peat Data'!$E$5:$E$604)))</f>
        <v/>
      </c>
      <c r="G141" s="18">
        <f>IF(OR($A141="",NOT(ISNUMBER($B141)),NOT(ISNUMBER($C141))),"",IFERROR(($B141-$K141)/($C141-IF($K141=0,0,SUMIFS('4. Chronology'!$C$5:$C$204,'4. Chronology'!$A$5:$A$204,$A141,'4. Chronology'!$B$5:$B$204,$K141))),""))</f>
        <v/>
      </c>
      <c r="H141" s="18">
        <f>IF(OR($A141="",NOT(ISNUMBER($F141)),NOT(ISNUMBER($C141))),"",IFERROR((($F141-IF($K141=0,0,SUMIFS('4. Chronology'!$F$5:$F$204,'4. Chronology'!$A$5:$A$204,$A141,'4. Chronology'!$B$5:$B$204,$K141)))*1000)/($C141-IF($K141=0,0,SUMIFS('4. Chronology'!$C$5:$C$204,'4. Chronology'!$A$5:$A$204,$A141,'4. Chronology'!$B$5:$B$204,$K141))),""))</f>
        <v/>
      </c>
      <c r="I141" s="18">
        <f>IF($A141="","",IF(COUNTIF('2. Core Log'!$A$5:$A$124,$A141)=0,"Core ID not in Core Log. ","")&amp;IF($E141="","No date source given — RERCA and LORCA need to know which method produced this age. ","")&amp;IF(AND(ISNUMBER($C141),$C141&lt;0),"Negative age: this horizon post-dates the coring year. Check the conversion. ","")&amp;IF(AND(ISNUMBER($G141),$G141&lt;0),"Age reversal — this horizon is younger than one above it. A mixed or disturbed profile may not be datable at all. ","")&amp;IF(AND(ISNUMBER($D141),ISNUMBER($C141),$C141&gt;0,$D141/$C141&gt;0.5),"Age uncertainty exceeds 50% of the age. Usable as an indication only. ","")&amp;IF(AND($D141="",$C141&lt;&gt;""),"No uncertainty given. Every radiometric age has one; a rate without it cannot be defended. ",""))</f>
        <v/>
      </c>
      <c r="J141" s="18">
        <f>IF($E141="",0,IF(OR(LEFT($E141,6)="Pb-210",LEFT($E141,6)="Cs-137"),1,0))</f>
        <v/>
      </c>
      <c r="K141" s="18">
        <f>IF(OR($A141="",NOT(ISNUMBER($B141))),"",SUMPRODUCT(MAX(('4. Chronology'!$A$5:$A$204=$A141)*('4. Chronology'!$B$5:$B$204&lt;$B141)*'4. Chronology'!$B$5:$B$204)))</f>
        <v/>
      </c>
    </row>
    <row r="142">
      <c r="A142" s="14" t="n"/>
      <c r="B142" s="14" t="n"/>
      <c r="C142" s="14" t="n"/>
      <c r="D142" s="14" t="n"/>
      <c r="E142" s="14" t="n"/>
      <c r="F142" s="18">
        <f>IF(OR($A142="",NOT(ISNUMBER($B142))),"",SUMIFS('3. Peat Data'!$P$5:$P$604,'3. Peat Data'!$B$5:$B$604,$A142,'3. Peat Data'!$F$5:$F$604,"&lt;="&amp;$B142)+SUMPRODUCT(('3. Peat Data'!$B$5:$B$604=$A142)*('3. Peat Data'!$E$5:$E$604&lt;$B142)*('3. Peat Data'!$F$5:$F$604&gt;$B142)*'3. Peat Data'!$R$5:$R$604*($B142-'3. Peat Data'!$E$5:$E$604)))</f>
        <v/>
      </c>
      <c r="G142" s="18">
        <f>IF(OR($A142="",NOT(ISNUMBER($B142)),NOT(ISNUMBER($C142))),"",IFERROR(($B142-$K142)/($C142-IF($K142=0,0,SUMIFS('4. Chronology'!$C$5:$C$204,'4. Chronology'!$A$5:$A$204,$A142,'4. Chronology'!$B$5:$B$204,$K142))),""))</f>
        <v/>
      </c>
      <c r="H142" s="18">
        <f>IF(OR($A142="",NOT(ISNUMBER($F142)),NOT(ISNUMBER($C142))),"",IFERROR((($F142-IF($K142=0,0,SUMIFS('4. Chronology'!$F$5:$F$204,'4. Chronology'!$A$5:$A$204,$A142,'4. Chronology'!$B$5:$B$204,$K142)))*1000)/($C142-IF($K142=0,0,SUMIFS('4. Chronology'!$C$5:$C$204,'4. Chronology'!$A$5:$A$204,$A142,'4. Chronology'!$B$5:$B$204,$K142))),""))</f>
        <v/>
      </c>
      <c r="I142" s="18">
        <f>IF($A142="","",IF(COUNTIF('2. Core Log'!$A$5:$A$124,$A142)=0,"Core ID not in Core Log. ","")&amp;IF($E142="","No date source given — RERCA and LORCA need to know which method produced this age. ","")&amp;IF(AND(ISNUMBER($C142),$C142&lt;0),"Negative age: this horizon post-dates the coring year. Check the conversion. ","")&amp;IF(AND(ISNUMBER($G142),$G142&lt;0),"Age reversal — this horizon is younger than one above it. A mixed or disturbed profile may not be datable at all. ","")&amp;IF(AND(ISNUMBER($D142),ISNUMBER($C142),$C142&gt;0,$D142/$C142&gt;0.5),"Age uncertainty exceeds 50% of the age. Usable as an indication only. ","")&amp;IF(AND($D142="",$C142&lt;&gt;""),"No uncertainty given. Every radiometric age has one; a rate without it cannot be defended. ",""))</f>
        <v/>
      </c>
      <c r="J142" s="18">
        <f>IF($E142="",0,IF(OR(LEFT($E142,6)="Pb-210",LEFT($E142,6)="Cs-137"),1,0))</f>
        <v/>
      </c>
      <c r="K142" s="18">
        <f>IF(OR($A142="",NOT(ISNUMBER($B142))),"",SUMPRODUCT(MAX(('4. Chronology'!$A$5:$A$204=$A142)*('4. Chronology'!$B$5:$B$204&lt;$B142)*'4. Chronology'!$B$5:$B$204)))</f>
        <v/>
      </c>
    </row>
    <row r="143">
      <c r="A143" s="14" t="n"/>
      <c r="B143" s="14" t="n"/>
      <c r="C143" s="14" t="n"/>
      <c r="D143" s="14" t="n"/>
      <c r="E143" s="14" t="n"/>
      <c r="F143" s="18">
        <f>IF(OR($A143="",NOT(ISNUMBER($B143))),"",SUMIFS('3. Peat Data'!$P$5:$P$604,'3. Peat Data'!$B$5:$B$604,$A143,'3. Peat Data'!$F$5:$F$604,"&lt;="&amp;$B143)+SUMPRODUCT(('3. Peat Data'!$B$5:$B$604=$A143)*('3. Peat Data'!$E$5:$E$604&lt;$B143)*('3. Peat Data'!$F$5:$F$604&gt;$B143)*'3. Peat Data'!$R$5:$R$604*($B143-'3. Peat Data'!$E$5:$E$604)))</f>
        <v/>
      </c>
      <c r="G143" s="18">
        <f>IF(OR($A143="",NOT(ISNUMBER($B143)),NOT(ISNUMBER($C143))),"",IFERROR(($B143-$K143)/($C143-IF($K143=0,0,SUMIFS('4. Chronology'!$C$5:$C$204,'4. Chronology'!$A$5:$A$204,$A143,'4. Chronology'!$B$5:$B$204,$K143))),""))</f>
        <v/>
      </c>
      <c r="H143" s="18">
        <f>IF(OR($A143="",NOT(ISNUMBER($F143)),NOT(ISNUMBER($C143))),"",IFERROR((($F143-IF($K143=0,0,SUMIFS('4. Chronology'!$F$5:$F$204,'4. Chronology'!$A$5:$A$204,$A143,'4. Chronology'!$B$5:$B$204,$K143)))*1000)/($C143-IF($K143=0,0,SUMIFS('4. Chronology'!$C$5:$C$204,'4. Chronology'!$A$5:$A$204,$A143,'4. Chronology'!$B$5:$B$204,$K143))),""))</f>
        <v/>
      </c>
      <c r="I143" s="18">
        <f>IF($A143="","",IF(COUNTIF('2. Core Log'!$A$5:$A$124,$A143)=0,"Core ID not in Core Log. ","")&amp;IF($E143="","No date source given — RERCA and LORCA need to know which method produced this age. ","")&amp;IF(AND(ISNUMBER($C143),$C143&lt;0),"Negative age: this horizon post-dates the coring year. Check the conversion. ","")&amp;IF(AND(ISNUMBER($G143),$G143&lt;0),"Age reversal — this horizon is younger than one above it. A mixed or disturbed profile may not be datable at all. ","")&amp;IF(AND(ISNUMBER($D143),ISNUMBER($C143),$C143&gt;0,$D143/$C143&gt;0.5),"Age uncertainty exceeds 50% of the age. Usable as an indication only. ","")&amp;IF(AND($D143="",$C143&lt;&gt;""),"No uncertainty given. Every radiometric age has one; a rate without it cannot be defended. ",""))</f>
        <v/>
      </c>
      <c r="J143" s="18">
        <f>IF($E143="",0,IF(OR(LEFT($E143,6)="Pb-210",LEFT($E143,6)="Cs-137"),1,0))</f>
        <v/>
      </c>
      <c r="K143" s="18">
        <f>IF(OR($A143="",NOT(ISNUMBER($B143))),"",SUMPRODUCT(MAX(('4. Chronology'!$A$5:$A$204=$A143)*('4. Chronology'!$B$5:$B$204&lt;$B143)*'4. Chronology'!$B$5:$B$204)))</f>
        <v/>
      </c>
    </row>
    <row r="144">
      <c r="A144" s="14" t="n"/>
      <c r="B144" s="14" t="n"/>
      <c r="C144" s="14" t="n"/>
      <c r="D144" s="14" t="n"/>
      <c r="E144" s="14" t="n"/>
      <c r="F144" s="18">
        <f>IF(OR($A144="",NOT(ISNUMBER($B144))),"",SUMIFS('3. Peat Data'!$P$5:$P$604,'3. Peat Data'!$B$5:$B$604,$A144,'3. Peat Data'!$F$5:$F$604,"&lt;="&amp;$B144)+SUMPRODUCT(('3. Peat Data'!$B$5:$B$604=$A144)*('3. Peat Data'!$E$5:$E$604&lt;$B144)*('3. Peat Data'!$F$5:$F$604&gt;$B144)*'3. Peat Data'!$R$5:$R$604*($B144-'3. Peat Data'!$E$5:$E$604)))</f>
        <v/>
      </c>
      <c r="G144" s="18">
        <f>IF(OR($A144="",NOT(ISNUMBER($B144)),NOT(ISNUMBER($C144))),"",IFERROR(($B144-$K144)/($C144-IF($K144=0,0,SUMIFS('4. Chronology'!$C$5:$C$204,'4. Chronology'!$A$5:$A$204,$A144,'4. Chronology'!$B$5:$B$204,$K144))),""))</f>
        <v/>
      </c>
      <c r="H144" s="18">
        <f>IF(OR($A144="",NOT(ISNUMBER($F144)),NOT(ISNUMBER($C144))),"",IFERROR((($F144-IF($K144=0,0,SUMIFS('4. Chronology'!$F$5:$F$204,'4. Chronology'!$A$5:$A$204,$A144,'4. Chronology'!$B$5:$B$204,$K144)))*1000)/($C144-IF($K144=0,0,SUMIFS('4. Chronology'!$C$5:$C$204,'4. Chronology'!$A$5:$A$204,$A144,'4. Chronology'!$B$5:$B$204,$K144))),""))</f>
        <v/>
      </c>
      <c r="I144" s="18">
        <f>IF($A144="","",IF(COUNTIF('2. Core Log'!$A$5:$A$124,$A144)=0,"Core ID not in Core Log. ","")&amp;IF($E144="","No date source given — RERCA and LORCA need to know which method produced this age. ","")&amp;IF(AND(ISNUMBER($C144),$C144&lt;0),"Negative age: this horizon post-dates the coring year. Check the conversion. ","")&amp;IF(AND(ISNUMBER($G144),$G144&lt;0),"Age reversal — this horizon is younger than one above it. A mixed or disturbed profile may not be datable at all. ","")&amp;IF(AND(ISNUMBER($D144),ISNUMBER($C144),$C144&gt;0,$D144/$C144&gt;0.5),"Age uncertainty exceeds 50% of the age. Usable as an indication only. ","")&amp;IF(AND($D144="",$C144&lt;&gt;""),"No uncertainty given. Every radiometric age has one; a rate without it cannot be defended. ",""))</f>
        <v/>
      </c>
      <c r="J144" s="18">
        <f>IF($E144="",0,IF(OR(LEFT($E144,6)="Pb-210",LEFT($E144,6)="Cs-137"),1,0))</f>
        <v/>
      </c>
      <c r="K144" s="18">
        <f>IF(OR($A144="",NOT(ISNUMBER($B144))),"",SUMPRODUCT(MAX(('4. Chronology'!$A$5:$A$204=$A144)*('4. Chronology'!$B$5:$B$204&lt;$B144)*'4. Chronology'!$B$5:$B$204)))</f>
        <v/>
      </c>
    </row>
    <row r="145">
      <c r="A145" s="14" t="n"/>
      <c r="B145" s="14" t="n"/>
      <c r="C145" s="14" t="n"/>
      <c r="D145" s="14" t="n"/>
      <c r="E145" s="14" t="n"/>
      <c r="F145" s="18">
        <f>IF(OR($A145="",NOT(ISNUMBER($B145))),"",SUMIFS('3. Peat Data'!$P$5:$P$604,'3. Peat Data'!$B$5:$B$604,$A145,'3. Peat Data'!$F$5:$F$604,"&lt;="&amp;$B145)+SUMPRODUCT(('3. Peat Data'!$B$5:$B$604=$A145)*('3. Peat Data'!$E$5:$E$604&lt;$B145)*('3. Peat Data'!$F$5:$F$604&gt;$B145)*'3. Peat Data'!$R$5:$R$604*($B145-'3. Peat Data'!$E$5:$E$604)))</f>
        <v/>
      </c>
      <c r="G145" s="18">
        <f>IF(OR($A145="",NOT(ISNUMBER($B145)),NOT(ISNUMBER($C145))),"",IFERROR(($B145-$K145)/($C145-IF($K145=0,0,SUMIFS('4. Chronology'!$C$5:$C$204,'4. Chronology'!$A$5:$A$204,$A145,'4. Chronology'!$B$5:$B$204,$K145))),""))</f>
        <v/>
      </c>
      <c r="H145" s="18">
        <f>IF(OR($A145="",NOT(ISNUMBER($F145)),NOT(ISNUMBER($C145))),"",IFERROR((($F145-IF($K145=0,0,SUMIFS('4. Chronology'!$F$5:$F$204,'4. Chronology'!$A$5:$A$204,$A145,'4. Chronology'!$B$5:$B$204,$K145)))*1000)/($C145-IF($K145=0,0,SUMIFS('4. Chronology'!$C$5:$C$204,'4. Chronology'!$A$5:$A$204,$A145,'4. Chronology'!$B$5:$B$204,$K145))),""))</f>
        <v/>
      </c>
      <c r="I145" s="18">
        <f>IF($A145="","",IF(COUNTIF('2. Core Log'!$A$5:$A$124,$A145)=0,"Core ID not in Core Log. ","")&amp;IF($E145="","No date source given — RERCA and LORCA need to know which method produced this age. ","")&amp;IF(AND(ISNUMBER($C145),$C145&lt;0),"Negative age: this horizon post-dates the coring year. Check the conversion. ","")&amp;IF(AND(ISNUMBER($G145),$G145&lt;0),"Age reversal — this horizon is younger than one above it. A mixed or disturbed profile may not be datable at all. ","")&amp;IF(AND(ISNUMBER($D145),ISNUMBER($C145),$C145&gt;0,$D145/$C145&gt;0.5),"Age uncertainty exceeds 50% of the age. Usable as an indication only. ","")&amp;IF(AND($D145="",$C145&lt;&gt;""),"No uncertainty given. Every radiometric age has one; a rate without it cannot be defended. ",""))</f>
        <v/>
      </c>
      <c r="J145" s="18">
        <f>IF($E145="",0,IF(OR(LEFT($E145,6)="Pb-210",LEFT($E145,6)="Cs-137"),1,0))</f>
        <v/>
      </c>
      <c r="K145" s="18">
        <f>IF(OR($A145="",NOT(ISNUMBER($B145))),"",SUMPRODUCT(MAX(('4. Chronology'!$A$5:$A$204=$A145)*('4. Chronology'!$B$5:$B$204&lt;$B145)*'4. Chronology'!$B$5:$B$204)))</f>
        <v/>
      </c>
    </row>
    <row r="146">
      <c r="A146" s="14" t="n"/>
      <c r="B146" s="14" t="n"/>
      <c r="C146" s="14" t="n"/>
      <c r="D146" s="14" t="n"/>
      <c r="E146" s="14" t="n"/>
      <c r="F146" s="18">
        <f>IF(OR($A146="",NOT(ISNUMBER($B146))),"",SUMIFS('3. Peat Data'!$P$5:$P$604,'3. Peat Data'!$B$5:$B$604,$A146,'3. Peat Data'!$F$5:$F$604,"&lt;="&amp;$B146)+SUMPRODUCT(('3. Peat Data'!$B$5:$B$604=$A146)*('3. Peat Data'!$E$5:$E$604&lt;$B146)*('3. Peat Data'!$F$5:$F$604&gt;$B146)*'3. Peat Data'!$R$5:$R$604*($B146-'3. Peat Data'!$E$5:$E$604)))</f>
        <v/>
      </c>
      <c r="G146" s="18">
        <f>IF(OR($A146="",NOT(ISNUMBER($B146)),NOT(ISNUMBER($C146))),"",IFERROR(($B146-$K146)/($C146-IF($K146=0,0,SUMIFS('4. Chronology'!$C$5:$C$204,'4. Chronology'!$A$5:$A$204,$A146,'4. Chronology'!$B$5:$B$204,$K146))),""))</f>
        <v/>
      </c>
      <c r="H146" s="18">
        <f>IF(OR($A146="",NOT(ISNUMBER($F146)),NOT(ISNUMBER($C146))),"",IFERROR((($F146-IF($K146=0,0,SUMIFS('4. Chronology'!$F$5:$F$204,'4. Chronology'!$A$5:$A$204,$A146,'4. Chronology'!$B$5:$B$204,$K146)))*1000)/($C146-IF($K146=0,0,SUMIFS('4. Chronology'!$C$5:$C$204,'4. Chronology'!$A$5:$A$204,$A146,'4. Chronology'!$B$5:$B$204,$K146))),""))</f>
        <v/>
      </c>
      <c r="I146" s="18">
        <f>IF($A146="","",IF(COUNTIF('2. Core Log'!$A$5:$A$124,$A146)=0,"Core ID not in Core Log. ","")&amp;IF($E146="","No date source given — RERCA and LORCA need to know which method produced this age. ","")&amp;IF(AND(ISNUMBER($C146),$C146&lt;0),"Negative age: this horizon post-dates the coring year. Check the conversion. ","")&amp;IF(AND(ISNUMBER($G146),$G146&lt;0),"Age reversal — this horizon is younger than one above it. A mixed or disturbed profile may not be datable at all. ","")&amp;IF(AND(ISNUMBER($D146),ISNUMBER($C146),$C146&gt;0,$D146/$C146&gt;0.5),"Age uncertainty exceeds 50% of the age. Usable as an indication only. ","")&amp;IF(AND($D146="",$C146&lt;&gt;""),"No uncertainty given. Every radiometric age has one; a rate without it cannot be defended. ",""))</f>
        <v/>
      </c>
      <c r="J146" s="18">
        <f>IF($E146="",0,IF(OR(LEFT($E146,6)="Pb-210",LEFT($E146,6)="Cs-137"),1,0))</f>
        <v/>
      </c>
      <c r="K146" s="18">
        <f>IF(OR($A146="",NOT(ISNUMBER($B146))),"",SUMPRODUCT(MAX(('4. Chronology'!$A$5:$A$204=$A146)*('4. Chronology'!$B$5:$B$204&lt;$B146)*'4. Chronology'!$B$5:$B$204)))</f>
        <v/>
      </c>
    </row>
    <row r="147">
      <c r="A147" s="14" t="n"/>
      <c r="B147" s="14" t="n"/>
      <c r="C147" s="14" t="n"/>
      <c r="D147" s="14" t="n"/>
      <c r="E147" s="14" t="n"/>
      <c r="F147" s="18">
        <f>IF(OR($A147="",NOT(ISNUMBER($B147))),"",SUMIFS('3. Peat Data'!$P$5:$P$604,'3. Peat Data'!$B$5:$B$604,$A147,'3. Peat Data'!$F$5:$F$604,"&lt;="&amp;$B147)+SUMPRODUCT(('3. Peat Data'!$B$5:$B$604=$A147)*('3. Peat Data'!$E$5:$E$604&lt;$B147)*('3. Peat Data'!$F$5:$F$604&gt;$B147)*'3. Peat Data'!$R$5:$R$604*($B147-'3. Peat Data'!$E$5:$E$604)))</f>
        <v/>
      </c>
      <c r="G147" s="18">
        <f>IF(OR($A147="",NOT(ISNUMBER($B147)),NOT(ISNUMBER($C147))),"",IFERROR(($B147-$K147)/($C147-IF($K147=0,0,SUMIFS('4. Chronology'!$C$5:$C$204,'4. Chronology'!$A$5:$A$204,$A147,'4. Chronology'!$B$5:$B$204,$K147))),""))</f>
        <v/>
      </c>
      <c r="H147" s="18">
        <f>IF(OR($A147="",NOT(ISNUMBER($F147)),NOT(ISNUMBER($C147))),"",IFERROR((($F147-IF($K147=0,0,SUMIFS('4. Chronology'!$F$5:$F$204,'4. Chronology'!$A$5:$A$204,$A147,'4. Chronology'!$B$5:$B$204,$K147)))*1000)/($C147-IF($K147=0,0,SUMIFS('4. Chronology'!$C$5:$C$204,'4. Chronology'!$A$5:$A$204,$A147,'4. Chronology'!$B$5:$B$204,$K147))),""))</f>
        <v/>
      </c>
      <c r="I147" s="18">
        <f>IF($A147="","",IF(COUNTIF('2. Core Log'!$A$5:$A$124,$A147)=0,"Core ID not in Core Log. ","")&amp;IF($E147="","No date source given — RERCA and LORCA need to know which method produced this age. ","")&amp;IF(AND(ISNUMBER($C147),$C147&lt;0),"Negative age: this horizon post-dates the coring year. Check the conversion. ","")&amp;IF(AND(ISNUMBER($G147),$G147&lt;0),"Age reversal — this horizon is younger than one above it. A mixed or disturbed profile may not be datable at all. ","")&amp;IF(AND(ISNUMBER($D147),ISNUMBER($C147),$C147&gt;0,$D147/$C147&gt;0.5),"Age uncertainty exceeds 50% of the age. Usable as an indication only. ","")&amp;IF(AND($D147="",$C147&lt;&gt;""),"No uncertainty given. Every radiometric age has one; a rate without it cannot be defended. ",""))</f>
        <v/>
      </c>
      <c r="J147" s="18">
        <f>IF($E147="",0,IF(OR(LEFT($E147,6)="Pb-210",LEFT($E147,6)="Cs-137"),1,0))</f>
        <v/>
      </c>
      <c r="K147" s="18">
        <f>IF(OR($A147="",NOT(ISNUMBER($B147))),"",SUMPRODUCT(MAX(('4. Chronology'!$A$5:$A$204=$A147)*('4. Chronology'!$B$5:$B$204&lt;$B147)*'4. Chronology'!$B$5:$B$204)))</f>
        <v/>
      </c>
    </row>
    <row r="148">
      <c r="A148" s="14" t="n"/>
      <c r="B148" s="14" t="n"/>
      <c r="C148" s="14" t="n"/>
      <c r="D148" s="14" t="n"/>
      <c r="E148" s="14" t="n"/>
      <c r="F148" s="18">
        <f>IF(OR($A148="",NOT(ISNUMBER($B148))),"",SUMIFS('3. Peat Data'!$P$5:$P$604,'3. Peat Data'!$B$5:$B$604,$A148,'3. Peat Data'!$F$5:$F$604,"&lt;="&amp;$B148)+SUMPRODUCT(('3. Peat Data'!$B$5:$B$604=$A148)*('3. Peat Data'!$E$5:$E$604&lt;$B148)*('3. Peat Data'!$F$5:$F$604&gt;$B148)*'3. Peat Data'!$R$5:$R$604*($B148-'3. Peat Data'!$E$5:$E$604)))</f>
        <v/>
      </c>
      <c r="G148" s="18">
        <f>IF(OR($A148="",NOT(ISNUMBER($B148)),NOT(ISNUMBER($C148))),"",IFERROR(($B148-$K148)/($C148-IF($K148=0,0,SUMIFS('4. Chronology'!$C$5:$C$204,'4. Chronology'!$A$5:$A$204,$A148,'4. Chronology'!$B$5:$B$204,$K148))),""))</f>
        <v/>
      </c>
      <c r="H148" s="18">
        <f>IF(OR($A148="",NOT(ISNUMBER($F148)),NOT(ISNUMBER($C148))),"",IFERROR((($F148-IF($K148=0,0,SUMIFS('4. Chronology'!$F$5:$F$204,'4. Chronology'!$A$5:$A$204,$A148,'4. Chronology'!$B$5:$B$204,$K148)))*1000)/($C148-IF($K148=0,0,SUMIFS('4. Chronology'!$C$5:$C$204,'4. Chronology'!$A$5:$A$204,$A148,'4. Chronology'!$B$5:$B$204,$K148))),""))</f>
        <v/>
      </c>
      <c r="I148" s="18">
        <f>IF($A148="","",IF(COUNTIF('2. Core Log'!$A$5:$A$124,$A148)=0,"Core ID not in Core Log. ","")&amp;IF($E148="","No date source given — RERCA and LORCA need to know which method produced this age. ","")&amp;IF(AND(ISNUMBER($C148),$C148&lt;0),"Negative age: this horizon post-dates the coring year. Check the conversion. ","")&amp;IF(AND(ISNUMBER($G148),$G148&lt;0),"Age reversal — this horizon is younger than one above it. A mixed or disturbed profile may not be datable at all. ","")&amp;IF(AND(ISNUMBER($D148),ISNUMBER($C148),$C148&gt;0,$D148/$C148&gt;0.5),"Age uncertainty exceeds 50% of the age. Usable as an indication only. ","")&amp;IF(AND($D148="",$C148&lt;&gt;""),"No uncertainty given. Every radiometric age has one; a rate without it cannot be defended. ",""))</f>
        <v/>
      </c>
      <c r="J148" s="18">
        <f>IF($E148="",0,IF(OR(LEFT($E148,6)="Pb-210",LEFT($E148,6)="Cs-137"),1,0))</f>
        <v/>
      </c>
      <c r="K148" s="18">
        <f>IF(OR($A148="",NOT(ISNUMBER($B148))),"",SUMPRODUCT(MAX(('4. Chronology'!$A$5:$A$204=$A148)*('4. Chronology'!$B$5:$B$204&lt;$B148)*'4. Chronology'!$B$5:$B$204)))</f>
        <v/>
      </c>
    </row>
    <row r="149">
      <c r="A149" s="14" t="n"/>
      <c r="B149" s="14" t="n"/>
      <c r="C149" s="14" t="n"/>
      <c r="D149" s="14" t="n"/>
      <c r="E149" s="14" t="n"/>
      <c r="F149" s="18">
        <f>IF(OR($A149="",NOT(ISNUMBER($B149))),"",SUMIFS('3. Peat Data'!$P$5:$P$604,'3. Peat Data'!$B$5:$B$604,$A149,'3. Peat Data'!$F$5:$F$604,"&lt;="&amp;$B149)+SUMPRODUCT(('3. Peat Data'!$B$5:$B$604=$A149)*('3. Peat Data'!$E$5:$E$604&lt;$B149)*('3. Peat Data'!$F$5:$F$604&gt;$B149)*'3. Peat Data'!$R$5:$R$604*($B149-'3. Peat Data'!$E$5:$E$604)))</f>
        <v/>
      </c>
      <c r="G149" s="18">
        <f>IF(OR($A149="",NOT(ISNUMBER($B149)),NOT(ISNUMBER($C149))),"",IFERROR(($B149-$K149)/($C149-IF($K149=0,0,SUMIFS('4. Chronology'!$C$5:$C$204,'4. Chronology'!$A$5:$A$204,$A149,'4. Chronology'!$B$5:$B$204,$K149))),""))</f>
        <v/>
      </c>
      <c r="H149" s="18">
        <f>IF(OR($A149="",NOT(ISNUMBER($F149)),NOT(ISNUMBER($C149))),"",IFERROR((($F149-IF($K149=0,0,SUMIFS('4. Chronology'!$F$5:$F$204,'4. Chronology'!$A$5:$A$204,$A149,'4. Chronology'!$B$5:$B$204,$K149)))*1000)/($C149-IF($K149=0,0,SUMIFS('4. Chronology'!$C$5:$C$204,'4. Chronology'!$A$5:$A$204,$A149,'4. Chronology'!$B$5:$B$204,$K149))),""))</f>
        <v/>
      </c>
      <c r="I149" s="18">
        <f>IF($A149="","",IF(COUNTIF('2. Core Log'!$A$5:$A$124,$A149)=0,"Core ID not in Core Log. ","")&amp;IF($E149="","No date source given — RERCA and LORCA need to know which method produced this age. ","")&amp;IF(AND(ISNUMBER($C149),$C149&lt;0),"Negative age: this horizon post-dates the coring year. Check the conversion. ","")&amp;IF(AND(ISNUMBER($G149),$G149&lt;0),"Age reversal — this horizon is younger than one above it. A mixed or disturbed profile may not be datable at all. ","")&amp;IF(AND(ISNUMBER($D149),ISNUMBER($C149),$C149&gt;0,$D149/$C149&gt;0.5),"Age uncertainty exceeds 50% of the age. Usable as an indication only. ","")&amp;IF(AND($D149="",$C149&lt;&gt;""),"No uncertainty given. Every radiometric age has one; a rate without it cannot be defended. ",""))</f>
        <v/>
      </c>
      <c r="J149" s="18">
        <f>IF($E149="",0,IF(OR(LEFT($E149,6)="Pb-210",LEFT($E149,6)="Cs-137"),1,0))</f>
        <v/>
      </c>
      <c r="K149" s="18">
        <f>IF(OR($A149="",NOT(ISNUMBER($B149))),"",SUMPRODUCT(MAX(('4. Chronology'!$A$5:$A$204=$A149)*('4. Chronology'!$B$5:$B$204&lt;$B149)*'4. Chronology'!$B$5:$B$204)))</f>
        <v/>
      </c>
    </row>
    <row r="150">
      <c r="A150" s="14" t="n"/>
      <c r="B150" s="14" t="n"/>
      <c r="C150" s="14" t="n"/>
      <c r="D150" s="14" t="n"/>
      <c r="E150" s="14" t="n"/>
      <c r="F150" s="18">
        <f>IF(OR($A150="",NOT(ISNUMBER($B150))),"",SUMIFS('3. Peat Data'!$P$5:$P$604,'3. Peat Data'!$B$5:$B$604,$A150,'3. Peat Data'!$F$5:$F$604,"&lt;="&amp;$B150)+SUMPRODUCT(('3. Peat Data'!$B$5:$B$604=$A150)*('3. Peat Data'!$E$5:$E$604&lt;$B150)*('3. Peat Data'!$F$5:$F$604&gt;$B150)*'3. Peat Data'!$R$5:$R$604*($B150-'3. Peat Data'!$E$5:$E$604)))</f>
        <v/>
      </c>
      <c r="G150" s="18">
        <f>IF(OR($A150="",NOT(ISNUMBER($B150)),NOT(ISNUMBER($C150))),"",IFERROR(($B150-$K150)/($C150-IF($K150=0,0,SUMIFS('4. Chronology'!$C$5:$C$204,'4. Chronology'!$A$5:$A$204,$A150,'4. Chronology'!$B$5:$B$204,$K150))),""))</f>
        <v/>
      </c>
      <c r="H150" s="18">
        <f>IF(OR($A150="",NOT(ISNUMBER($F150)),NOT(ISNUMBER($C150))),"",IFERROR((($F150-IF($K150=0,0,SUMIFS('4. Chronology'!$F$5:$F$204,'4. Chronology'!$A$5:$A$204,$A150,'4. Chronology'!$B$5:$B$204,$K150)))*1000)/($C150-IF($K150=0,0,SUMIFS('4. Chronology'!$C$5:$C$204,'4. Chronology'!$A$5:$A$204,$A150,'4. Chronology'!$B$5:$B$204,$K150))),""))</f>
        <v/>
      </c>
      <c r="I150" s="18">
        <f>IF($A150="","",IF(COUNTIF('2. Core Log'!$A$5:$A$124,$A150)=0,"Core ID not in Core Log. ","")&amp;IF($E150="","No date source given — RERCA and LORCA need to know which method produced this age. ","")&amp;IF(AND(ISNUMBER($C150),$C150&lt;0),"Negative age: this horizon post-dates the coring year. Check the conversion. ","")&amp;IF(AND(ISNUMBER($G150),$G150&lt;0),"Age reversal — this horizon is younger than one above it. A mixed or disturbed profile may not be datable at all. ","")&amp;IF(AND(ISNUMBER($D150),ISNUMBER($C150),$C150&gt;0,$D150/$C150&gt;0.5),"Age uncertainty exceeds 50% of the age. Usable as an indication only. ","")&amp;IF(AND($D150="",$C150&lt;&gt;""),"No uncertainty given. Every radiometric age has one; a rate without it cannot be defended. ",""))</f>
        <v/>
      </c>
      <c r="J150" s="18">
        <f>IF($E150="",0,IF(OR(LEFT($E150,6)="Pb-210",LEFT($E150,6)="Cs-137"),1,0))</f>
        <v/>
      </c>
      <c r="K150" s="18">
        <f>IF(OR($A150="",NOT(ISNUMBER($B150))),"",SUMPRODUCT(MAX(('4. Chronology'!$A$5:$A$204=$A150)*('4. Chronology'!$B$5:$B$204&lt;$B150)*'4. Chronology'!$B$5:$B$204)))</f>
        <v/>
      </c>
    </row>
    <row r="151">
      <c r="A151" s="14" t="n"/>
      <c r="B151" s="14" t="n"/>
      <c r="C151" s="14" t="n"/>
      <c r="D151" s="14" t="n"/>
      <c r="E151" s="14" t="n"/>
      <c r="F151" s="18">
        <f>IF(OR($A151="",NOT(ISNUMBER($B151))),"",SUMIFS('3. Peat Data'!$P$5:$P$604,'3. Peat Data'!$B$5:$B$604,$A151,'3. Peat Data'!$F$5:$F$604,"&lt;="&amp;$B151)+SUMPRODUCT(('3. Peat Data'!$B$5:$B$604=$A151)*('3. Peat Data'!$E$5:$E$604&lt;$B151)*('3. Peat Data'!$F$5:$F$604&gt;$B151)*'3. Peat Data'!$R$5:$R$604*($B151-'3. Peat Data'!$E$5:$E$604)))</f>
        <v/>
      </c>
      <c r="G151" s="18">
        <f>IF(OR($A151="",NOT(ISNUMBER($B151)),NOT(ISNUMBER($C151))),"",IFERROR(($B151-$K151)/($C151-IF($K151=0,0,SUMIFS('4. Chronology'!$C$5:$C$204,'4. Chronology'!$A$5:$A$204,$A151,'4. Chronology'!$B$5:$B$204,$K151))),""))</f>
        <v/>
      </c>
      <c r="H151" s="18">
        <f>IF(OR($A151="",NOT(ISNUMBER($F151)),NOT(ISNUMBER($C151))),"",IFERROR((($F151-IF($K151=0,0,SUMIFS('4. Chronology'!$F$5:$F$204,'4. Chronology'!$A$5:$A$204,$A151,'4. Chronology'!$B$5:$B$204,$K151)))*1000)/($C151-IF($K151=0,0,SUMIFS('4. Chronology'!$C$5:$C$204,'4. Chronology'!$A$5:$A$204,$A151,'4. Chronology'!$B$5:$B$204,$K151))),""))</f>
        <v/>
      </c>
      <c r="I151" s="18">
        <f>IF($A151="","",IF(COUNTIF('2. Core Log'!$A$5:$A$124,$A151)=0,"Core ID not in Core Log. ","")&amp;IF($E151="","No date source given — RERCA and LORCA need to know which method produced this age. ","")&amp;IF(AND(ISNUMBER($C151),$C151&lt;0),"Negative age: this horizon post-dates the coring year. Check the conversion. ","")&amp;IF(AND(ISNUMBER($G151),$G151&lt;0),"Age reversal — this horizon is younger than one above it. A mixed or disturbed profile may not be datable at all. ","")&amp;IF(AND(ISNUMBER($D151),ISNUMBER($C151),$C151&gt;0,$D151/$C151&gt;0.5),"Age uncertainty exceeds 50% of the age. Usable as an indication only. ","")&amp;IF(AND($D151="",$C151&lt;&gt;""),"No uncertainty given. Every radiometric age has one; a rate without it cannot be defended. ",""))</f>
        <v/>
      </c>
      <c r="J151" s="18">
        <f>IF($E151="",0,IF(OR(LEFT($E151,6)="Pb-210",LEFT($E151,6)="Cs-137"),1,0))</f>
        <v/>
      </c>
      <c r="K151" s="18">
        <f>IF(OR($A151="",NOT(ISNUMBER($B151))),"",SUMPRODUCT(MAX(('4. Chronology'!$A$5:$A$204=$A151)*('4. Chronology'!$B$5:$B$204&lt;$B151)*'4. Chronology'!$B$5:$B$204)))</f>
        <v/>
      </c>
    </row>
    <row r="152">
      <c r="A152" s="14" t="n"/>
      <c r="B152" s="14" t="n"/>
      <c r="C152" s="14" t="n"/>
      <c r="D152" s="14" t="n"/>
      <c r="E152" s="14" t="n"/>
      <c r="F152" s="18">
        <f>IF(OR($A152="",NOT(ISNUMBER($B152))),"",SUMIFS('3. Peat Data'!$P$5:$P$604,'3. Peat Data'!$B$5:$B$604,$A152,'3. Peat Data'!$F$5:$F$604,"&lt;="&amp;$B152)+SUMPRODUCT(('3. Peat Data'!$B$5:$B$604=$A152)*('3. Peat Data'!$E$5:$E$604&lt;$B152)*('3. Peat Data'!$F$5:$F$604&gt;$B152)*'3. Peat Data'!$R$5:$R$604*($B152-'3. Peat Data'!$E$5:$E$604)))</f>
        <v/>
      </c>
      <c r="G152" s="18">
        <f>IF(OR($A152="",NOT(ISNUMBER($B152)),NOT(ISNUMBER($C152))),"",IFERROR(($B152-$K152)/($C152-IF($K152=0,0,SUMIFS('4. Chronology'!$C$5:$C$204,'4. Chronology'!$A$5:$A$204,$A152,'4. Chronology'!$B$5:$B$204,$K152))),""))</f>
        <v/>
      </c>
      <c r="H152" s="18">
        <f>IF(OR($A152="",NOT(ISNUMBER($F152)),NOT(ISNUMBER($C152))),"",IFERROR((($F152-IF($K152=0,0,SUMIFS('4. Chronology'!$F$5:$F$204,'4. Chronology'!$A$5:$A$204,$A152,'4. Chronology'!$B$5:$B$204,$K152)))*1000)/($C152-IF($K152=0,0,SUMIFS('4. Chronology'!$C$5:$C$204,'4. Chronology'!$A$5:$A$204,$A152,'4. Chronology'!$B$5:$B$204,$K152))),""))</f>
        <v/>
      </c>
      <c r="I152" s="18">
        <f>IF($A152="","",IF(COUNTIF('2. Core Log'!$A$5:$A$124,$A152)=0,"Core ID not in Core Log. ","")&amp;IF($E152="","No date source given — RERCA and LORCA need to know which method produced this age. ","")&amp;IF(AND(ISNUMBER($C152),$C152&lt;0),"Negative age: this horizon post-dates the coring year. Check the conversion. ","")&amp;IF(AND(ISNUMBER($G152),$G152&lt;0),"Age reversal — this horizon is younger than one above it. A mixed or disturbed profile may not be datable at all. ","")&amp;IF(AND(ISNUMBER($D152),ISNUMBER($C152),$C152&gt;0,$D152/$C152&gt;0.5),"Age uncertainty exceeds 50% of the age. Usable as an indication only. ","")&amp;IF(AND($D152="",$C152&lt;&gt;""),"No uncertainty given. Every radiometric age has one; a rate without it cannot be defended. ",""))</f>
        <v/>
      </c>
      <c r="J152" s="18">
        <f>IF($E152="",0,IF(OR(LEFT($E152,6)="Pb-210",LEFT($E152,6)="Cs-137"),1,0))</f>
        <v/>
      </c>
      <c r="K152" s="18">
        <f>IF(OR($A152="",NOT(ISNUMBER($B152))),"",SUMPRODUCT(MAX(('4. Chronology'!$A$5:$A$204=$A152)*('4. Chronology'!$B$5:$B$204&lt;$B152)*'4. Chronology'!$B$5:$B$204)))</f>
        <v/>
      </c>
    </row>
    <row r="153">
      <c r="A153" s="14" t="n"/>
      <c r="B153" s="14" t="n"/>
      <c r="C153" s="14" t="n"/>
      <c r="D153" s="14" t="n"/>
      <c r="E153" s="14" t="n"/>
      <c r="F153" s="18">
        <f>IF(OR($A153="",NOT(ISNUMBER($B153))),"",SUMIFS('3. Peat Data'!$P$5:$P$604,'3. Peat Data'!$B$5:$B$604,$A153,'3. Peat Data'!$F$5:$F$604,"&lt;="&amp;$B153)+SUMPRODUCT(('3. Peat Data'!$B$5:$B$604=$A153)*('3. Peat Data'!$E$5:$E$604&lt;$B153)*('3. Peat Data'!$F$5:$F$604&gt;$B153)*'3. Peat Data'!$R$5:$R$604*($B153-'3. Peat Data'!$E$5:$E$604)))</f>
        <v/>
      </c>
      <c r="G153" s="18">
        <f>IF(OR($A153="",NOT(ISNUMBER($B153)),NOT(ISNUMBER($C153))),"",IFERROR(($B153-$K153)/($C153-IF($K153=0,0,SUMIFS('4. Chronology'!$C$5:$C$204,'4. Chronology'!$A$5:$A$204,$A153,'4. Chronology'!$B$5:$B$204,$K153))),""))</f>
        <v/>
      </c>
      <c r="H153" s="18">
        <f>IF(OR($A153="",NOT(ISNUMBER($F153)),NOT(ISNUMBER($C153))),"",IFERROR((($F153-IF($K153=0,0,SUMIFS('4. Chronology'!$F$5:$F$204,'4. Chronology'!$A$5:$A$204,$A153,'4. Chronology'!$B$5:$B$204,$K153)))*1000)/($C153-IF($K153=0,0,SUMIFS('4. Chronology'!$C$5:$C$204,'4. Chronology'!$A$5:$A$204,$A153,'4. Chronology'!$B$5:$B$204,$K153))),""))</f>
        <v/>
      </c>
      <c r="I153" s="18">
        <f>IF($A153="","",IF(COUNTIF('2. Core Log'!$A$5:$A$124,$A153)=0,"Core ID not in Core Log. ","")&amp;IF($E153="","No date source given — RERCA and LORCA need to know which method produced this age. ","")&amp;IF(AND(ISNUMBER($C153),$C153&lt;0),"Negative age: this horizon post-dates the coring year. Check the conversion. ","")&amp;IF(AND(ISNUMBER($G153),$G153&lt;0),"Age reversal — this horizon is younger than one above it. A mixed or disturbed profile may not be datable at all. ","")&amp;IF(AND(ISNUMBER($D153),ISNUMBER($C153),$C153&gt;0,$D153/$C153&gt;0.5),"Age uncertainty exceeds 50% of the age. Usable as an indication only. ","")&amp;IF(AND($D153="",$C153&lt;&gt;""),"No uncertainty given. Every radiometric age has one; a rate without it cannot be defended. ",""))</f>
        <v/>
      </c>
      <c r="J153" s="18">
        <f>IF($E153="",0,IF(OR(LEFT($E153,6)="Pb-210",LEFT($E153,6)="Cs-137"),1,0))</f>
        <v/>
      </c>
      <c r="K153" s="18">
        <f>IF(OR($A153="",NOT(ISNUMBER($B153))),"",SUMPRODUCT(MAX(('4. Chronology'!$A$5:$A$204=$A153)*('4. Chronology'!$B$5:$B$204&lt;$B153)*'4. Chronology'!$B$5:$B$204)))</f>
        <v/>
      </c>
    </row>
    <row r="154">
      <c r="A154" s="14" t="n"/>
      <c r="B154" s="14" t="n"/>
      <c r="C154" s="14" t="n"/>
      <c r="D154" s="14" t="n"/>
      <c r="E154" s="14" t="n"/>
      <c r="F154" s="18">
        <f>IF(OR($A154="",NOT(ISNUMBER($B154))),"",SUMIFS('3. Peat Data'!$P$5:$P$604,'3. Peat Data'!$B$5:$B$604,$A154,'3. Peat Data'!$F$5:$F$604,"&lt;="&amp;$B154)+SUMPRODUCT(('3. Peat Data'!$B$5:$B$604=$A154)*('3. Peat Data'!$E$5:$E$604&lt;$B154)*('3. Peat Data'!$F$5:$F$604&gt;$B154)*'3. Peat Data'!$R$5:$R$604*($B154-'3. Peat Data'!$E$5:$E$604)))</f>
        <v/>
      </c>
      <c r="G154" s="18">
        <f>IF(OR($A154="",NOT(ISNUMBER($B154)),NOT(ISNUMBER($C154))),"",IFERROR(($B154-$K154)/($C154-IF($K154=0,0,SUMIFS('4. Chronology'!$C$5:$C$204,'4. Chronology'!$A$5:$A$204,$A154,'4. Chronology'!$B$5:$B$204,$K154))),""))</f>
        <v/>
      </c>
      <c r="H154" s="18">
        <f>IF(OR($A154="",NOT(ISNUMBER($F154)),NOT(ISNUMBER($C154))),"",IFERROR((($F154-IF($K154=0,0,SUMIFS('4. Chronology'!$F$5:$F$204,'4. Chronology'!$A$5:$A$204,$A154,'4. Chronology'!$B$5:$B$204,$K154)))*1000)/($C154-IF($K154=0,0,SUMIFS('4. Chronology'!$C$5:$C$204,'4. Chronology'!$A$5:$A$204,$A154,'4. Chronology'!$B$5:$B$204,$K154))),""))</f>
        <v/>
      </c>
      <c r="I154" s="18">
        <f>IF($A154="","",IF(COUNTIF('2. Core Log'!$A$5:$A$124,$A154)=0,"Core ID not in Core Log. ","")&amp;IF($E154="","No date source given — RERCA and LORCA need to know which method produced this age. ","")&amp;IF(AND(ISNUMBER($C154),$C154&lt;0),"Negative age: this horizon post-dates the coring year. Check the conversion. ","")&amp;IF(AND(ISNUMBER($G154),$G154&lt;0),"Age reversal — this horizon is younger than one above it. A mixed or disturbed profile may not be datable at all. ","")&amp;IF(AND(ISNUMBER($D154),ISNUMBER($C154),$C154&gt;0,$D154/$C154&gt;0.5),"Age uncertainty exceeds 50% of the age. Usable as an indication only. ","")&amp;IF(AND($D154="",$C154&lt;&gt;""),"No uncertainty given. Every radiometric age has one; a rate without it cannot be defended. ",""))</f>
        <v/>
      </c>
      <c r="J154" s="18">
        <f>IF($E154="",0,IF(OR(LEFT($E154,6)="Pb-210",LEFT($E154,6)="Cs-137"),1,0))</f>
        <v/>
      </c>
      <c r="K154" s="18">
        <f>IF(OR($A154="",NOT(ISNUMBER($B154))),"",SUMPRODUCT(MAX(('4. Chronology'!$A$5:$A$204=$A154)*('4. Chronology'!$B$5:$B$204&lt;$B154)*'4. Chronology'!$B$5:$B$204)))</f>
        <v/>
      </c>
    </row>
    <row r="155">
      <c r="A155" s="14" t="n"/>
      <c r="B155" s="14" t="n"/>
      <c r="C155" s="14" t="n"/>
      <c r="D155" s="14" t="n"/>
      <c r="E155" s="14" t="n"/>
      <c r="F155" s="18">
        <f>IF(OR($A155="",NOT(ISNUMBER($B155))),"",SUMIFS('3. Peat Data'!$P$5:$P$604,'3. Peat Data'!$B$5:$B$604,$A155,'3. Peat Data'!$F$5:$F$604,"&lt;="&amp;$B155)+SUMPRODUCT(('3. Peat Data'!$B$5:$B$604=$A155)*('3. Peat Data'!$E$5:$E$604&lt;$B155)*('3. Peat Data'!$F$5:$F$604&gt;$B155)*'3. Peat Data'!$R$5:$R$604*($B155-'3. Peat Data'!$E$5:$E$604)))</f>
        <v/>
      </c>
      <c r="G155" s="18">
        <f>IF(OR($A155="",NOT(ISNUMBER($B155)),NOT(ISNUMBER($C155))),"",IFERROR(($B155-$K155)/($C155-IF($K155=0,0,SUMIFS('4. Chronology'!$C$5:$C$204,'4. Chronology'!$A$5:$A$204,$A155,'4. Chronology'!$B$5:$B$204,$K155))),""))</f>
        <v/>
      </c>
      <c r="H155" s="18">
        <f>IF(OR($A155="",NOT(ISNUMBER($F155)),NOT(ISNUMBER($C155))),"",IFERROR((($F155-IF($K155=0,0,SUMIFS('4. Chronology'!$F$5:$F$204,'4. Chronology'!$A$5:$A$204,$A155,'4. Chronology'!$B$5:$B$204,$K155)))*1000)/($C155-IF($K155=0,0,SUMIFS('4. Chronology'!$C$5:$C$204,'4. Chronology'!$A$5:$A$204,$A155,'4. Chronology'!$B$5:$B$204,$K155))),""))</f>
        <v/>
      </c>
      <c r="I155" s="18">
        <f>IF($A155="","",IF(COUNTIF('2. Core Log'!$A$5:$A$124,$A155)=0,"Core ID not in Core Log. ","")&amp;IF($E155="","No date source given — RERCA and LORCA need to know which method produced this age. ","")&amp;IF(AND(ISNUMBER($C155),$C155&lt;0),"Negative age: this horizon post-dates the coring year. Check the conversion. ","")&amp;IF(AND(ISNUMBER($G155),$G155&lt;0),"Age reversal — this horizon is younger than one above it. A mixed or disturbed profile may not be datable at all. ","")&amp;IF(AND(ISNUMBER($D155),ISNUMBER($C155),$C155&gt;0,$D155/$C155&gt;0.5),"Age uncertainty exceeds 50% of the age. Usable as an indication only. ","")&amp;IF(AND($D155="",$C155&lt;&gt;""),"No uncertainty given. Every radiometric age has one; a rate without it cannot be defended. ",""))</f>
        <v/>
      </c>
      <c r="J155" s="18">
        <f>IF($E155="",0,IF(OR(LEFT($E155,6)="Pb-210",LEFT($E155,6)="Cs-137"),1,0))</f>
        <v/>
      </c>
      <c r="K155" s="18">
        <f>IF(OR($A155="",NOT(ISNUMBER($B155))),"",SUMPRODUCT(MAX(('4. Chronology'!$A$5:$A$204=$A155)*('4. Chronology'!$B$5:$B$204&lt;$B155)*'4. Chronology'!$B$5:$B$204)))</f>
        <v/>
      </c>
    </row>
    <row r="156">
      <c r="A156" s="14" t="n"/>
      <c r="B156" s="14" t="n"/>
      <c r="C156" s="14" t="n"/>
      <c r="D156" s="14" t="n"/>
      <c r="E156" s="14" t="n"/>
      <c r="F156" s="18">
        <f>IF(OR($A156="",NOT(ISNUMBER($B156))),"",SUMIFS('3. Peat Data'!$P$5:$P$604,'3. Peat Data'!$B$5:$B$604,$A156,'3. Peat Data'!$F$5:$F$604,"&lt;="&amp;$B156)+SUMPRODUCT(('3. Peat Data'!$B$5:$B$604=$A156)*('3. Peat Data'!$E$5:$E$604&lt;$B156)*('3. Peat Data'!$F$5:$F$604&gt;$B156)*'3. Peat Data'!$R$5:$R$604*($B156-'3. Peat Data'!$E$5:$E$604)))</f>
        <v/>
      </c>
      <c r="G156" s="18">
        <f>IF(OR($A156="",NOT(ISNUMBER($B156)),NOT(ISNUMBER($C156))),"",IFERROR(($B156-$K156)/($C156-IF($K156=0,0,SUMIFS('4. Chronology'!$C$5:$C$204,'4. Chronology'!$A$5:$A$204,$A156,'4. Chronology'!$B$5:$B$204,$K156))),""))</f>
        <v/>
      </c>
      <c r="H156" s="18">
        <f>IF(OR($A156="",NOT(ISNUMBER($F156)),NOT(ISNUMBER($C156))),"",IFERROR((($F156-IF($K156=0,0,SUMIFS('4. Chronology'!$F$5:$F$204,'4. Chronology'!$A$5:$A$204,$A156,'4. Chronology'!$B$5:$B$204,$K156)))*1000)/($C156-IF($K156=0,0,SUMIFS('4. Chronology'!$C$5:$C$204,'4. Chronology'!$A$5:$A$204,$A156,'4. Chronology'!$B$5:$B$204,$K156))),""))</f>
        <v/>
      </c>
      <c r="I156" s="18">
        <f>IF($A156="","",IF(COUNTIF('2. Core Log'!$A$5:$A$124,$A156)=0,"Core ID not in Core Log. ","")&amp;IF($E156="","No date source given — RERCA and LORCA need to know which method produced this age. ","")&amp;IF(AND(ISNUMBER($C156),$C156&lt;0),"Negative age: this horizon post-dates the coring year. Check the conversion. ","")&amp;IF(AND(ISNUMBER($G156),$G156&lt;0),"Age reversal — this horizon is younger than one above it. A mixed or disturbed profile may not be datable at all. ","")&amp;IF(AND(ISNUMBER($D156),ISNUMBER($C156),$C156&gt;0,$D156/$C156&gt;0.5),"Age uncertainty exceeds 50% of the age. Usable as an indication only. ","")&amp;IF(AND($D156="",$C156&lt;&gt;""),"No uncertainty given. Every radiometric age has one; a rate without it cannot be defended. ",""))</f>
        <v/>
      </c>
      <c r="J156" s="18">
        <f>IF($E156="",0,IF(OR(LEFT($E156,6)="Pb-210",LEFT($E156,6)="Cs-137"),1,0))</f>
        <v/>
      </c>
      <c r="K156" s="18">
        <f>IF(OR($A156="",NOT(ISNUMBER($B156))),"",SUMPRODUCT(MAX(('4. Chronology'!$A$5:$A$204=$A156)*('4. Chronology'!$B$5:$B$204&lt;$B156)*'4. Chronology'!$B$5:$B$204)))</f>
        <v/>
      </c>
    </row>
    <row r="157">
      <c r="A157" s="14" t="n"/>
      <c r="B157" s="14" t="n"/>
      <c r="C157" s="14" t="n"/>
      <c r="D157" s="14" t="n"/>
      <c r="E157" s="14" t="n"/>
      <c r="F157" s="18">
        <f>IF(OR($A157="",NOT(ISNUMBER($B157))),"",SUMIFS('3. Peat Data'!$P$5:$P$604,'3. Peat Data'!$B$5:$B$604,$A157,'3. Peat Data'!$F$5:$F$604,"&lt;="&amp;$B157)+SUMPRODUCT(('3. Peat Data'!$B$5:$B$604=$A157)*('3. Peat Data'!$E$5:$E$604&lt;$B157)*('3. Peat Data'!$F$5:$F$604&gt;$B157)*'3. Peat Data'!$R$5:$R$604*($B157-'3. Peat Data'!$E$5:$E$604)))</f>
        <v/>
      </c>
      <c r="G157" s="18">
        <f>IF(OR($A157="",NOT(ISNUMBER($B157)),NOT(ISNUMBER($C157))),"",IFERROR(($B157-$K157)/($C157-IF($K157=0,0,SUMIFS('4. Chronology'!$C$5:$C$204,'4. Chronology'!$A$5:$A$204,$A157,'4. Chronology'!$B$5:$B$204,$K157))),""))</f>
        <v/>
      </c>
      <c r="H157" s="18">
        <f>IF(OR($A157="",NOT(ISNUMBER($F157)),NOT(ISNUMBER($C157))),"",IFERROR((($F157-IF($K157=0,0,SUMIFS('4. Chronology'!$F$5:$F$204,'4. Chronology'!$A$5:$A$204,$A157,'4. Chronology'!$B$5:$B$204,$K157)))*1000)/($C157-IF($K157=0,0,SUMIFS('4. Chronology'!$C$5:$C$204,'4. Chronology'!$A$5:$A$204,$A157,'4. Chronology'!$B$5:$B$204,$K157))),""))</f>
        <v/>
      </c>
      <c r="I157" s="18">
        <f>IF($A157="","",IF(COUNTIF('2. Core Log'!$A$5:$A$124,$A157)=0,"Core ID not in Core Log. ","")&amp;IF($E157="","No date source given — RERCA and LORCA need to know which method produced this age. ","")&amp;IF(AND(ISNUMBER($C157),$C157&lt;0),"Negative age: this horizon post-dates the coring year. Check the conversion. ","")&amp;IF(AND(ISNUMBER($G157),$G157&lt;0),"Age reversal — this horizon is younger than one above it. A mixed or disturbed profile may not be datable at all. ","")&amp;IF(AND(ISNUMBER($D157),ISNUMBER($C157),$C157&gt;0,$D157/$C157&gt;0.5),"Age uncertainty exceeds 50% of the age. Usable as an indication only. ","")&amp;IF(AND($D157="",$C157&lt;&gt;""),"No uncertainty given. Every radiometric age has one; a rate without it cannot be defended. ",""))</f>
        <v/>
      </c>
      <c r="J157" s="18">
        <f>IF($E157="",0,IF(OR(LEFT($E157,6)="Pb-210",LEFT($E157,6)="Cs-137"),1,0))</f>
        <v/>
      </c>
      <c r="K157" s="18">
        <f>IF(OR($A157="",NOT(ISNUMBER($B157))),"",SUMPRODUCT(MAX(('4. Chronology'!$A$5:$A$204=$A157)*('4. Chronology'!$B$5:$B$204&lt;$B157)*'4. Chronology'!$B$5:$B$204)))</f>
        <v/>
      </c>
    </row>
    <row r="158">
      <c r="A158" s="14" t="n"/>
      <c r="B158" s="14" t="n"/>
      <c r="C158" s="14" t="n"/>
      <c r="D158" s="14" t="n"/>
      <c r="E158" s="14" t="n"/>
      <c r="F158" s="18">
        <f>IF(OR($A158="",NOT(ISNUMBER($B158))),"",SUMIFS('3. Peat Data'!$P$5:$P$604,'3. Peat Data'!$B$5:$B$604,$A158,'3. Peat Data'!$F$5:$F$604,"&lt;="&amp;$B158)+SUMPRODUCT(('3. Peat Data'!$B$5:$B$604=$A158)*('3. Peat Data'!$E$5:$E$604&lt;$B158)*('3. Peat Data'!$F$5:$F$604&gt;$B158)*'3. Peat Data'!$R$5:$R$604*($B158-'3. Peat Data'!$E$5:$E$604)))</f>
        <v/>
      </c>
      <c r="G158" s="18">
        <f>IF(OR($A158="",NOT(ISNUMBER($B158)),NOT(ISNUMBER($C158))),"",IFERROR(($B158-$K158)/($C158-IF($K158=0,0,SUMIFS('4. Chronology'!$C$5:$C$204,'4. Chronology'!$A$5:$A$204,$A158,'4. Chronology'!$B$5:$B$204,$K158))),""))</f>
        <v/>
      </c>
      <c r="H158" s="18">
        <f>IF(OR($A158="",NOT(ISNUMBER($F158)),NOT(ISNUMBER($C158))),"",IFERROR((($F158-IF($K158=0,0,SUMIFS('4. Chronology'!$F$5:$F$204,'4. Chronology'!$A$5:$A$204,$A158,'4. Chronology'!$B$5:$B$204,$K158)))*1000)/($C158-IF($K158=0,0,SUMIFS('4. Chronology'!$C$5:$C$204,'4. Chronology'!$A$5:$A$204,$A158,'4. Chronology'!$B$5:$B$204,$K158))),""))</f>
        <v/>
      </c>
      <c r="I158" s="18">
        <f>IF($A158="","",IF(COUNTIF('2. Core Log'!$A$5:$A$124,$A158)=0,"Core ID not in Core Log. ","")&amp;IF($E158="","No date source given — RERCA and LORCA need to know which method produced this age. ","")&amp;IF(AND(ISNUMBER($C158),$C158&lt;0),"Negative age: this horizon post-dates the coring year. Check the conversion. ","")&amp;IF(AND(ISNUMBER($G158),$G158&lt;0),"Age reversal — this horizon is younger than one above it. A mixed or disturbed profile may not be datable at all. ","")&amp;IF(AND(ISNUMBER($D158),ISNUMBER($C158),$C158&gt;0,$D158/$C158&gt;0.5),"Age uncertainty exceeds 50% of the age. Usable as an indication only. ","")&amp;IF(AND($D158="",$C158&lt;&gt;""),"No uncertainty given. Every radiometric age has one; a rate without it cannot be defended. ",""))</f>
        <v/>
      </c>
      <c r="J158" s="18">
        <f>IF($E158="",0,IF(OR(LEFT($E158,6)="Pb-210",LEFT($E158,6)="Cs-137"),1,0))</f>
        <v/>
      </c>
      <c r="K158" s="18">
        <f>IF(OR($A158="",NOT(ISNUMBER($B158))),"",SUMPRODUCT(MAX(('4. Chronology'!$A$5:$A$204=$A158)*('4. Chronology'!$B$5:$B$204&lt;$B158)*'4. Chronology'!$B$5:$B$204)))</f>
        <v/>
      </c>
    </row>
    <row r="159">
      <c r="A159" s="14" t="n"/>
      <c r="B159" s="14" t="n"/>
      <c r="C159" s="14" t="n"/>
      <c r="D159" s="14" t="n"/>
      <c r="E159" s="14" t="n"/>
      <c r="F159" s="18">
        <f>IF(OR($A159="",NOT(ISNUMBER($B159))),"",SUMIFS('3. Peat Data'!$P$5:$P$604,'3. Peat Data'!$B$5:$B$604,$A159,'3. Peat Data'!$F$5:$F$604,"&lt;="&amp;$B159)+SUMPRODUCT(('3. Peat Data'!$B$5:$B$604=$A159)*('3. Peat Data'!$E$5:$E$604&lt;$B159)*('3. Peat Data'!$F$5:$F$604&gt;$B159)*'3. Peat Data'!$R$5:$R$604*($B159-'3. Peat Data'!$E$5:$E$604)))</f>
        <v/>
      </c>
      <c r="G159" s="18">
        <f>IF(OR($A159="",NOT(ISNUMBER($B159)),NOT(ISNUMBER($C159))),"",IFERROR(($B159-$K159)/($C159-IF($K159=0,0,SUMIFS('4. Chronology'!$C$5:$C$204,'4. Chronology'!$A$5:$A$204,$A159,'4. Chronology'!$B$5:$B$204,$K159))),""))</f>
        <v/>
      </c>
      <c r="H159" s="18">
        <f>IF(OR($A159="",NOT(ISNUMBER($F159)),NOT(ISNUMBER($C159))),"",IFERROR((($F159-IF($K159=0,0,SUMIFS('4. Chronology'!$F$5:$F$204,'4. Chronology'!$A$5:$A$204,$A159,'4. Chronology'!$B$5:$B$204,$K159)))*1000)/($C159-IF($K159=0,0,SUMIFS('4. Chronology'!$C$5:$C$204,'4. Chronology'!$A$5:$A$204,$A159,'4. Chronology'!$B$5:$B$204,$K159))),""))</f>
        <v/>
      </c>
      <c r="I159" s="18">
        <f>IF($A159="","",IF(COUNTIF('2. Core Log'!$A$5:$A$124,$A159)=0,"Core ID not in Core Log. ","")&amp;IF($E159="","No date source given — RERCA and LORCA need to know which method produced this age. ","")&amp;IF(AND(ISNUMBER($C159),$C159&lt;0),"Negative age: this horizon post-dates the coring year. Check the conversion. ","")&amp;IF(AND(ISNUMBER($G159),$G159&lt;0),"Age reversal — this horizon is younger than one above it. A mixed or disturbed profile may not be datable at all. ","")&amp;IF(AND(ISNUMBER($D159),ISNUMBER($C159),$C159&gt;0,$D159/$C159&gt;0.5),"Age uncertainty exceeds 50% of the age. Usable as an indication only. ","")&amp;IF(AND($D159="",$C159&lt;&gt;""),"No uncertainty given. Every radiometric age has one; a rate without it cannot be defended. ",""))</f>
        <v/>
      </c>
      <c r="J159" s="18">
        <f>IF($E159="",0,IF(OR(LEFT($E159,6)="Pb-210",LEFT($E159,6)="Cs-137"),1,0))</f>
        <v/>
      </c>
      <c r="K159" s="18">
        <f>IF(OR($A159="",NOT(ISNUMBER($B159))),"",SUMPRODUCT(MAX(('4. Chronology'!$A$5:$A$204=$A159)*('4. Chronology'!$B$5:$B$204&lt;$B159)*'4. Chronology'!$B$5:$B$204)))</f>
        <v/>
      </c>
    </row>
    <row r="160">
      <c r="A160" s="14" t="n"/>
      <c r="B160" s="14" t="n"/>
      <c r="C160" s="14" t="n"/>
      <c r="D160" s="14" t="n"/>
      <c r="E160" s="14" t="n"/>
      <c r="F160" s="18">
        <f>IF(OR($A160="",NOT(ISNUMBER($B160))),"",SUMIFS('3. Peat Data'!$P$5:$P$604,'3. Peat Data'!$B$5:$B$604,$A160,'3. Peat Data'!$F$5:$F$604,"&lt;="&amp;$B160)+SUMPRODUCT(('3. Peat Data'!$B$5:$B$604=$A160)*('3. Peat Data'!$E$5:$E$604&lt;$B160)*('3. Peat Data'!$F$5:$F$604&gt;$B160)*'3. Peat Data'!$R$5:$R$604*($B160-'3. Peat Data'!$E$5:$E$604)))</f>
        <v/>
      </c>
      <c r="G160" s="18">
        <f>IF(OR($A160="",NOT(ISNUMBER($B160)),NOT(ISNUMBER($C160))),"",IFERROR(($B160-$K160)/($C160-IF($K160=0,0,SUMIFS('4. Chronology'!$C$5:$C$204,'4. Chronology'!$A$5:$A$204,$A160,'4. Chronology'!$B$5:$B$204,$K160))),""))</f>
        <v/>
      </c>
      <c r="H160" s="18">
        <f>IF(OR($A160="",NOT(ISNUMBER($F160)),NOT(ISNUMBER($C160))),"",IFERROR((($F160-IF($K160=0,0,SUMIFS('4. Chronology'!$F$5:$F$204,'4. Chronology'!$A$5:$A$204,$A160,'4. Chronology'!$B$5:$B$204,$K160)))*1000)/($C160-IF($K160=0,0,SUMIFS('4. Chronology'!$C$5:$C$204,'4. Chronology'!$A$5:$A$204,$A160,'4. Chronology'!$B$5:$B$204,$K160))),""))</f>
        <v/>
      </c>
      <c r="I160" s="18">
        <f>IF($A160="","",IF(COUNTIF('2. Core Log'!$A$5:$A$124,$A160)=0,"Core ID not in Core Log. ","")&amp;IF($E160="","No date source given — RERCA and LORCA need to know which method produced this age. ","")&amp;IF(AND(ISNUMBER($C160),$C160&lt;0),"Negative age: this horizon post-dates the coring year. Check the conversion. ","")&amp;IF(AND(ISNUMBER($G160),$G160&lt;0),"Age reversal — this horizon is younger than one above it. A mixed or disturbed profile may not be datable at all. ","")&amp;IF(AND(ISNUMBER($D160),ISNUMBER($C160),$C160&gt;0,$D160/$C160&gt;0.5),"Age uncertainty exceeds 50% of the age. Usable as an indication only. ","")&amp;IF(AND($D160="",$C160&lt;&gt;""),"No uncertainty given. Every radiometric age has one; a rate without it cannot be defended. ",""))</f>
        <v/>
      </c>
      <c r="J160" s="18">
        <f>IF($E160="",0,IF(OR(LEFT($E160,6)="Pb-210",LEFT($E160,6)="Cs-137"),1,0))</f>
        <v/>
      </c>
      <c r="K160" s="18">
        <f>IF(OR($A160="",NOT(ISNUMBER($B160))),"",SUMPRODUCT(MAX(('4. Chronology'!$A$5:$A$204=$A160)*('4. Chronology'!$B$5:$B$204&lt;$B160)*'4. Chronology'!$B$5:$B$204)))</f>
        <v/>
      </c>
    </row>
    <row r="161">
      <c r="A161" s="14" t="n"/>
      <c r="B161" s="14" t="n"/>
      <c r="C161" s="14" t="n"/>
      <c r="D161" s="14" t="n"/>
      <c r="E161" s="14" t="n"/>
      <c r="F161" s="18">
        <f>IF(OR($A161="",NOT(ISNUMBER($B161))),"",SUMIFS('3. Peat Data'!$P$5:$P$604,'3. Peat Data'!$B$5:$B$604,$A161,'3. Peat Data'!$F$5:$F$604,"&lt;="&amp;$B161)+SUMPRODUCT(('3. Peat Data'!$B$5:$B$604=$A161)*('3. Peat Data'!$E$5:$E$604&lt;$B161)*('3. Peat Data'!$F$5:$F$604&gt;$B161)*'3. Peat Data'!$R$5:$R$604*($B161-'3. Peat Data'!$E$5:$E$604)))</f>
        <v/>
      </c>
      <c r="G161" s="18">
        <f>IF(OR($A161="",NOT(ISNUMBER($B161)),NOT(ISNUMBER($C161))),"",IFERROR(($B161-$K161)/($C161-IF($K161=0,0,SUMIFS('4. Chronology'!$C$5:$C$204,'4. Chronology'!$A$5:$A$204,$A161,'4. Chronology'!$B$5:$B$204,$K161))),""))</f>
        <v/>
      </c>
      <c r="H161" s="18">
        <f>IF(OR($A161="",NOT(ISNUMBER($F161)),NOT(ISNUMBER($C161))),"",IFERROR((($F161-IF($K161=0,0,SUMIFS('4. Chronology'!$F$5:$F$204,'4. Chronology'!$A$5:$A$204,$A161,'4. Chronology'!$B$5:$B$204,$K161)))*1000)/($C161-IF($K161=0,0,SUMIFS('4. Chronology'!$C$5:$C$204,'4. Chronology'!$A$5:$A$204,$A161,'4. Chronology'!$B$5:$B$204,$K161))),""))</f>
        <v/>
      </c>
      <c r="I161" s="18">
        <f>IF($A161="","",IF(COUNTIF('2. Core Log'!$A$5:$A$124,$A161)=0,"Core ID not in Core Log. ","")&amp;IF($E161="","No date source given — RERCA and LORCA need to know which method produced this age. ","")&amp;IF(AND(ISNUMBER($C161),$C161&lt;0),"Negative age: this horizon post-dates the coring year. Check the conversion. ","")&amp;IF(AND(ISNUMBER($G161),$G161&lt;0),"Age reversal — this horizon is younger than one above it. A mixed or disturbed profile may not be datable at all. ","")&amp;IF(AND(ISNUMBER($D161),ISNUMBER($C161),$C161&gt;0,$D161/$C161&gt;0.5),"Age uncertainty exceeds 50% of the age. Usable as an indication only. ","")&amp;IF(AND($D161="",$C161&lt;&gt;""),"No uncertainty given. Every radiometric age has one; a rate without it cannot be defended. ",""))</f>
        <v/>
      </c>
      <c r="J161" s="18">
        <f>IF($E161="",0,IF(OR(LEFT($E161,6)="Pb-210",LEFT($E161,6)="Cs-137"),1,0))</f>
        <v/>
      </c>
      <c r="K161" s="18">
        <f>IF(OR($A161="",NOT(ISNUMBER($B161))),"",SUMPRODUCT(MAX(('4. Chronology'!$A$5:$A$204=$A161)*('4. Chronology'!$B$5:$B$204&lt;$B161)*'4. Chronology'!$B$5:$B$204)))</f>
        <v/>
      </c>
    </row>
    <row r="162">
      <c r="A162" s="14" t="n"/>
      <c r="B162" s="14" t="n"/>
      <c r="C162" s="14" t="n"/>
      <c r="D162" s="14" t="n"/>
      <c r="E162" s="14" t="n"/>
      <c r="F162" s="18">
        <f>IF(OR($A162="",NOT(ISNUMBER($B162))),"",SUMIFS('3. Peat Data'!$P$5:$P$604,'3. Peat Data'!$B$5:$B$604,$A162,'3. Peat Data'!$F$5:$F$604,"&lt;="&amp;$B162)+SUMPRODUCT(('3. Peat Data'!$B$5:$B$604=$A162)*('3. Peat Data'!$E$5:$E$604&lt;$B162)*('3. Peat Data'!$F$5:$F$604&gt;$B162)*'3. Peat Data'!$R$5:$R$604*($B162-'3. Peat Data'!$E$5:$E$604)))</f>
        <v/>
      </c>
      <c r="G162" s="18">
        <f>IF(OR($A162="",NOT(ISNUMBER($B162)),NOT(ISNUMBER($C162))),"",IFERROR(($B162-$K162)/($C162-IF($K162=0,0,SUMIFS('4. Chronology'!$C$5:$C$204,'4. Chronology'!$A$5:$A$204,$A162,'4. Chronology'!$B$5:$B$204,$K162))),""))</f>
        <v/>
      </c>
      <c r="H162" s="18">
        <f>IF(OR($A162="",NOT(ISNUMBER($F162)),NOT(ISNUMBER($C162))),"",IFERROR((($F162-IF($K162=0,0,SUMIFS('4. Chronology'!$F$5:$F$204,'4. Chronology'!$A$5:$A$204,$A162,'4. Chronology'!$B$5:$B$204,$K162)))*1000)/($C162-IF($K162=0,0,SUMIFS('4. Chronology'!$C$5:$C$204,'4. Chronology'!$A$5:$A$204,$A162,'4. Chronology'!$B$5:$B$204,$K162))),""))</f>
        <v/>
      </c>
      <c r="I162" s="18">
        <f>IF($A162="","",IF(COUNTIF('2. Core Log'!$A$5:$A$124,$A162)=0,"Core ID not in Core Log. ","")&amp;IF($E162="","No date source given — RERCA and LORCA need to know which method produced this age. ","")&amp;IF(AND(ISNUMBER($C162),$C162&lt;0),"Negative age: this horizon post-dates the coring year. Check the conversion. ","")&amp;IF(AND(ISNUMBER($G162),$G162&lt;0),"Age reversal — this horizon is younger than one above it. A mixed or disturbed profile may not be datable at all. ","")&amp;IF(AND(ISNUMBER($D162),ISNUMBER($C162),$C162&gt;0,$D162/$C162&gt;0.5),"Age uncertainty exceeds 50% of the age. Usable as an indication only. ","")&amp;IF(AND($D162="",$C162&lt;&gt;""),"No uncertainty given. Every radiometric age has one; a rate without it cannot be defended. ",""))</f>
        <v/>
      </c>
      <c r="J162" s="18">
        <f>IF($E162="",0,IF(OR(LEFT($E162,6)="Pb-210",LEFT($E162,6)="Cs-137"),1,0))</f>
        <v/>
      </c>
      <c r="K162" s="18">
        <f>IF(OR($A162="",NOT(ISNUMBER($B162))),"",SUMPRODUCT(MAX(('4. Chronology'!$A$5:$A$204=$A162)*('4. Chronology'!$B$5:$B$204&lt;$B162)*'4. Chronology'!$B$5:$B$204)))</f>
        <v/>
      </c>
    </row>
    <row r="163">
      <c r="A163" s="14" t="n"/>
      <c r="B163" s="14" t="n"/>
      <c r="C163" s="14" t="n"/>
      <c r="D163" s="14" t="n"/>
      <c r="E163" s="14" t="n"/>
      <c r="F163" s="18">
        <f>IF(OR($A163="",NOT(ISNUMBER($B163))),"",SUMIFS('3. Peat Data'!$P$5:$P$604,'3. Peat Data'!$B$5:$B$604,$A163,'3. Peat Data'!$F$5:$F$604,"&lt;="&amp;$B163)+SUMPRODUCT(('3. Peat Data'!$B$5:$B$604=$A163)*('3. Peat Data'!$E$5:$E$604&lt;$B163)*('3. Peat Data'!$F$5:$F$604&gt;$B163)*'3. Peat Data'!$R$5:$R$604*($B163-'3. Peat Data'!$E$5:$E$604)))</f>
        <v/>
      </c>
      <c r="G163" s="18">
        <f>IF(OR($A163="",NOT(ISNUMBER($B163)),NOT(ISNUMBER($C163))),"",IFERROR(($B163-$K163)/($C163-IF($K163=0,0,SUMIFS('4. Chronology'!$C$5:$C$204,'4. Chronology'!$A$5:$A$204,$A163,'4. Chronology'!$B$5:$B$204,$K163))),""))</f>
        <v/>
      </c>
      <c r="H163" s="18">
        <f>IF(OR($A163="",NOT(ISNUMBER($F163)),NOT(ISNUMBER($C163))),"",IFERROR((($F163-IF($K163=0,0,SUMIFS('4. Chronology'!$F$5:$F$204,'4. Chronology'!$A$5:$A$204,$A163,'4. Chronology'!$B$5:$B$204,$K163)))*1000)/($C163-IF($K163=0,0,SUMIFS('4. Chronology'!$C$5:$C$204,'4. Chronology'!$A$5:$A$204,$A163,'4. Chronology'!$B$5:$B$204,$K163))),""))</f>
        <v/>
      </c>
      <c r="I163" s="18">
        <f>IF($A163="","",IF(COUNTIF('2. Core Log'!$A$5:$A$124,$A163)=0,"Core ID not in Core Log. ","")&amp;IF($E163="","No date source given — RERCA and LORCA need to know which method produced this age. ","")&amp;IF(AND(ISNUMBER($C163),$C163&lt;0),"Negative age: this horizon post-dates the coring year. Check the conversion. ","")&amp;IF(AND(ISNUMBER($G163),$G163&lt;0),"Age reversal — this horizon is younger than one above it. A mixed or disturbed profile may not be datable at all. ","")&amp;IF(AND(ISNUMBER($D163),ISNUMBER($C163),$C163&gt;0,$D163/$C163&gt;0.5),"Age uncertainty exceeds 50% of the age. Usable as an indication only. ","")&amp;IF(AND($D163="",$C163&lt;&gt;""),"No uncertainty given. Every radiometric age has one; a rate without it cannot be defended. ",""))</f>
        <v/>
      </c>
      <c r="J163" s="18">
        <f>IF($E163="",0,IF(OR(LEFT($E163,6)="Pb-210",LEFT($E163,6)="Cs-137"),1,0))</f>
        <v/>
      </c>
      <c r="K163" s="18">
        <f>IF(OR($A163="",NOT(ISNUMBER($B163))),"",SUMPRODUCT(MAX(('4. Chronology'!$A$5:$A$204=$A163)*('4. Chronology'!$B$5:$B$204&lt;$B163)*'4. Chronology'!$B$5:$B$204)))</f>
        <v/>
      </c>
    </row>
    <row r="164">
      <c r="A164" s="14" t="n"/>
      <c r="B164" s="14" t="n"/>
      <c r="C164" s="14" t="n"/>
      <c r="D164" s="14" t="n"/>
      <c r="E164" s="14" t="n"/>
      <c r="F164" s="18">
        <f>IF(OR($A164="",NOT(ISNUMBER($B164))),"",SUMIFS('3. Peat Data'!$P$5:$P$604,'3. Peat Data'!$B$5:$B$604,$A164,'3. Peat Data'!$F$5:$F$604,"&lt;="&amp;$B164)+SUMPRODUCT(('3. Peat Data'!$B$5:$B$604=$A164)*('3. Peat Data'!$E$5:$E$604&lt;$B164)*('3. Peat Data'!$F$5:$F$604&gt;$B164)*'3. Peat Data'!$R$5:$R$604*($B164-'3. Peat Data'!$E$5:$E$604)))</f>
        <v/>
      </c>
      <c r="G164" s="18">
        <f>IF(OR($A164="",NOT(ISNUMBER($B164)),NOT(ISNUMBER($C164))),"",IFERROR(($B164-$K164)/($C164-IF($K164=0,0,SUMIFS('4. Chronology'!$C$5:$C$204,'4. Chronology'!$A$5:$A$204,$A164,'4. Chronology'!$B$5:$B$204,$K164))),""))</f>
        <v/>
      </c>
      <c r="H164" s="18">
        <f>IF(OR($A164="",NOT(ISNUMBER($F164)),NOT(ISNUMBER($C164))),"",IFERROR((($F164-IF($K164=0,0,SUMIFS('4. Chronology'!$F$5:$F$204,'4. Chronology'!$A$5:$A$204,$A164,'4. Chronology'!$B$5:$B$204,$K164)))*1000)/($C164-IF($K164=0,0,SUMIFS('4. Chronology'!$C$5:$C$204,'4. Chronology'!$A$5:$A$204,$A164,'4. Chronology'!$B$5:$B$204,$K164))),""))</f>
        <v/>
      </c>
      <c r="I164" s="18">
        <f>IF($A164="","",IF(COUNTIF('2. Core Log'!$A$5:$A$124,$A164)=0,"Core ID not in Core Log. ","")&amp;IF($E164="","No date source given — RERCA and LORCA need to know which method produced this age. ","")&amp;IF(AND(ISNUMBER($C164),$C164&lt;0),"Negative age: this horizon post-dates the coring year. Check the conversion. ","")&amp;IF(AND(ISNUMBER($G164),$G164&lt;0),"Age reversal — this horizon is younger than one above it. A mixed or disturbed profile may not be datable at all. ","")&amp;IF(AND(ISNUMBER($D164),ISNUMBER($C164),$C164&gt;0,$D164/$C164&gt;0.5),"Age uncertainty exceeds 50% of the age. Usable as an indication only. ","")&amp;IF(AND($D164="",$C164&lt;&gt;""),"No uncertainty given. Every radiometric age has one; a rate without it cannot be defended. ",""))</f>
        <v/>
      </c>
      <c r="J164" s="18">
        <f>IF($E164="",0,IF(OR(LEFT($E164,6)="Pb-210",LEFT($E164,6)="Cs-137"),1,0))</f>
        <v/>
      </c>
      <c r="K164" s="18">
        <f>IF(OR($A164="",NOT(ISNUMBER($B164))),"",SUMPRODUCT(MAX(('4. Chronology'!$A$5:$A$204=$A164)*('4. Chronology'!$B$5:$B$204&lt;$B164)*'4. Chronology'!$B$5:$B$204)))</f>
        <v/>
      </c>
    </row>
    <row r="165">
      <c r="A165" s="14" t="n"/>
      <c r="B165" s="14" t="n"/>
      <c r="C165" s="14" t="n"/>
      <c r="D165" s="14" t="n"/>
      <c r="E165" s="14" t="n"/>
      <c r="F165" s="18">
        <f>IF(OR($A165="",NOT(ISNUMBER($B165))),"",SUMIFS('3. Peat Data'!$P$5:$P$604,'3. Peat Data'!$B$5:$B$604,$A165,'3. Peat Data'!$F$5:$F$604,"&lt;="&amp;$B165)+SUMPRODUCT(('3. Peat Data'!$B$5:$B$604=$A165)*('3. Peat Data'!$E$5:$E$604&lt;$B165)*('3. Peat Data'!$F$5:$F$604&gt;$B165)*'3. Peat Data'!$R$5:$R$604*($B165-'3. Peat Data'!$E$5:$E$604)))</f>
        <v/>
      </c>
      <c r="G165" s="18">
        <f>IF(OR($A165="",NOT(ISNUMBER($B165)),NOT(ISNUMBER($C165))),"",IFERROR(($B165-$K165)/($C165-IF($K165=0,0,SUMIFS('4. Chronology'!$C$5:$C$204,'4. Chronology'!$A$5:$A$204,$A165,'4. Chronology'!$B$5:$B$204,$K165))),""))</f>
        <v/>
      </c>
      <c r="H165" s="18">
        <f>IF(OR($A165="",NOT(ISNUMBER($F165)),NOT(ISNUMBER($C165))),"",IFERROR((($F165-IF($K165=0,0,SUMIFS('4. Chronology'!$F$5:$F$204,'4. Chronology'!$A$5:$A$204,$A165,'4. Chronology'!$B$5:$B$204,$K165)))*1000)/($C165-IF($K165=0,0,SUMIFS('4. Chronology'!$C$5:$C$204,'4. Chronology'!$A$5:$A$204,$A165,'4. Chronology'!$B$5:$B$204,$K165))),""))</f>
        <v/>
      </c>
      <c r="I165" s="18">
        <f>IF($A165="","",IF(COUNTIF('2. Core Log'!$A$5:$A$124,$A165)=0,"Core ID not in Core Log. ","")&amp;IF($E165="","No date source given — RERCA and LORCA need to know which method produced this age. ","")&amp;IF(AND(ISNUMBER($C165),$C165&lt;0),"Negative age: this horizon post-dates the coring year. Check the conversion. ","")&amp;IF(AND(ISNUMBER($G165),$G165&lt;0),"Age reversal — this horizon is younger than one above it. A mixed or disturbed profile may not be datable at all. ","")&amp;IF(AND(ISNUMBER($D165),ISNUMBER($C165),$C165&gt;0,$D165/$C165&gt;0.5),"Age uncertainty exceeds 50% of the age. Usable as an indication only. ","")&amp;IF(AND($D165="",$C165&lt;&gt;""),"No uncertainty given. Every radiometric age has one; a rate without it cannot be defended. ",""))</f>
        <v/>
      </c>
      <c r="J165" s="18">
        <f>IF($E165="",0,IF(OR(LEFT($E165,6)="Pb-210",LEFT($E165,6)="Cs-137"),1,0))</f>
        <v/>
      </c>
      <c r="K165" s="18">
        <f>IF(OR($A165="",NOT(ISNUMBER($B165))),"",SUMPRODUCT(MAX(('4. Chronology'!$A$5:$A$204=$A165)*('4. Chronology'!$B$5:$B$204&lt;$B165)*'4. Chronology'!$B$5:$B$204)))</f>
        <v/>
      </c>
    </row>
    <row r="166">
      <c r="A166" s="14" t="n"/>
      <c r="B166" s="14" t="n"/>
      <c r="C166" s="14" t="n"/>
      <c r="D166" s="14" t="n"/>
      <c r="E166" s="14" t="n"/>
      <c r="F166" s="18">
        <f>IF(OR($A166="",NOT(ISNUMBER($B166))),"",SUMIFS('3. Peat Data'!$P$5:$P$604,'3. Peat Data'!$B$5:$B$604,$A166,'3. Peat Data'!$F$5:$F$604,"&lt;="&amp;$B166)+SUMPRODUCT(('3. Peat Data'!$B$5:$B$604=$A166)*('3. Peat Data'!$E$5:$E$604&lt;$B166)*('3. Peat Data'!$F$5:$F$604&gt;$B166)*'3. Peat Data'!$R$5:$R$604*($B166-'3. Peat Data'!$E$5:$E$604)))</f>
        <v/>
      </c>
      <c r="G166" s="18">
        <f>IF(OR($A166="",NOT(ISNUMBER($B166)),NOT(ISNUMBER($C166))),"",IFERROR(($B166-$K166)/($C166-IF($K166=0,0,SUMIFS('4. Chronology'!$C$5:$C$204,'4. Chronology'!$A$5:$A$204,$A166,'4. Chronology'!$B$5:$B$204,$K166))),""))</f>
        <v/>
      </c>
      <c r="H166" s="18">
        <f>IF(OR($A166="",NOT(ISNUMBER($F166)),NOT(ISNUMBER($C166))),"",IFERROR((($F166-IF($K166=0,0,SUMIFS('4. Chronology'!$F$5:$F$204,'4. Chronology'!$A$5:$A$204,$A166,'4. Chronology'!$B$5:$B$204,$K166)))*1000)/($C166-IF($K166=0,0,SUMIFS('4. Chronology'!$C$5:$C$204,'4. Chronology'!$A$5:$A$204,$A166,'4. Chronology'!$B$5:$B$204,$K166))),""))</f>
        <v/>
      </c>
      <c r="I166" s="18">
        <f>IF($A166="","",IF(COUNTIF('2. Core Log'!$A$5:$A$124,$A166)=0,"Core ID not in Core Log. ","")&amp;IF($E166="","No date source given — RERCA and LORCA need to know which method produced this age. ","")&amp;IF(AND(ISNUMBER($C166),$C166&lt;0),"Negative age: this horizon post-dates the coring year. Check the conversion. ","")&amp;IF(AND(ISNUMBER($G166),$G166&lt;0),"Age reversal — this horizon is younger than one above it. A mixed or disturbed profile may not be datable at all. ","")&amp;IF(AND(ISNUMBER($D166),ISNUMBER($C166),$C166&gt;0,$D166/$C166&gt;0.5),"Age uncertainty exceeds 50% of the age. Usable as an indication only. ","")&amp;IF(AND($D166="",$C166&lt;&gt;""),"No uncertainty given. Every radiometric age has one; a rate without it cannot be defended. ",""))</f>
        <v/>
      </c>
      <c r="J166" s="18">
        <f>IF($E166="",0,IF(OR(LEFT($E166,6)="Pb-210",LEFT($E166,6)="Cs-137"),1,0))</f>
        <v/>
      </c>
      <c r="K166" s="18">
        <f>IF(OR($A166="",NOT(ISNUMBER($B166))),"",SUMPRODUCT(MAX(('4. Chronology'!$A$5:$A$204=$A166)*('4. Chronology'!$B$5:$B$204&lt;$B166)*'4. Chronology'!$B$5:$B$204)))</f>
        <v/>
      </c>
    </row>
    <row r="167">
      <c r="A167" s="14" t="n"/>
      <c r="B167" s="14" t="n"/>
      <c r="C167" s="14" t="n"/>
      <c r="D167" s="14" t="n"/>
      <c r="E167" s="14" t="n"/>
      <c r="F167" s="18">
        <f>IF(OR($A167="",NOT(ISNUMBER($B167))),"",SUMIFS('3. Peat Data'!$P$5:$P$604,'3. Peat Data'!$B$5:$B$604,$A167,'3. Peat Data'!$F$5:$F$604,"&lt;="&amp;$B167)+SUMPRODUCT(('3. Peat Data'!$B$5:$B$604=$A167)*('3. Peat Data'!$E$5:$E$604&lt;$B167)*('3. Peat Data'!$F$5:$F$604&gt;$B167)*'3. Peat Data'!$R$5:$R$604*($B167-'3. Peat Data'!$E$5:$E$604)))</f>
        <v/>
      </c>
      <c r="G167" s="18">
        <f>IF(OR($A167="",NOT(ISNUMBER($B167)),NOT(ISNUMBER($C167))),"",IFERROR(($B167-$K167)/($C167-IF($K167=0,0,SUMIFS('4. Chronology'!$C$5:$C$204,'4. Chronology'!$A$5:$A$204,$A167,'4. Chronology'!$B$5:$B$204,$K167))),""))</f>
        <v/>
      </c>
      <c r="H167" s="18">
        <f>IF(OR($A167="",NOT(ISNUMBER($F167)),NOT(ISNUMBER($C167))),"",IFERROR((($F167-IF($K167=0,0,SUMIFS('4. Chronology'!$F$5:$F$204,'4. Chronology'!$A$5:$A$204,$A167,'4. Chronology'!$B$5:$B$204,$K167)))*1000)/($C167-IF($K167=0,0,SUMIFS('4. Chronology'!$C$5:$C$204,'4. Chronology'!$A$5:$A$204,$A167,'4. Chronology'!$B$5:$B$204,$K167))),""))</f>
        <v/>
      </c>
      <c r="I167" s="18">
        <f>IF($A167="","",IF(COUNTIF('2. Core Log'!$A$5:$A$124,$A167)=0,"Core ID not in Core Log. ","")&amp;IF($E167="","No date source given — RERCA and LORCA need to know which method produced this age. ","")&amp;IF(AND(ISNUMBER($C167),$C167&lt;0),"Negative age: this horizon post-dates the coring year. Check the conversion. ","")&amp;IF(AND(ISNUMBER($G167),$G167&lt;0),"Age reversal — this horizon is younger than one above it. A mixed or disturbed profile may not be datable at all. ","")&amp;IF(AND(ISNUMBER($D167),ISNUMBER($C167),$C167&gt;0,$D167/$C167&gt;0.5),"Age uncertainty exceeds 50% of the age. Usable as an indication only. ","")&amp;IF(AND($D167="",$C167&lt;&gt;""),"No uncertainty given. Every radiometric age has one; a rate without it cannot be defended. ",""))</f>
        <v/>
      </c>
      <c r="J167" s="18">
        <f>IF($E167="",0,IF(OR(LEFT($E167,6)="Pb-210",LEFT($E167,6)="Cs-137"),1,0))</f>
        <v/>
      </c>
      <c r="K167" s="18">
        <f>IF(OR($A167="",NOT(ISNUMBER($B167))),"",SUMPRODUCT(MAX(('4. Chronology'!$A$5:$A$204=$A167)*('4. Chronology'!$B$5:$B$204&lt;$B167)*'4. Chronology'!$B$5:$B$204)))</f>
        <v/>
      </c>
    </row>
    <row r="168">
      <c r="A168" s="14" t="n"/>
      <c r="B168" s="14" t="n"/>
      <c r="C168" s="14" t="n"/>
      <c r="D168" s="14" t="n"/>
      <c r="E168" s="14" t="n"/>
      <c r="F168" s="18">
        <f>IF(OR($A168="",NOT(ISNUMBER($B168))),"",SUMIFS('3. Peat Data'!$P$5:$P$604,'3. Peat Data'!$B$5:$B$604,$A168,'3. Peat Data'!$F$5:$F$604,"&lt;="&amp;$B168)+SUMPRODUCT(('3. Peat Data'!$B$5:$B$604=$A168)*('3. Peat Data'!$E$5:$E$604&lt;$B168)*('3. Peat Data'!$F$5:$F$604&gt;$B168)*'3. Peat Data'!$R$5:$R$604*($B168-'3. Peat Data'!$E$5:$E$604)))</f>
        <v/>
      </c>
      <c r="G168" s="18">
        <f>IF(OR($A168="",NOT(ISNUMBER($B168)),NOT(ISNUMBER($C168))),"",IFERROR(($B168-$K168)/($C168-IF($K168=0,0,SUMIFS('4. Chronology'!$C$5:$C$204,'4. Chronology'!$A$5:$A$204,$A168,'4. Chronology'!$B$5:$B$204,$K168))),""))</f>
        <v/>
      </c>
      <c r="H168" s="18">
        <f>IF(OR($A168="",NOT(ISNUMBER($F168)),NOT(ISNUMBER($C168))),"",IFERROR((($F168-IF($K168=0,0,SUMIFS('4. Chronology'!$F$5:$F$204,'4. Chronology'!$A$5:$A$204,$A168,'4. Chronology'!$B$5:$B$204,$K168)))*1000)/($C168-IF($K168=0,0,SUMIFS('4. Chronology'!$C$5:$C$204,'4. Chronology'!$A$5:$A$204,$A168,'4. Chronology'!$B$5:$B$204,$K168))),""))</f>
        <v/>
      </c>
      <c r="I168" s="18">
        <f>IF($A168="","",IF(COUNTIF('2. Core Log'!$A$5:$A$124,$A168)=0,"Core ID not in Core Log. ","")&amp;IF($E168="","No date source given — RERCA and LORCA need to know which method produced this age. ","")&amp;IF(AND(ISNUMBER($C168),$C168&lt;0),"Negative age: this horizon post-dates the coring year. Check the conversion. ","")&amp;IF(AND(ISNUMBER($G168),$G168&lt;0),"Age reversal — this horizon is younger than one above it. A mixed or disturbed profile may not be datable at all. ","")&amp;IF(AND(ISNUMBER($D168),ISNUMBER($C168),$C168&gt;0,$D168/$C168&gt;0.5),"Age uncertainty exceeds 50% of the age. Usable as an indication only. ","")&amp;IF(AND($D168="",$C168&lt;&gt;""),"No uncertainty given. Every radiometric age has one; a rate without it cannot be defended. ",""))</f>
        <v/>
      </c>
      <c r="J168" s="18">
        <f>IF($E168="",0,IF(OR(LEFT($E168,6)="Pb-210",LEFT($E168,6)="Cs-137"),1,0))</f>
        <v/>
      </c>
      <c r="K168" s="18">
        <f>IF(OR($A168="",NOT(ISNUMBER($B168))),"",SUMPRODUCT(MAX(('4. Chronology'!$A$5:$A$204=$A168)*('4. Chronology'!$B$5:$B$204&lt;$B168)*'4. Chronology'!$B$5:$B$204)))</f>
        <v/>
      </c>
    </row>
    <row r="169">
      <c r="A169" s="14" t="n"/>
      <c r="B169" s="14" t="n"/>
      <c r="C169" s="14" t="n"/>
      <c r="D169" s="14" t="n"/>
      <c r="E169" s="14" t="n"/>
      <c r="F169" s="18">
        <f>IF(OR($A169="",NOT(ISNUMBER($B169))),"",SUMIFS('3. Peat Data'!$P$5:$P$604,'3. Peat Data'!$B$5:$B$604,$A169,'3. Peat Data'!$F$5:$F$604,"&lt;="&amp;$B169)+SUMPRODUCT(('3. Peat Data'!$B$5:$B$604=$A169)*('3. Peat Data'!$E$5:$E$604&lt;$B169)*('3. Peat Data'!$F$5:$F$604&gt;$B169)*'3. Peat Data'!$R$5:$R$604*($B169-'3. Peat Data'!$E$5:$E$604)))</f>
        <v/>
      </c>
      <c r="G169" s="18">
        <f>IF(OR($A169="",NOT(ISNUMBER($B169)),NOT(ISNUMBER($C169))),"",IFERROR(($B169-$K169)/($C169-IF($K169=0,0,SUMIFS('4. Chronology'!$C$5:$C$204,'4. Chronology'!$A$5:$A$204,$A169,'4. Chronology'!$B$5:$B$204,$K169))),""))</f>
        <v/>
      </c>
      <c r="H169" s="18">
        <f>IF(OR($A169="",NOT(ISNUMBER($F169)),NOT(ISNUMBER($C169))),"",IFERROR((($F169-IF($K169=0,0,SUMIFS('4. Chronology'!$F$5:$F$204,'4. Chronology'!$A$5:$A$204,$A169,'4. Chronology'!$B$5:$B$204,$K169)))*1000)/($C169-IF($K169=0,0,SUMIFS('4. Chronology'!$C$5:$C$204,'4. Chronology'!$A$5:$A$204,$A169,'4. Chronology'!$B$5:$B$204,$K169))),""))</f>
        <v/>
      </c>
      <c r="I169" s="18">
        <f>IF($A169="","",IF(COUNTIF('2. Core Log'!$A$5:$A$124,$A169)=0,"Core ID not in Core Log. ","")&amp;IF($E169="","No date source given — RERCA and LORCA need to know which method produced this age. ","")&amp;IF(AND(ISNUMBER($C169),$C169&lt;0),"Negative age: this horizon post-dates the coring year. Check the conversion. ","")&amp;IF(AND(ISNUMBER($G169),$G169&lt;0),"Age reversal — this horizon is younger than one above it. A mixed or disturbed profile may not be datable at all. ","")&amp;IF(AND(ISNUMBER($D169),ISNUMBER($C169),$C169&gt;0,$D169/$C169&gt;0.5),"Age uncertainty exceeds 50% of the age. Usable as an indication only. ","")&amp;IF(AND($D169="",$C169&lt;&gt;""),"No uncertainty given. Every radiometric age has one; a rate without it cannot be defended. ",""))</f>
        <v/>
      </c>
      <c r="J169" s="18">
        <f>IF($E169="",0,IF(OR(LEFT($E169,6)="Pb-210",LEFT($E169,6)="Cs-137"),1,0))</f>
        <v/>
      </c>
      <c r="K169" s="18">
        <f>IF(OR($A169="",NOT(ISNUMBER($B169))),"",SUMPRODUCT(MAX(('4. Chronology'!$A$5:$A$204=$A169)*('4. Chronology'!$B$5:$B$204&lt;$B169)*'4. Chronology'!$B$5:$B$204)))</f>
        <v/>
      </c>
    </row>
    <row r="170">
      <c r="A170" s="14" t="n"/>
      <c r="B170" s="14" t="n"/>
      <c r="C170" s="14" t="n"/>
      <c r="D170" s="14" t="n"/>
      <c r="E170" s="14" t="n"/>
      <c r="F170" s="18">
        <f>IF(OR($A170="",NOT(ISNUMBER($B170))),"",SUMIFS('3. Peat Data'!$P$5:$P$604,'3. Peat Data'!$B$5:$B$604,$A170,'3. Peat Data'!$F$5:$F$604,"&lt;="&amp;$B170)+SUMPRODUCT(('3. Peat Data'!$B$5:$B$604=$A170)*('3. Peat Data'!$E$5:$E$604&lt;$B170)*('3. Peat Data'!$F$5:$F$604&gt;$B170)*'3. Peat Data'!$R$5:$R$604*($B170-'3. Peat Data'!$E$5:$E$604)))</f>
        <v/>
      </c>
      <c r="G170" s="18">
        <f>IF(OR($A170="",NOT(ISNUMBER($B170)),NOT(ISNUMBER($C170))),"",IFERROR(($B170-$K170)/($C170-IF($K170=0,0,SUMIFS('4. Chronology'!$C$5:$C$204,'4. Chronology'!$A$5:$A$204,$A170,'4. Chronology'!$B$5:$B$204,$K170))),""))</f>
        <v/>
      </c>
      <c r="H170" s="18">
        <f>IF(OR($A170="",NOT(ISNUMBER($F170)),NOT(ISNUMBER($C170))),"",IFERROR((($F170-IF($K170=0,0,SUMIFS('4. Chronology'!$F$5:$F$204,'4. Chronology'!$A$5:$A$204,$A170,'4. Chronology'!$B$5:$B$204,$K170)))*1000)/($C170-IF($K170=0,0,SUMIFS('4. Chronology'!$C$5:$C$204,'4. Chronology'!$A$5:$A$204,$A170,'4. Chronology'!$B$5:$B$204,$K170))),""))</f>
        <v/>
      </c>
      <c r="I170" s="18">
        <f>IF($A170="","",IF(COUNTIF('2. Core Log'!$A$5:$A$124,$A170)=0,"Core ID not in Core Log. ","")&amp;IF($E170="","No date source given — RERCA and LORCA need to know which method produced this age. ","")&amp;IF(AND(ISNUMBER($C170),$C170&lt;0),"Negative age: this horizon post-dates the coring year. Check the conversion. ","")&amp;IF(AND(ISNUMBER($G170),$G170&lt;0),"Age reversal — this horizon is younger than one above it. A mixed or disturbed profile may not be datable at all. ","")&amp;IF(AND(ISNUMBER($D170),ISNUMBER($C170),$C170&gt;0,$D170/$C170&gt;0.5),"Age uncertainty exceeds 50% of the age. Usable as an indication only. ","")&amp;IF(AND($D170="",$C170&lt;&gt;""),"No uncertainty given. Every radiometric age has one; a rate without it cannot be defended. ",""))</f>
        <v/>
      </c>
      <c r="J170" s="18">
        <f>IF($E170="",0,IF(OR(LEFT($E170,6)="Pb-210",LEFT($E170,6)="Cs-137"),1,0))</f>
        <v/>
      </c>
      <c r="K170" s="18">
        <f>IF(OR($A170="",NOT(ISNUMBER($B170))),"",SUMPRODUCT(MAX(('4. Chronology'!$A$5:$A$204=$A170)*('4. Chronology'!$B$5:$B$204&lt;$B170)*'4. Chronology'!$B$5:$B$204)))</f>
        <v/>
      </c>
    </row>
    <row r="171">
      <c r="A171" s="14" t="n"/>
      <c r="B171" s="14" t="n"/>
      <c r="C171" s="14" t="n"/>
      <c r="D171" s="14" t="n"/>
      <c r="E171" s="14" t="n"/>
      <c r="F171" s="18">
        <f>IF(OR($A171="",NOT(ISNUMBER($B171))),"",SUMIFS('3. Peat Data'!$P$5:$P$604,'3. Peat Data'!$B$5:$B$604,$A171,'3. Peat Data'!$F$5:$F$604,"&lt;="&amp;$B171)+SUMPRODUCT(('3. Peat Data'!$B$5:$B$604=$A171)*('3. Peat Data'!$E$5:$E$604&lt;$B171)*('3. Peat Data'!$F$5:$F$604&gt;$B171)*'3. Peat Data'!$R$5:$R$604*($B171-'3. Peat Data'!$E$5:$E$604)))</f>
        <v/>
      </c>
      <c r="G171" s="18">
        <f>IF(OR($A171="",NOT(ISNUMBER($B171)),NOT(ISNUMBER($C171))),"",IFERROR(($B171-$K171)/($C171-IF($K171=0,0,SUMIFS('4. Chronology'!$C$5:$C$204,'4. Chronology'!$A$5:$A$204,$A171,'4. Chronology'!$B$5:$B$204,$K171))),""))</f>
        <v/>
      </c>
      <c r="H171" s="18">
        <f>IF(OR($A171="",NOT(ISNUMBER($F171)),NOT(ISNUMBER($C171))),"",IFERROR((($F171-IF($K171=0,0,SUMIFS('4. Chronology'!$F$5:$F$204,'4. Chronology'!$A$5:$A$204,$A171,'4. Chronology'!$B$5:$B$204,$K171)))*1000)/($C171-IF($K171=0,0,SUMIFS('4. Chronology'!$C$5:$C$204,'4. Chronology'!$A$5:$A$204,$A171,'4. Chronology'!$B$5:$B$204,$K171))),""))</f>
        <v/>
      </c>
      <c r="I171" s="18">
        <f>IF($A171="","",IF(COUNTIF('2. Core Log'!$A$5:$A$124,$A171)=0,"Core ID not in Core Log. ","")&amp;IF($E171="","No date source given — RERCA and LORCA need to know which method produced this age. ","")&amp;IF(AND(ISNUMBER($C171),$C171&lt;0),"Negative age: this horizon post-dates the coring year. Check the conversion. ","")&amp;IF(AND(ISNUMBER($G171),$G171&lt;0),"Age reversal — this horizon is younger than one above it. A mixed or disturbed profile may not be datable at all. ","")&amp;IF(AND(ISNUMBER($D171),ISNUMBER($C171),$C171&gt;0,$D171/$C171&gt;0.5),"Age uncertainty exceeds 50% of the age. Usable as an indication only. ","")&amp;IF(AND($D171="",$C171&lt;&gt;""),"No uncertainty given. Every radiometric age has one; a rate without it cannot be defended. ",""))</f>
        <v/>
      </c>
      <c r="J171" s="18">
        <f>IF($E171="",0,IF(OR(LEFT($E171,6)="Pb-210",LEFT($E171,6)="Cs-137"),1,0))</f>
        <v/>
      </c>
      <c r="K171" s="18">
        <f>IF(OR($A171="",NOT(ISNUMBER($B171))),"",SUMPRODUCT(MAX(('4. Chronology'!$A$5:$A$204=$A171)*('4. Chronology'!$B$5:$B$204&lt;$B171)*'4. Chronology'!$B$5:$B$204)))</f>
        <v/>
      </c>
    </row>
    <row r="172">
      <c r="A172" s="14" t="n"/>
      <c r="B172" s="14" t="n"/>
      <c r="C172" s="14" t="n"/>
      <c r="D172" s="14" t="n"/>
      <c r="E172" s="14" t="n"/>
      <c r="F172" s="18">
        <f>IF(OR($A172="",NOT(ISNUMBER($B172))),"",SUMIFS('3. Peat Data'!$P$5:$P$604,'3. Peat Data'!$B$5:$B$604,$A172,'3. Peat Data'!$F$5:$F$604,"&lt;="&amp;$B172)+SUMPRODUCT(('3. Peat Data'!$B$5:$B$604=$A172)*('3. Peat Data'!$E$5:$E$604&lt;$B172)*('3. Peat Data'!$F$5:$F$604&gt;$B172)*'3. Peat Data'!$R$5:$R$604*($B172-'3. Peat Data'!$E$5:$E$604)))</f>
        <v/>
      </c>
      <c r="G172" s="18">
        <f>IF(OR($A172="",NOT(ISNUMBER($B172)),NOT(ISNUMBER($C172))),"",IFERROR(($B172-$K172)/($C172-IF($K172=0,0,SUMIFS('4. Chronology'!$C$5:$C$204,'4. Chronology'!$A$5:$A$204,$A172,'4. Chronology'!$B$5:$B$204,$K172))),""))</f>
        <v/>
      </c>
      <c r="H172" s="18">
        <f>IF(OR($A172="",NOT(ISNUMBER($F172)),NOT(ISNUMBER($C172))),"",IFERROR((($F172-IF($K172=0,0,SUMIFS('4. Chronology'!$F$5:$F$204,'4. Chronology'!$A$5:$A$204,$A172,'4. Chronology'!$B$5:$B$204,$K172)))*1000)/($C172-IF($K172=0,0,SUMIFS('4. Chronology'!$C$5:$C$204,'4. Chronology'!$A$5:$A$204,$A172,'4. Chronology'!$B$5:$B$204,$K172))),""))</f>
        <v/>
      </c>
      <c r="I172" s="18">
        <f>IF($A172="","",IF(COUNTIF('2. Core Log'!$A$5:$A$124,$A172)=0,"Core ID not in Core Log. ","")&amp;IF($E172="","No date source given — RERCA and LORCA need to know which method produced this age. ","")&amp;IF(AND(ISNUMBER($C172),$C172&lt;0),"Negative age: this horizon post-dates the coring year. Check the conversion. ","")&amp;IF(AND(ISNUMBER($G172),$G172&lt;0),"Age reversal — this horizon is younger than one above it. A mixed or disturbed profile may not be datable at all. ","")&amp;IF(AND(ISNUMBER($D172),ISNUMBER($C172),$C172&gt;0,$D172/$C172&gt;0.5),"Age uncertainty exceeds 50% of the age. Usable as an indication only. ","")&amp;IF(AND($D172="",$C172&lt;&gt;""),"No uncertainty given. Every radiometric age has one; a rate without it cannot be defended. ",""))</f>
        <v/>
      </c>
      <c r="J172" s="18">
        <f>IF($E172="",0,IF(OR(LEFT($E172,6)="Pb-210",LEFT($E172,6)="Cs-137"),1,0))</f>
        <v/>
      </c>
      <c r="K172" s="18">
        <f>IF(OR($A172="",NOT(ISNUMBER($B172))),"",SUMPRODUCT(MAX(('4. Chronology'!$A$5:$A$204=$A172)*('4. Chronology'!$B$5:$B$204&lt;$B172)*'4. Chronology'!$B$5:$B$204)))</f>
        <v/>
      </c>
    </row>
    <row r="173">
      <c r="A173" s="14" t="n"/>
      <c r="B173" s="14" t="n"/>
      <c r="C173" s="14" t="n"/>
      <c r="D173" s="14" t="n"/>
      <c r="E173" s="14" t="n"/>
      <c r="F173" s="18">
        <f>IF(OR($A173="",NOT(ISNUMBER($B173))),"",SUMIFS('3. Peat Data'!$P$5:$P$604,'3. Peat Data'!$B$5:$B$604,$A173,'3. Peat Data'!$F$5:$F$604,"&lt;="&amp;$B173)+SUMPRODUCT(('3. Peat Data'!$B$5:$B$604=$A173)*('3. Peat Data'!$E$5:$E$604&lt;$B173)*('3. Peat Data'!$F$5:$F$604&gt;$B173)*'3. Peat Data'!$R$5:$R$604*($B173-'3. Peat Data'!$E$5:$E$604)))</f>
        <v/>
      </c>
      <c r="G173" s="18">
        <f>IF(OR($A173="",NOT(ISNUMBER($B173)),NOT(ISNUMBER($C173))),"",IFERROR(($B173-$K173)/($C173-IF($K173=0,0,SUMIFS('4. Chronology'!$C$5:$C$204,'4. Chronology'!$A$5:$A$204,$A173,'4. Chronology'!$B$5:$B$204,$K173))),""))</f>
        <v/>
      </c>
      <c r="H173" s="18">
        <f>IF(OR($A173="",NOT(ISNUMBER($F173)),NOT(ISNUMBER($C173))),"",IFERROR((($F173-IF($K173=0,0,SUMIFS('4. Chronology'!$F$5:$F$204,'4. Chronology'!$A$5:$A$204,$A173,'4. Chronology'!$B$5:$B$204,$K173)))*1000)/($C173-IF($K173=0,0,SUMIFS('4. Chronology'!$C$5:$C$204,'4. Chronology'!$A$5:$A$204,$A173,'4. Chronology'!$B$5:$B$204,$K173))),""))</f>
        <v/>
      </c>
      <c r="I173" s="18">
        <f>IF($A173="","",IF(COUNTIF('2. Core Log'!$A$5:$A$124,$A173)=0,"Core ID not in Core Log. ","")&amp;IF($E173="","No date source given — RERCA and LORCA need to know which method produced this age. ","")&amp;IF(AND(ISNUMBER($C173),$C173&lt;0),"Negative age: this horizon post-dates the coring year. Check the conversion. ","")&amp;IF(AND(ISNUMBER($G173),$G173&lt;0),"Age reversal — this horizon is younger than one above it. A mixed or disturbed profile may not be datable at all. ","")&amp;IF(AND(ISNUMBER($D173),ISNUMBER($C173),$C173&gt;0,$D173/$C173&gt;0.5),"Age uncertainty exceeds 50% of the age. Usable as an indication only. ","")&amp;IF(AND($D173="",$C173&lt;&gt;""),"No uncertainty given. Every radiometric age has one; a rate without it cannot be defended. ",""))</f>
        <v/>
      </c>
      <c r="J173" s="18">
        <f>IF($E173="",0,IF(OR(LEFT($E173,6)="Pb-210",LEFT($E173,6)="Cs-137"),1,0))</f>
        <v/>
      </c>
      <c r="K173" s="18">
        <f>IF(OR($A173="",NOT(ISNUMBER($B173))),"",SUMPRODUCT(MAX(('4. Chronology'!$A$5:$A$204=$A173)*('4. Chronology'!$B$5:$B$204&lt;$B173)*'4. Chronology'!$B$5:$B$204)))</f>
        <v/>
      </c>
    </row>
    <row r="174">
      <c r="A174" s="14" t="n"/>
      <c r="B174" s="14" t="n"/>
      <c r="C174" s="14" t="n"/>
      <c r="D174" s="14" t="n"/>
      <c r="E174" s="14" t="n"/>
      <c r="F174" s="18">
        <f>IF(OR($A174="",NOT(ISNUMBER($B174))),"",SUMIFS('3. Peat Data'!$P$5:$P$604,'3. Peat Data'!$B$5:$B$604,$A174,'3. Peat Data'!$F$5:$F$604,"&lt;="&amp;$B174)+SUMPRODUCT(('3. Peat Data'!$B$5:$B$604=$A174)*('3. Peat Data'!$E$5:$E$604&lt;$B174)*('3. Peat Data'!$F$5:$F$604&gt;$B174)*'3. Peat Data'!$R$5:$R$604*($B174-'3. Peat Data'!$E$5:$E$604)))</f>
        <v/>
      </c>
      <c r="G174" s="18">
        <f>IF(OR($A174="",NOT(ISNUMBER($B174)),NOT(ISNUMBER($C174))),"",IFERROR(($B174-$K174)/($C174-IF($K174=0,0,SUMIFS('4. Chronology'!$C$5:$C$204,'4. Chronology'!$A$5:$A$204,$A174,'4. Chronology'!$B$5:$B$204,$K174))),""))</f>
        <v/>
      </c>
      <c r="H174" s="18">
        <f>IF(OR($A174="",NOT(ISNUMBER($F174)),NOT(ISNUMBER($C174))),"",IFERROR((($F174-IF($K174=0,0,SUMIFS('4. Chronology'!$F$5:$F$204,'4. Chronology'!$A$5:$A$204,$A174,'4. Chronology'!$B$5:$B$204,$K174)))*1000)/($C174-IF($K174=0,0,SUMIFS('4. Chronology'!$C$5:$C$204,'4. Chronology'!$A$5:$A$204,$A174,'4. Chronology'!$B$5:$B$204,$K174))),""))</f>
        <v/>
      </c>
      <c r="I174" s="18">
        <f>IF($A174="","",IF(COUNTIF('2. Core Log'!$A$5:$A$124,$A174)=0,"Core ID not in Core Log. ","")&amp;IF($E174="","No date source given — RERCA and LORCA need to know which method produced this age. ","")&amp;IF(AND(ISNUMBER($C174),$C174&lt;0),"Negative age: this horizon post-dates the coring year. Check the conversion. ","")&amp;IF(AND(ISNUMBER($G174),$G174&lt;0),"Age reversal — this horizon is younger than one above it. A mixed or disturbed profile may not be datable at all. ","")&amp;IF(AND(ISNUMBER($D174),ISNUMBER($C174),$C174&gt;0,$D174/$C174&gt;0.5),"Age uncertainty exceeds 50% of the age. Usable as an indication only. ","")&amp;IF(AND($D174="",$C174&lt;&gt;""),"No uncertainty given. Every radiometric age has one; a rate without it cannot be defended. ",""))</f>
        <v/>
      </c>
      <c r="J174" s="18">
        <f>IF($E174="",0,IF(OR(LEFT($E174,6)="Pb-210",LEFT($E174,6)="Cs-137"),1,0))</f>
        <v/>
      </c>
      <c r="K174" s="18">
        <f>IF(OR($A174="",NOT(ISNUMBER($B174))),"",SUMPRODUCT(MAX(('4. Chronology'!$A$5:$A$204=$A174)*('4. Chronology'!$B$5:$B$204&lt;$B174)*'4. Chronology'!$B$5:$B$204)))</f>
        <v/>
      </c>
    </row>
    <row r="175">
      <c r="A175" s="14" t="n"/>
      <c r="B175" s="14" t="n"/>
      <c r="C175" s="14" t="n"/>
      <c r="D175" s="14" t="n"/>
      <c r="E175" s="14" t="n"/>
      <c r="F175" s="18">
        <f>IF(OR($A175="",NOT(ISNUMBER($B175))),"",SUMIFS('3. Peat Data'!$P$5:$P$604,'3. Peat Data'!$B$5:$B$604,$A175,'3. Peat Data'!$F$5:$F$604,"&lt;="&amp;$B175)+SUMPRODUCT(('3. Peat Data'!$B$5:$B$604=$A175)*('3. Peat Data'!$E$5:$E$604&lt;$B175)*('3. Peat Data'!$F$5:$F$604&gt;$B175)*'3. Peat Data'!$R$5:$R$604*($B175-'3. Peat Data'!$E$5:$E$604)))</f>
        <v/>
      </c>
      <c r="G175" s="18">
        <f>IF(OR($A175="",NOT(ISNUMBER($B175)),NOT(ISNUMBER($C175))),"",IFERROR(($B175-$K175)/($C175-IF($K175=0,0,SUMIFS('4. Chronology'!$C$5:$C$204,'4. Chronology'!$A$5:$A$204,$A175,'4. Chronology'!$B$5:$B$204,$K175))),""))</f>
        <v/>
      </c>
      <c r="H175" s="18">
        <f>IF(OR($A175="",NOT(ISNUMBER($F175)),NOT(ISNUMBER($C175))),"",IFERROR((($F175-IF($K175=0,0,SUMIFS('4. Chronology'!$F$5:$F$204,'4. Chronology'!$A$5:$A$204,$A175,'4. Chronology'!$B$5:$B$204,$K175)))*1000)/($C175-IF($K175=0,0,SUMIFS('4. Chronology'!$C$5:$C$204,'4. Chronology'!$A$5:$A$204,$A175,'4. Chronology'!$B$5:$B$204,$K175))),""))</f>
        <v/>
      </c>
      <c r="I175" s="18">
        <f>IF($A175="","",IF(COUNTIF('2. Core Log'!$A$5:$A$124,$A175)=0,"Core ID not in Core Log. ","")&amp;IF($E175="","No date source given — RERCA and LORCA need to know which method produced this age. ","")&amp;IF(AND(ISNUMBER($C175),$C175&lt;0),"Negative age: this horizon post-dates the coring year. Check the conversion. ","")&amp;IF(AND(ISNUMBER($G175),$G175&lt;0),"Age reversal — this horizon is younger than one above it. A mixed or disturbed profile may not be datable at all. ","")&amp;IF(AND(ISNUMBER($D175),ISNUMBER($C175),$C175&gt;0,$D175/$C175&gt;0.5),"Age uncertainty exceeds 50% of the age. Usable as an indication only. ","")&amp;IF(AND($D175="",$C175&lt;&gt;""),"No uncertainty given. Every radiometric age has one; a rate without it cannot be defended. ",""))</f>
        <v/>
      </c>
      <c r="J175" s="18">
        <f>IF($E175="",0,IF(OR(LEFT($E175,6)="Pb-210",LEFT($E175,6)="Cs-137"),1,0))</f>
        <v/>
      </c>
      <c r="K175" s="18">
        <f>IF(OR($A175="",NOT(ISNUMBER($B175))),"",SUMPRODUCT(MAX(('4. Chronology'!$A$5:$A$204=$A175)*('4. Chronology'!$B$5:$B$204&lt;$B175)*'4. Chronology'!$B$5:$B$204)))</f>
        <v/>
      </c>
    </row>
    <row r="176">
      <c r="A176" s="14" t="n"/>
      <c r="B176" s="14" t="n"/>
      <c r="C176" s="14" t="n"/>
      <c r="D176" s="14" t="n"/>
      <c r="E176" s="14" t="n"/>
      <c r="F176" s="18">
        <f>IF(OR($A176="",NOT(ISNUMBER($B176))),"",SUMIFS('3. Peat Data'!$P$5:$P$604,'3. Peat Data'!$B$5:$B$604,$A176,'3. Peat Data'!$F$5:$F$604,"&lt;="&amp;$B176)+SUMPRODUCT(('3. Peat Data'!$B$5:$B$604=$A176)*('3. Peat Data'!$E$5:$E$604&lt;$B176)*('3. Peat Data'!$F$5:$F$604&gt;$B176)*'3. Peat Data'!$R$5:$R$604*($B176-'3. Peat Data'!$E$5:$E$604)))</f>
        <v/>
      </c>
      <c r="G176" s="18">
        <f>IF(OR($A176="",NOT(ISNUMBER($B176)),NOT(ISNUMBER($C176))),"",IFERROR(($B176-$K176)/($C176-IF($K176=0,0,SUMIFS('4. Chronology'!$C$5:$C$204,'4. Chronology'!$A$5:$A$204,$A176,'4. Chronology'!$B$5:$B$204,$K176))),""))</f>
        <v/>
      </c>
      <c r="H176" s="18">
        <f>IF(OR($A176="",NOT(ISNUMBER($F176)),NOT(ISNUMBER($C176))),"",IFERROR((($F176-IF($K176=0,0,SUMIFS('4. Chronology'!$F$5:$F$204,'4. Chronology'!$A$5:$A$204,$A176,'4. Chronology'!$B$5:$B$204,$K176)))*1000)/($C176-IF($K176=0,0,SUMIFS('4. Chronology'!$C$5:$C$204,'4. Chronology'!$A$5:$A$204,$A176,'4. Chronology'!$B$5:$B$204,$K176))),""))</f>
        <v/>
      </c>
      <c r="I176" s="18">
        <f>IF($A176="","",IF(COUNTIF('2. Core Log'!$A$5:$A$124,$A176)=0,"Core ID not in Core Log. ","")&amp;IF($E176="","No date source given — RERCA and LORCA need to know which method produced this age. ","")&amp;IF(AND(ISNUMBER($C176),$C176&lt;0),"Negative age: this horizon post-dates the coring year. Check the conversion. ","")&amp;IF(AND(ISNUMBER($G176),$G176&lt;0),"Age reversal — this horizon is younger than one above it. A mixed or disturbed profile may not be datable at all. ","")&amp;IF(AND(ISNUMBER($D176),ISNUMBER($C176),$C176&gt;0,$D176/$C176&gt;0.5),"Age uncertainty exceeds 50% of the age. Usable as an indication only. ","")&amp;IF(AND($D176="",$C176&lt;&gt;""),"No uncertainty given. Every radiometric age has one; a rate without it cannot be defended. ",""))</f>
        <v/>
      </c>
      <c r="J176" s="18">
        <f>IF($E176="",0,IF(OR(LEFT($E176,6)="Pb-210",LEFT($E176,6)="Cs-137"),1,0))</f>
        <v/>
      </c>
      <c r="K176" s="18">
        <f>IF(OR($A176="",NOT(ISNUMBER($B176))),"",SUMPRODUCT(MAX(('4. Chronology'!$A$5:$A$204=$A176)*('4. Chronology'!$B$5:$B$204&lt;$B176)*'4. Chronology'!$B$5:$B$204)))</f>
        <v/>
      </c>
    </row>
    <row r="177">
      <c r="A177" s="14" t="n"/>
      <c r="B177" s="14" t="n"/>
      <c r="C177" s="14" t="n"/>
      <c r="D177" s="14" t="n"/>
      <c r="E177" s="14" t="n"/>
      <c r="F177" s="18">
        <f>IF(OR($A177="",NOT(ISNUMBER($B177))),"",SUMIFS('3. Peat Data'!$P$5:$P$604,'3. Peat Data'!$B$5:$B$604,$A177,'3. Peat Data'!$F$5:$F$604,"&lt;="&amp;$B177)+SUMPRODUCT(('3. Peat Data'!$B$5:$B$604=$A177)*('3. Peat Data'!$E$5:$E$604&lt;$B177)*('3. Peat Data'!$F$5:$F$604&gt;$B177)*'3. Peat Data'!$R$5:$R$604*($B177-'3. Peat Data'!$E$5:$E$604)))</f>
        <v/>
      </c>
      <c r="G177" s="18">
        <f>IF(OR($A177="",NOT(ISNUMBER($B177)),NOT(ISNUMBER($C177))),"",IFERROR(($B177-$K177)/($C177-IF($K177=0,0,SUMIFS('4. Chronology'!$C$5:$C$204,'4. Chronology'!$A$5:$A$204,$A177,'4. Chronology'!$B$5:$B$204,$K177))),""))</f>
        <v/>
      </c>
      <c r="H177" s="18">
        <f>IF(OR($A177="",NOT(ISNUMBER($F177)),NOT(ISNUMBER($C177))),"",IFERROR((($F177-IF($K177=0,0,SUMIFS('4. Chronology'!$F$5:$F$204,'4. Chronology'!$A$5:$A$204,$A177,'4. Chronology'!$B$5:$B$204,$K177)))*1000)/($C177-IF($K177=0,0,SUMIFS('4. Chronology'!$C$5:$C$204,'4. Chronology'!$A$5:$A$204,$A177,'4. Chronology'!$B$5:$B$204,$K177))),""))</f>
        <v/>
      </c>
      <c r="I177" s="18">
        <f>IF($A177="","",IF(COUNTIF('2. Core Log'!$A$5:$A$124,$A177)=0,"Core ID not in Core Log. ","")&amp;IF($E177="","No date source given — RERCA and LORCA need to know which method produced this age. ","")&amp;IF(AND(ISNUMBER($C177),$C177&lt;0),"Negative age: this horizon post-dates the coring year. Check the conversion. ","")&amp;IF(AND(ISNUMBER($G177),$G177&lt;0),"Age reversal — this horizon is younger than one above it. A mixed or disturbed profile may not be datable at all. ","")&amp;IF(AND(ISNUMBER($D177),ISNUMBER($C177),$C177&gt;0,$D177/$C177&gt;0.5),"Age uncertainty exceeds 50% of the age. Usable as an indication only. ","")&amp;IF(AND($D177="",$C177&lt;&gt;""),"No uncertainty given. Every radiometric age has one; a rate without it cannot be defended. ",""))</f>
        <v/>
      </c>
      <c r="J177" s="18">
        <f>IF($E177="",0,IF(OR(LEFT($E177,6)="Pb-210",LEFT($E177,6)="Cs-137"),1,0))</f>
        <v/>
      </c>
      <c r="K177" s="18">
        <f>IF(OR($A177="",NOT(ISNUMBER($B177))),"",SUMPRODUCT(MAX(('4. Chronology'!$A$5:$A$204=$A177)*('4. Chronology'!$B$5:$B$204&lt;$B177)*'4. Chronology'!$B$5:$B$204)))</f>
        <v/>
      </c>
    </row>
    <row r="178">
      <c r="A178" s="14" t="n"/>
      <c r="B178" s="14" t="n"/>
      <c r="C178" s="14" t="n"/>
      <c r="D178" s="14" t="n"/>
      <c r="E178" s="14" t="n"/>
      <c r="F178" s="18">
        <f>IF(OR($A178="",NOT(ISNUMBER($B178))),"",SUMIFS('3. Peat Data'!$P$5:$P$604,'3. Peat Data'!$B$5:$B$604,$A178,'3. Peat Data'!$F$5:$F$604,"&lt;="&amp;$B178)+SUMPRODUCT(('3. Peat Data'!$B$5:$B$604=$A178)*('3. Peat Data'!$E$5:$E$604&lt;$B178)*('3. Peat Data'!$F$5:$F$604&gt;$B178)*'3. Peat Data'!$R$5:$R$604*($B178-'3. Peat Data'!$E$5:$E$604)))</f>
        <v/>
      </c>
      <c r="G178" s="18">
        <f>IF(OR($A178="",NOT(ISNUMBER($B178)),NOT(ISNUMBER($C178))),"",IFERROR(($B178-$K178)/($C178-IF($K178=0,0,SUMIFS('4. Chronology'!$C$5:$C$204,'4. Chronology'!$A$5:$A$204,$A178,'4. Chronology'!$B$5:$B$204,$K178))),""))</f>
        <v/>
      </c>
      <c r="H178" s="18">
        <f>IF(OR($A178="",NOT(ISNUMBER($F178)),NOT(ISNUMBER($C178))),"",IFERROR((($F178-IF($K178=0,0,SUMIFS('4. Chronology'!$F$5:$F$204,'4. Chronology'!$A$5:$A$204,$A178,'4. Chronology'!$B$5:$B$204,$K178)))*1000)/($C178-IF($K178=0,0,SUMIFS('4. Chronology'!$C$5:$C$204,'4. Chronology'!$A$5:$A$204,$A178,'4. Chronology'!$B$5:$B$204,$K178))),""))</f>
        <v/>
      </c>
      <c r="I178" s="18">
        <f>IF($A178="","",IF(COUNTIF('2. Core Log'!$A$5:$A$124,$A178)=0,"Core ID not in Core Log. ","")&amp;IF($E178="","No date source given — RERCA and LORCA need to know which method produced this age. ","")&amp;IF(AND(ISNUMBER($C178),$C178&lt;0),"Negative age: this horizon post-dates the coring year. Check the conversion. ","")&amp;IF(AND(ISNUMBER($G178),$G178&lt;0),"Age reversal — this horizon is younger than one above it. A mixed or disturbed profile may not be datable at all. ","")&amp;IF(AND(ISNUMBER($D178),ISNUMBER($C178),$C178&gt;0,$D178/$C178&gt;0.5),"Age uncertainty exceeds 50% of the age. Usable as an indication only. ","")&amp;IF(AND($D178="",$C178&lt;&gt;""),"No uncertainty given. Every radiometric age has one; a rate without it cannot be defended. ",""))</f>
        <v/>
      </c>
      <c r="J178" s="18">
        <f>IF($E178="",0,IF(OR(LEFT($E178,6)="Pb-210",LEFT($E178,6)="Cs-137"),1,0))</f>
        <v/>
      </c>
      <c r="K178" s="18">
        <f>IF(OR($A178="",NOT(ISNUMBER($B178))),"",SUMPRODUCT(MAX(('4. Chronology'!$A$5:$A$204=$A178)*('4. Chronology'!$B$5:$B$204&lt;$B178)*'4. Chronology'!$B$5:$B$204)))</f>
        <v/>
      </c>
    </row>
    <row r="179">
      <c r="A179" s="14" t="n"/>
      <c r="B179" s="14" t="n"/>
      <c r="C179" s="14" t="n"/>
      <c r="D179" s="14" t="n"/>
      <c r="E179" s="14" t="n"/>
      <c r="F179" s="18">
        <f>IF(OR($A179="",NOT(ISNUMBER($B179))),"",SUMIFS('3. Peat Data'!$P$5:$P$604,'3. Peat Data'!$B$5:$B$604,$A179,'3. Peat Data'!$F$5:$F$604,"&lt;="&amp;$B179)+SUMPRODUCT(('3. Peat Data'!$B$5:$B$604=$A179)*('3. Peat Data'!$E$5:$E$604&lt;$B179)*('3. Peat Data'!$F$5:$F$604&gt;$B179)*'3. Peat Data'!$R$5:$R$604*($B179-'3. Peat Data'!$E$5:$E$604)))</f>
        <v/>
      </c>
      <c r="G179" s="18">
        <f>IF(OR($A179="",NOT(ISNUMBER($B179)),NOT(ISNUMBER($C179))),"",IFERROR(($B179-$K179)/($C179-IF($K179=0,0,SUMIFS('4. Chronology'!$C$5:$C$204,'4. Chronology'!$A$5:$A$204,$A179,'4. Chronology'!$B$5:$B$204,$K179))),""))</f>
        <v/>
      </c>
      <c r="H179" s="18">
        <f>IF(OR($A179="",NOT(ISNUMBER($F179)),NOT(ISNUMBER($C179))),"",IFERROR((($F179-IF($K179=0,0,SUMIFS('4. Chronology'!$F$5:$F$204,'4. Chronology'!$A$5:$A$204,$A179,'4. Chronology'!$B$5:$B$204,$K179)))*1000)/($C179-IF($K179=0,0,SUMIFS('4. Chronology'!$C$5:$C$204,'4. Chronology'!$A$5:$A$204,$A179,'4. Chronology'!$B$5:$B$204,$K179))),""))</f>
        <v/>
      </c>
      <c r="I179" s="18">
        <f>IF($A179="","",IF(COUNTIF('2. Core Log'!$A$5:$A$124,$A179)=0,"Core ID not in Core Log. ","")&amp;IF($E179="","No date source given — RERCA and LORCA need to know which method produced this age. ","")&amp;IF(AND(ISNUMBER($C179),$C179&lt;0),"Negative age: this horizon post-dates the coring year. Check the conversion. ","")&amp;IF(AND(ISNUMBER($G179),$G179&lt;0),"Age reversal — this horizon is younger than one above it. A mixed or disturbed profile may not be datable at all. ","")&amp;IF(AND(ISNUMBER($D179),ISNUMBER($C179),$C179&gt;0,$D179/$C179&gt;0.5),"Age uncertainty exceeds 50% of the age. Usable as an indication only. ","")&amp;IF(AND($D179="",$C179&lt;&gt;""),"No uncertainty given. Every radiometric age has one; a rate without it cannot be defended. ",""))</f>
        <v/>
      </c>
      <c r="J179" s="18">
        <f>IF($E179="",0,IF(OR(LEFT($E179,6)="Pb-210",LEFT($E179,6)="Cs-137"),1,0))</f>
        <v/>
      </c>
      <c r="K179" s="18">
        <f>IF(OR($A179="",NOT(ISNUMBER($B179))),"",SUMPRODUCT(MAX(('4. Chronology'!$A$5:$A$204=$A179)*('4. Chronology'!$B$5:$B$204&lt;$B179)*'4. Chronology'!$B$5:$B$204)))</f>
        <v/>
      </c>
    </row>
    <row r="180">
      <c r="A180" s="14" t="n"/>
      <c r="B180" s="14" t="n"/>
      <c r="C180" s="14" t="n"/>
      <c r="D180" s="14" t="n"/>
      <c r="E180" s="14" t="n"/>
      <c r="F180" s="18">
        <f>IF(OR($A180="",NOT(ISNUMBER($B180))),"",SUMIFS('3. Peat Data'!$P$5:$P$604,'3. Peat Data'!$B$5:$B$604,$A180,'3. Peat Data'!$F$5:$F$604,"&lt;="&amp;$B180)+SUMPRODUCT(('3. Peat Data'!$B$5:$B$604=$A180)*('3. Peat Data'!$E$5:$E$604&lt;$B180)*('3. Peat Data'!$F$5:$F$604&gt;$B180)*'3. Peat Data'!$R$5:$R$604*($B180-'3. Peat Data'!$E$5:$E$604)))</f>
        <v/>
      </c>
      <c r="G180" s="18">
        <f>IF(OR($A180="",NOT(ISNUMBER($B180)),NOT(ISNUMBER($C180))),"",IFERROR(($B180-$K180)/($C180-IF($K180=0,0,SUMIFS('4. Chronology'!$C$5:$C$204,'4. Chronology'!$A$5:$A$204,$A180,'4. Chronology'!$B$5:$B$204,$K180))),""))</f>
        <v/>
      </c>
      <c r="H180" s="18">
        <f>IF(OR($A180="",NOT(ISNUMBER($F180)),NOT(ISNUMBER($C180))),"",IFERROR((($F180-IF($K180=0,0,SUMIFS('4. Chronology'!$F$5:$F$204,'4. Chronology'!$A$5:$A$204,$A180,'4. Chronology'!$B$5:$B$204,$K180)))*1000)/($C180-IF($K180=0,0,SUMIFS('4. Chronology'!$C$5:$C$204,'4. Chronology'!$A$5:$A$204,$A180,'4. Chronology'!$B$5:$B$204,$K180))),""))</f>
        <v/>
      </c>
      <c r="I180" s="18">
        <f>IF($A180="","",IF(COUNTIF('2. Core Log'!$A$5:$A$124,$A180)=0,"Core ID not in Core Log. ","")&amp;IF($E180="","No date source given — RERCA and LORCA need to know which method produced this age. ","")&amp;IF(AND(ISNUMBER($C180),$C180&lt;0),"Negative age: this horizon post-dates the coring year. Check the conversion. ","")&amp;IF(AND(ISNUMBER($G180),$G180&lt;0),"Age reversal — this horizon is younger than one above it. A mixed or disturbed profile may not be datable at all. ","")&amp;IF(AND(ISNUMBER($D180),ISNUMBER($C180),$C180&gt;0,$D180/$C180&gt;0.5),"Age uncertainty exceeds 50% of the age. Usable as an indication only. ","")&amp;IF(AND($D180="",$C180&lt;&gt;""),"No uncertainty given. Every radiometric age has one; a rate without it cannot be defended. ",""))</f>
        <v/>
      </c>
      <c r="J180" s="18">
        <f>IF($E180="",0,IF(OR(LEFT($E180,6)="Pb-210",LEFT($E180,6)="Cs-137"),1,0))</f>
        <v/>
      </c>
      <c r="K180" s="18">
        <f>IF(OR($A180="",NOT(ISNUMBER($B180))),"",SUMPRODUCT(MAX(('4. Chronology'!$A$5:$A$204=$A180)*('4. Chronology'!$B$5:$B$204&lt;$B180)*'4. Chronology'!$B$5:$B$204)))</f>
        <v/>
      </c>
    </row>
    <row r="181">
      <c r="A181" s="14" t="n"/>
      <c r="B181" s="14" t="n"/>
      <c r="C181" s="14" t="n"/>
      <c r="D181" s="14" t="n"/>
      <c r="E181" s="14" t="n"/>
      <c r="F181" s="18">
        <f>IF(OR($A181="",NOT(ISNUMBER($B181))),"",SUMIFS('3. Peat Data'!$P$5:$P$604,'3. Peat Data'!$B$5:$B$604,$A181,'3. Peat Data'!$F$5:$F$604,"&lt;="&amp;$B181)+SUMPRODUCT(('3. Peat Data'!$B$5:$B$604=$A181)*('3. Peat Data'!$E$5:$E$604&lt;$B181)*('3. Peat Data'!$F$5:$F$604&gt;$B181)*'3. Peat Data'!$R$5:$R$604*($B181-'3. Peat Data'!$E$5:$E$604)))</f>
        <v/>
      </c>
      <c r="G181" s="18">
        <f>IF(OR($A181="",NOT(ISNUMBER($B181)),NOT(ISNUMBER($C181))),"",IFERROR(($B181-$K181)/($C181-IF($K181=0,0,SUMIFS('4. Chronology'!$C$5:$C$204,'4. Chronology'!$A$5:$A$204,$A181,'4. Chronology'!$B$5:$B$204,$K181))),""))</f>
        <v/>
      </c>
      <c r="H181" s="18">
        <f>IF(OR($A181="",NOT(ISNUMBER($F181)),NOT(ISNUMBER($C181))),"",IFERROR((($F181-IF($K181=0,0,SUMIFS('4. Chronology'!$F$5:$F$204,'4. Chronology'!$A$5:$A$204,$A181,'4. Chronology'!$B$5:$B$204,$K181)))*1000)/($C181-IF($K181=0,0,SUMIFS('4. Chronology'!$C$5:$C$204,'4. Chronology'!$A$5:$A$204,$A181,'4. Chronology'!$B$5:$B$204,$K181))),""))</f>
        <v/>
      </c>
      <c r="I181" s="18">
        <f>IF($A181="","",IF(COUNTIF('2. Core Log'!$A$5:$A$124,$A181)=0,"Core ID not in Core Log. ","")&amp;IF($E181="","No date source given — RERCA and LORCA need to know which method produced this age. ","")&amp;IF(AND(ISNUMBER($C181),$C181&lt;0),"Negative age: this horizon post-dates the coring year. Check the conversion. ","")&amp;IF(AND(ISNUMBER($G181),$G181&lt;0),"Age reversal — this horizon is younger than one above it. A mixed or disturbed profile may not be datable at all. ","")&amp;IF(AND(ISNUMBER($D181),ISNUMBER($C181),$C181&gt;0,$D181/$C181&gt;0.5),"Age uncertainty exceeds 50% of the age. Usable as an indication only. ","")&amp;IF(AND($D181="",$C181&lt;&gt;""),"No uncertainty given. Every radiometric age has one; a rate without it cannot be defended. ",""))</f>
        <v/>
      </c>
      <c r="J181" s="18">
        <f>IF($E181="",0,IF(OR(LEFT($E181,6)="Pb-210",LEFT($E181,6)="Cs-137"),1,0))</f>
        <v/>
      </c>
      <c r="K181" s="18">
        <f>IF(OR($A181="",NOT(ISNUMBER($B181))),"",SUMPRODUCT(MAX(('4. Chronology'!$A$5:$A$204=$A181)*('4. Chronology'!$B$5:$B$204&lt;$B181)*'4. Chronology'!$B$5:$B$204)))</f>
        <v/>
      </c>
    </row>
    <row r="182">
      <c r="A182" s="14" t="n"/>
      <c r="B182" s="14" t="n"/>
      <c r="C182" s="14" t="n"/>
      <c r="D182" s="14" t="n"/>
      <c r="E182" s="14" t="n"/>
      <c r="F182" s="18">
        <f>IF(OR($A182="",NOT(ISNUMBER($B182))),"",SUMIFS('3. Peat Data'!$P$5:$P$604,'3. Peat Data'!$B$5:$B$604,$A182,'3. Peat Data'!$F$5:$F$604,"&lt;="&amp;$B182)+SUMPRODUCT(('3. Peat Data'!$B$5:$B$604=$A182)*('3. Peat Data'!$E$5:$E$604&lt;$B182)*('3. Peat Data'!$F$5:$F$604&gt;$B182)*'3. Peat Data'!$R$5:$R$604*($B182-'3. Peat Data'!$E$5:$E$604)))</f>
        <v/>
      </c>
      <c r="G182" s="18">
        <f>IF(OR($A182="",NOT(ISNUMBER($B182)),NOT(ISNUMBER($C182))),"",IFERROR(($B182-$K182)/($C182-IF($K182=0,0,SUMIFS('4. Chronology'!$C$5:$C$204,'4. Chronology'!$A$5:$A$204,$A182,'4. Chronology'!$B$5:$B$204,$K182))),""))</f>
        <v/>
      </c>
      <c r="H182" s="18">
        <f>IF(OR($A182="",NOT(ISNUMBER($F182)),NOT(ISNUMBER($C182))),"",IFERROR((($F182-IF($K182=0,0,SUMIFS('4. Chronology'!$F$5:$F$204,'4. Chronology'!$A$5:$A$204,$A182,'4. Chronology'!$B$5:$B$204,$K182)))*1000)/($C182-IF($K182=0,0,SUMIFS('4. Chronology'!$C$5:$C$204,'4. Chronology'!$A$5:$A$204,$A182,'4. Chronology'!$B$5:$B$204,$K182))),""))</f>
        <v/>
      </c>
      <c r="I182" s="18">
        <f>IF($A182="","",IF(COUNTIF('2. Core Log'!$A$5:$A$124,$A182)=0,"Core ID not in Core Log. ","")&amp;IF($E182="","No date source given — RERCA and LORCA need to know which method produced this age. ","")&amp;IF(AND(ISNUMBER($C182),$C182&lt;0),"Negative age: this horizon post-dates the coring year. Check the conversion. ","")&amp;IF(AND(ISNUMBER($G182),$G182&lt;0),"Age reversal — this horizon is younger than one above it. A mixed or disturbed profile may not be datable at all. ","")&amp;IF(AND(ISNUMBER($D182),ISNUMBER($C182),$C182&gt;0,$D182/$C182&gt;0.5),"Age uncertainty exceeds 50% of the age. Usable as an indication only. ","")&amp;IF(AND($D182="",$C182&lt;&gt;""),"No uncertainty given. Every radiometric age has one; a rate without it cannot be defended. ",""))</f>
        <v/>
      </c>
      <c r="J182" s="18">
        <f>IF($E182="",0,IF(OR(LEFT($E182,6)="Pb-210",LEFT($E182,6)="Cs-137"),1,0))</f>
        <v/>
      </c>
      <c r="K182" s="18">
        <f>IF(OR($A182="",NOT(ISNUMBER($B182))),"",SUMPRODUCT(MAX(('4. Chronology'!$A$5:$A$204=$A182)*('4. Chronology'!$B$5:$B$204&lt;$B182)*'4. Chronology'!$B$5:$B$204)))</f>
        <v/>
      </c>
    </row>
    <row r="183">
      <c r="A183" s="14" t="n"/>
      <c r="B183" s="14" t="n"/>
      <c r="C183" s="14" t="n"/>
      <c r="D183" s="14" t="n"/>
      <c r="E183" s="14" t="n"/>
      <c r="F183" s="18">
        <f>IF(OR($A183="",NOT(ISNUMBER($B183))),"",SUMIFS('3. Peat Data'!$P$5:$P$604,'3. Peat Data'!$B$5:$B$604,$A183,'3. Peat Data'!$F$5:$F$604,"&lt;="&amp;$B183)+SUMPRODUCT(('3. Peat Data'!$B$5:$B$604=$A183)*('3. Peat Data'!$E$5:$E$604&lt;$B183)*('3. Peat Data'!$F$5:$F$604&gt;$B183)*'3. Peat Data'!$R$5:$R$604*($B183-'3. Peat Data'!$E$5:$E$604)))</f>
        <v/>
      </c>
      <c r="G183" s="18">
        <f>IF(OR($A183="",NOT(ISNUMBER($B183)),NOT(ISNUMBER($C183))),"",IFERROR(($B183-$K183)/($C183-IF($K183=0,0,SUMIFS('4. Chronology'!$C$5:$C$204,'4. Chronology'!$A$5:$A$204,$A183,'4. Chronology'!$B$5:$B$204,$K183))),""))</f>
        <v/>
      </c>
      <c r="H183" s="18">
        <f>IF(OR($A183="",NOT(ISNUMBER($F183)),NOT(ISNUMBER($C183))),"",IFERROR((($F183-IF($K183=0,0,SUMIFS('4. Chronology'!$F$5:$F$204,'4. Chronology'!$A$5:$A$204,$A183,'4. Chronology'!$B$5:$B$204,$K183)))*1000)/($C183-IF($K183=0,0,SUMIFS('4. Chronology'!$C$5:$C$204,'4. Chronology'!$A$5:$A$204,$A183,'4. Chronology'!$B$5:$B$204,$K183))),""))</f>
        <v/>
      </c>
      <c r="I183" s="18">
        <f>IF($A183="","",IF(COUNTIF('2. Core Log'!$A$5:$A$124,$A183)=0,"Core ID not in Core Log. ","")&amp;IF($E183="","No date source given — RERCA and LORCA need to know which method produced this age. ","")&amp;IF(AND(ISNUMBER($C183),$C183&lt;0),"Negative age: this horizon post-dates the coring year. Check the conversion. ","")&amp;IF(AND(ISNUMBER($G183),$G183&lt;0),"Age reversal — this horizon is younger than one above it. A mixed or disturbed profile may not be datable at all. ","")&amp;IF(AND(ISNUMBER($D183),ISNUMBER($C183),$C183&gt;0,$D183/$C183&gt;0.5),"Age uncertainty exceeds 50% of the age. Usable as an indication only. ","")&amp;IF(AND($D183="",$C183&lt;&gt;""),"No uncertainty given. Every radiometric age has one; a rate without it cannot be defended. ",""))</f>
        <v/>
      </c>
      <c r="J183" s="18">
        <f>IF($E183="",0,IF(OR(LEFT($E183,6)="Pb-210",LEFT($E183,6)="Cs-137"),1,0))</f>
        <v/>
      </c>
      <c r="K183" s="18">
        <f>IF(OR($A183="",NOT(ISNUMBER($B183))),"",SUMPRODUCT(MAX(('4. Chronology'!$A$5:$A$204=$A183)*('4. Chronology'!$B$5:$B$204&lt;$B183)*'4. Chronology'!$B$5:$B$204)))</f>
        <v/>
      </c>
    </row>
    <row r="184">
      <c r="A184" s="14" t="n"/>
      <c r="B184" s="14" t="n"/>
      <c r="C184" s="14" t="n"/>
      <c r="D184" s="14" t="n"/>
      <c r="E184" s="14" t="n"/>
      <c r="F184" s="18">
        <f>IF(OR($A184="",NOT(ISNUMBER($B184))),"",SUMIFS('3. Peat Data'!$P$5:$P$604,'3. Peat Data'!$B$5:$B$604,$A184,'3. Peat Data'!$F$5:$F$604,"&lt;="&amp;$B184)+SUMPRODUCT(('3. Peat Data'!$B$5:$B$604=$A184)*('3. Peat Data'!$E$5:$E$604&lt;$B184)*('3. Peat Data'!$F$5:$F$604&gt;$B184)*'3. Peat Data'!$R$5:$R$604*($B184-'3. Peat Data'!$E$5:$E$604)))</f>
        <v/>
      </c>
      <c r="G184" s="18">
        <f>IF(OR($A184="",NOT(ISNUMBER($B184)),NOT(ISNUMBER($C184))),"",IFERROR(($B184-$K184)/($C184-IF($K184=0,0,SUMIFS('4. Chronology'!$C$5:$C$204,'4. Chronology'!$A$5:$A$204,$A184,'4. Chronology'!$B$5:$B$204,$K184))),""))</f>
        <v/>
      </c>
      <c r="H184" s="18">
        <f>IF(OR($A184="",NOT(ISNUMBER($F184)),NOT(ISNUMBER($C184))),"",IFERROR((($F184-IF($K184=0,0,SUMIFS('4. Chronology'!$F$5:$F$204,'4. Chronology'!$A$5:$A$204,$A184,'4. Chronology'!$B$5:$B$204,$K184)))*1000)/($C184-IF($K184=0,0,SUMIFS('4. Chronology'!$C$5:$C$204,'4. Chronology'!$A$5:$A$204,$A184,'4. Chronology'!$B$5:$B$204,$K184))),""))</f>
        <v/>
      </c>
      <c r="I184" s="18">
        <f>IF($A184="","",IF(COUNTIF('2. Core Log'!$A$5:$A$124,$A184)=0,"Core ID not in Core Log. ","")&amp;IF($E184="","No date source given — RERCA and LORCA need to know which method produced this age. ","")&amp;IF(AND(ISNUMBER($C184),$C184&lt;0),"Negative age: this horizon post-dates the coring year. Check the conversion. ","")&amp;IF(AND(ISNUMBER($G184),$G184&lt;0),"Age reversal — this horizon is younger than one above it. A mixed or disturbed profile may not be datable at all. ","")&amp;IF(AND(ISNUMBER($D184),ISNUMBER($C184),$C184&gt;0,$D184/$C184&gt;0.5),"Age uncertainty exceeds 50% of the age. Usable as an indication only. ","")&amp;IF(AND($D184="",$C184&lt;&gt;""),"No uncertainty given. Every radiometric age has one; a rate without it cannot be defended. ",""))</f>
        <v/>
      </c>
      <c r="J184" s="18">
        <f>IF($E184="",0,IF(OR(LEFT($E184,6)="Pb-210",LEFT($E184,6)="Cs-137"),1,0))</f>
        <v/>
      </c>
      <c r="K184" s="18">
        <f>IF(OR($A184="",NOT(ISNUMBER($B184))),"",SUMPRODUCT(MAX(('4. Chronology'!$A$5:$A$204=$A184)*('4. Chronology'!$B$5:$B$204&lt;$B184)*'4. Chronology'!$B$5:$B$204)))</f>
        <v/>
      </c>
    </row>
    <row r="185">
      <c r="A185" s="14" t="n"/>
      <c r="B185" s="14" t="n"/>
      <c r="C185" s="14" t="n"/>
      <c r="D185" s="14" t="n"/>
      <c r="E185" s="14" t="n"/>
      <c r="F185" s="18">
        <f>IF(OR($A185="",NOT(ISNUMBER($B185))),"",SUMIFS('3. Peat Data'!$P$5:$P$604,'3. Peat Data'!$B$5:$B$604,$A185,'3. Peat Data'!$F$5:$F$604,"&lt;="&amp;$B185)+SUMPRODUCT(('3. Peat Data'!$B$5:$B$604=$A185)*('3. Peat Data'!$E$5:$E$604&lt;$B185)*('3. Peat Data'!$F$5:$F$604&gt;$B185)*'3. Peat Data'!$R$5:$R$604*($B185-'3. Peat Data'!$E$5:$E$604)))</f>
        <v/>
      </c>
      <c r="G185" s="18">
        <f>IF(OR($A185="",NOT(ISNUMBER($B185)),NOT(ISNUMBER($C185))),"",IFERROR(($B185-$K185)/($C185-IF($K185=0,0,SUMIFS('4. Chronology'!$C$5:$C$204,'4. Chronology'!$A$5:$A$204,$A185,'4. Chronology'!$B$5:$B$204,$K185))),""))</f>
        <v/>
      </c>
      <c r="H185" s="18">
        <f>IF(OR($A185="",NOT(ISNUMBER($F185)),NOT(ISNUMBER($C185))),"",IFERROR((($F185-IF($K185=0,0,SUMIFS('4. Chronology'!$F$5:$F$204,'4. Chronology'!$A$5:$A$204,$A185,'4. Chronology'!$B$5:$B$204,$K185)))*1000)/($C185-IF($K185=0,0,SUMIFS('4. Chronology'!$C$5:$C$204,'4. Chronology'!$A$5:$A$204,$A185,'4. Chronology'!$B$5:$B$204,$K185))),""))</f>
        <v/>
      </c>
      <c r="I185" s="18">
        <f>IF($A185="","",IF(COUNTIF('2. Core Log'!$A$5:$A$124,$A185)=0,"Core ID not in Core Log. ","")&amp;IF($E185="","No date source given — RERCA and LORCA need to know which method produced this age. ","")&amp;IF(AND(ISNUMBER($C185),$C185&lt;0),"Negative age: this horizon post-dates the coring year. Check the conversion. ","")&amp;IF(AND(ISNUMBER($G185),$G185&lt;0),"Age reversal — this horizon is younger than one above it. A mixed or disturbed profile may not be datable at all. ","")&amp;IF(AND(ISNUMBER($D185),ISNUMBER($C185),$C185&gt;0,$D185/$C185&gt;0.5),"Age uncertainty exceeds 50% of the age. Usable as an indication only. ","")&amp;IF(AND($D185="",$C185&lt;&gt;""),"No uncertainty given. Every radiometric age has one; a rate without it cannot be defended. ",""))</f>
        <v/>
      </c>
      <c r="J185" s="18">
        <f>IF($E185="",0,IF(OR(LEFT($E185,6)="Pb-210",LEFT($E185,6)="Cs-137"),1,0))</f>
        <v/>
      </c>
      <c r="K185" s="18">
        <f>IF(OR($A185="",NOT(ISNUMBER($B185))),"",SUMPRODUCT(MAX(('4. Chronology'!$A$5:$A$204=$A185)*('4. Chronology'!$B$5:$B$204&lt;$B185)*'4. Chronology'!$B$5:$B$204)))</f>
        <v/>
      </c>
    </row>
    <row r="186">
      <c r="A186" s="14" t="n"/>
      <c r="B186" s="14" t="n"/>
      <c r="C186" s="14" t="n"/>
      <c r="D186" s="14" t="n"/>
      <c r="E186" s="14" t="n"/>
      <c r="F186" s="18">
        <f>IF(OR($A186="",NOT(ISNUMBER($B186))),"",SUMIFS('3. Peat Data'!$P$5:$P$604,'3. Peat Data'!$B$5:$B$604,$A186,'3. Peat Data'!$F$5:$F$604,"&lt;="&amp;$B186)+SUMPRODUCT(('3. Peat Data'!$B$5:$B$604=$A186)*('3. Peat Data'!$E$5:$E$604&lt;$B186)*('3. Peat Data'!$F$5:$F$604&gt;$B186)*'3. Peat Data'!$R$5:$R$604*($B186-'3. Peat Data'!$E$5:$E$604)))</f>
        <v/>
      </c>
      <c r="G186" s="18">
        <f>IF(OR($A186="",NOT(ISNUMBER($B186)),NOT(ISNUMBER($C186))),"",IFERROR(($B186-$K186)/($C186-IF($K186=0,0,SUMIFS('4. Chronology'!$C$5:$C$204,'4. Chronology'!$A$5:$A$204,$A186,'4. Chronology'!$B$5:$B$204,$K186))),""))</f>
        <v/>
      </c>
      <c r="H186" s="18">
        <f>IF(OR($A186="",NOT(ISNUMBER($F186)),NOT(ISNUMBER($C186))),"",IFERROR((($F186-IF($K186=0,0,SUMIFS('4. Chronology'!$F$5:$F$204,'4. Chronology'!$A$5:$A$204,$A186,'4. Chronology'!$B$5:$B$204,$K186)))*1000)/($C186-IF($K186=0,0,SUMIFS('4. Chronology'!$C$5:$C$204,'4. Chronology'!$A$5:$A$204,$A186,'4. Chronology'!$B$5:$B$204,$K186))),""))</f>
        <v/>
      </c>
      <c r="I186" s="18">
        <f>IF($A186="","",IF(COUNTIF('2. Core Log'!$A$5:$A$124,$A186)=0,"Core ID not in Core Log. ","")&amp;IF($E186="","No date source given — RERCA and LORCA need to know which method produced this age. ","")&amp;IF(AND(ISNUMBER($C186),$C186&lt;0),"Negative age: this horizon post-dates the coring year. Check the conversion. ","")&amp;IF(AND(ISNUMBER($G186),$G186&lt;0),"Age reversal — this horizon is younger than one above it. A mixed or disturbed profile may not be datable at all. ","")&amp;IF(AND(ISNUMBER($D186),ISNUMBER($C186),$C186&gt;0,$D186/$C186&gt;0.5),"Age uncertainty exceeds 50% of the age. Usable as an indication only. ","")&amp;IF(AND($D186="",$C186&lt;&gt;""),"No uncertainty given. Every radiometric age has one; a rate without it cannot be defended. ",""))</f>
        <v/>
      </c>
      <c r="J186" s="18">
        <f>IF($E186="",0,IF(OR(LEFT($E186,6)="Pb-210",LEFT($E186,6)="Cs-137"),1,0))</f>
        <v/>
      </c>
      <c r="K186" s="18">
        <f>IF(OR($A186="",NOT(ISNUMBER($B186))),"",SUMPRODUCT(MAX(('4. Chronology'!$A$5:$A$204=$A186)*('4. Chronology'!$B$5:$B$204&lt;$B186)*'4. Chronology'!$B$5:$B$204)))</f>
        <v/>
      </c>
    </row>
    <row r="187">
      <c r="A187" s="14" t="n"/>
      <c r="B187" s="14" t="n"/>
      <c r="C187" s="14" t="n"/>
      <c r="D187" s="14" t="n"/>
      <c r="E187" s="14" t="n"/>
      <c r="F187" s="18">
        <f>IF(OR($A187="",NOT(ISNUMBER($B187))),"",SUMIFS('3. Peat Data'!$P$5:$P$604,'3. Peat Data'!$B$5:$B$604,$A187,'3. Peat Data'!$F$5:$F$604,"&lt;="&amp;$B187)+SUMPRODUCT(('3. Peat Data'!$B$5:$B$604=$A187)*('3. Peat Data'!$E$5:$E$604&lt;$B187)*('3. Peat Data'!$F$5:$F$604&gt;$B187)*'3. Peat Data'!$R$5:$R$604*($B187-'3. Peat Data'!$E$5:$E$604)))</f>
        <v/>
      </c>
      <c r="G187" s="18">
        <f>IF(OR($A187="",NOT(ISNUMBER($B187)),NOT(ISNUMBER($C187))),"",IFERROR(($B187-$K187)/($C187-IF($K187=0,0,SUMIFS('4. Chronology'!$C$5:$C$204,'4. Chronology'!$A$5:$A$204,$A187,'4. Chronology'!$B$5:$B$204,$K187))),""))</f>
        <v/>
      </c>
      <c r="H187" s="18">
        <f>IF(OR($A187="",NOT(ISNUMBER($F187)),NOT(ISNUMBER($C187))),"",IFERROR((($F187-IF($K187=0,0,SUMIFS('4. Chronology'!$F$5:$F$204,'4. Chronology'!$A$5:$A$204,$A187,'4. Chronology'!$B$5:$B$204,$K187)))*1000)/($C187-IF($K187=0,0,SUMIFS('4. Chronology'!$C$5:$C$204,'4. Chronology'!$A$5:$A$204,$A187,'4. Chronology'!$B$5:$B$204,$K187))),""))</f>
        <v/>
      </c>
      <c r="I187" s="18">
        <f>IF($A187="","",IF(COUNTIF('2. Core Log'!$A$5:$A$124,$A187)=0,"Core ID not in Core Log. ","")&amp;IF($E187="","No date source given — RERCA and LORCA need to know which method produced this age. ","")&amp;IF(AND(ISNUMBER($C187),$C187&lt;0),"Negative age: this horizon post-dates the coring year. Check the conversion. ","")&amp;IF(AND(ISNUMBER($G187),$G187&lt;0),"Age reversal — this horizon is younger than one above it. A mixed or disturbed profile may not be datable at all. ","")&amp;IF(AND(ISNUMBER($D187),ISNUMBER($C187),$C187&gt;0,$D187/$C187&gt;0.5),"Age uncertainty exceeds 50% of the age. Usable as an indication only. ","")&amp;IF(AND($D187="",$C187&lt;&gt;""),"No uncertainty given. Every radiometric age has one; a rate without it cannot be defended. ",""))</f>
        <v/>
      </c>
      <c r="J187" s="18">
        <f>IF($E187="",0,IF(OR(LEFT($E187,6)="Pb-210",LEFT($E187,6)="Cs-137"),1,0))</f>
        <v/>
      </c>
      <c r="K187" s="18">
        <f>IF(OR($A187="",NOT(ISNUMBER($B187))),"",SUMPRODUCT(MAX(('4. Chronology'!$A$5:$A$204=$A187)*('4. Chronology'!$B$5:$B$204&lt;$B187)*'4. Chronology'!$B$5:$B$204)))</f>
        <v/>
      </c>
    </row>
    <row r="188">
      <c r="A188" s="14" t="n"/>
      <c r="B188" s="14" t="n"/>
      <c r="C188" s="14" t="n"/>
      <c r="D188" s="14" t="n"/>
      <c r="E188" s="14" t="n"/>
      <c r="F188" s="18">
        <f>IF(OR($A188="",NOT(ISNUMBER($B188))),"",SUMIFS('3. Peat Data'!$P$5:$P$604,'3. Peat Data'!$B$5:$B$604,$A188,'3. Peat Data'!$F$5:$F$604,"&lt;="&amp;$B188)+SUMPRODUCT(('3. Peat Data'!$B$5:$B$604=$A188)*('3. Peat Data'!$E$5:$E$604&lt;$B188)*('3. Peat Data'!$F$5:$F$604&gt;$B188)*'3. Peat Data'!$R$5:$R$604*($B188-'3. Peat Data'!$E$5:$E$604)))</f>
        <v/>
      </c>
      <c r="G188" s="18">
        <f>IF(OR($A188="",NOT(ISNUMBER($B188)),NOT(ISNUMBER($C188))),"",IFERROR(($B188-$K188)/($C188-IF($K188=0,0,SUMIFS('4. Chronology'!$C$5:$C$204,'4. Chronology'!$A$5:$A$204,$A188,'4. Chronology'!$B$5:$B$204,$K188))),""))</f>
        <v/>
      </c>
      <c r="H188" s="18">
        <f>IF(OR($A188="",NOT(ISNUMBER($F188)),NOT(ISNUMBER($C188))),"",IFERROR((($F188-IF($K188=0,0,SUMIFS('4. Chronology'!$F$5:$F$204,'4. Chronology'!$A$5:$A$204,$A188,'4. Chronology'!$B$5:$B$204,$K188)))*1000)/($C188-IF($K188=0,0,SUMIFS('4. Chronology'!$C$5:$C$204,'4. Chronology'!$A$5:$A$204,$A188,'4. Chronology'!$B$5:$B$204,$K188))),""))</f>
        <v/>
      </c>
      <c r="I188" s="18">
        <f>IF($A188="","",IF(COUNTIF('2. Core Log'!$A$5:$A$124,$A188)=0,"Core ID not in Core Log. ","")&amp;IF($E188="","No date source given — RERCA and LORCA need to know which method produced this age. ","")&amp;IF(AND(ISNUMBER($C188),$C188&lt;0),"Negative age: this horizon post-dates the coring year. Check the conversion. ","")&amp;IF(AND(ISNUMBER($G188),$G188&lt;0),"Age reversal — this horizon is younger than one above it. A mixed or disturbed profile may not be datable at all. ","")&amp;IF(AND(ISNUMBER($D188),ISNUMBER($C188),$C188&gt;0,$D188/$C188&gt;0.5),"Age uncertainty exceeds 50% of the age. Usable as an indication only. ","")&amp;IF(AND($D188="",$C188&lt;&gt;""),"No uncertainty given. Every radiometric age has one; a rate without it cannot be defended. ",""))</f>
        <v/>
      </c>
      <c r="J188" s="18">
        <f>IF($E188="",0,IF(OR(LEFT($E188,6)="Pb-210",LEFT($E188,6)="Cs-137"),1,0))</f>
        <v/>
      </c>
      <c r="K188" s="18">
        <f>IF(OR($A188="",NOT(ISNUMBER($B188))),"",SUMPRODUCT(MAX(('4. Chronology'!$A$5:$A$204=$A188)*('4. Chronology'!$B$5:$B$204&lt;$B188)*'4. Chronology'!$B$5:$B$204)))</f>
        <v/>
      </c>
    </row>
    <row r="189">
      <c r="A189" s="14" t="n"/>
      <c r="B189" s="14" t="n"/>
      <c r="C189" s="14" t="n"/>
      <c r="D189" s="14" t="n"/>
      <c r="E189" s="14" t="n"/>
      <c r="F189" s="18">
        <f>IF(OR($A189="",NOT(ISNUMBER($B189))),"",SUMIFS('3. Peat Data'!$P$5:$P$604,'3. Peat Data'!$B$5:$B$604,$A189,'3. Peat Data'!$F$5:$F$604,"&lt;="&amp;$B189)+SUMPRODUCT(('3. Peat Data'!$B$5:$B$604=$A189)*('3. Peat Data'!$E$5:$E$604&lt;$B189)*('3. Peat Data'!$F$5:$F$604&gt;$B189)*'3. Peat Data'!$R$5:$R$604*($B189-'3. Peat Data'!$E$5:$E$604)))</f>
        <v/>
      </c>
      <c r="G189" s="18">
        <f>IF(OR($A189="",NOT(ISNUMBER($B189)),NOT(ISNUMBER($C189))),"",IFERROR(($B189-$K189)/($C189-IF($K189=0,0,SUMIFS('4. Chronology'!$C$5:$C$204,'4. Chronology'!$A$5:$A$204,$A189,'4. Chronology'!$B$5:$B$204,$K189))),""))</f>
        <v/>
      </c>
      <c r="H189" s="18">
        <f>IF(OR($A189="",NOT(ISNUMBER($F189)),NOT(ISNUMBER($C189))),"",IFERROR((($F189-IF($K189=0,0,SUMIFS('4. Chronology'!$F$5:$F$204,'4. Chronology'!$A$5:$A$204,$A189,'4. Chronology'!$B$5:$B$204,$K189)))*1000)/($C189-IF($K189=0,0,SUMIFS('4. Chronology'!$C$5:$C$204,'4. Chronology'!$A$5:$A$204,$A189,'4. Chronology'!$B$5:$B$204,$K189))),""))</f>
        <v/>
      </c>
      <c r="I189" s="18">
        <f>IF($A189="","",IF(COUNTIF('2. Core Log'!$A$5:$A$124,$A189)=0,"Core ID not in Core Log. ","")&amp;IF($E189="","No date source given — RERCA and LORCA need to know which method produced this age. ","")&amp;IF(AND(ISNUMBER($C189),$C189&lt;0),"Negative age: this horizon post-dates the coring year. Check the conversion. ","")&amp;IF(AND(ISNUMBER($G189),$G189&lt;0),"Age reversal — this horizon is younger than one above it. A mixed or disturbed profile may not be datable at all. ","")&amp;IF(AND(ISNUMBER($D189),ISNUMBER($C189),$C189&gt;0,$D189/$C189&gt;0.5),"Age uncertainty exceeds 50% of the age. Usable as an indication only. ","")&amp;IF(AND($D189="",$C189&lt;&gt;""),"No uncertainty given. Every radiometric age has one; a rate without it cannot be defended. ",""))</f>
        <v/>
      </c>
      <c r="J189" s="18">
        <f>IF($E189="",0,IF(OR(LEFT($E189,6)="Pb-210",LEFT($E189,6)="Cs-137"),1,0))</f>
        <v/>
      </c>
      <c r="K189" s="18">
        <f>IF(OR($A189="",NOT(ISNUMBER($B189))),"",SUMPRODUCT(MAX(('4. Chronology'!$A$5:$A$204=$A189)*('4. Chronology'!$B$5:$B$204&lt;$B189)*'4. Chronology'!$B$5:$B$204)))</f>
        <v/>
      </c>
    </row>
    <row r="190">
      <c r="A190" s="14" t="n"/>
      <c r="B190" s="14" t="n"/>
      <c r="C190" s="14" t="n"/>
      <c r="D190" s="14" t="n"/>
      <c r="E190" s="14" t="n"/>
      <c r="F190" s="18">
        <f>IF(OR($A190="",NOT(ISNUMBER($B190))),"",SUMIFS('3. Peat Data'!$P$5:$P$604,'3. Peat Data'!$B$5:$B$604,$A190,'3. Peat Data'!$F$5:$F$604,"&lt;="&amp;$B190)+SUMPRODUCT(('3. Peat Data'!$B$5:$B$604=$A190)*('3. Peat Data'!$E$5:$E$604&lt;$B190)*('3. Peat Data'!$F$5:$F$604&gt;$B190)*'3. Peat Data'!$R$5:$R$604*($B190-'3. Peat Data'!$E$5:$E$604)))</f>
        <v/>
      </c>
      <c r="G190" s="18">
        <f>IF(OR($A190="",NOT(ISNUMBER($B190)),NOT(ISNUMBER($C190))),"",IFERROR(($B190-$K190)/($C190-IF($K190=0,0,SUMIFS('4. Chronology'!$C$5:$C$204,'4. Chronology'!$A$5:$A$204,$A190,'4. Chronology'!$B$5:$B$204,$K190))),""))</f>
        <v/>
      </c>
      <c r="H190" s="18">
        <f>IF(OR($A190="",NOT(ISNUMBER($F190)),NOT(ISNUMBER($C190))),"",IFERROR((($F190-IF($K190=0,0,SUMIFS('4. Chronology'!$F$5:$F$204,'4. Chronology'!$A$5:$A$204,$A190,'4. Chronology'!$B$5:$B$204,$K190)))*1000)/($C190-IF($K190=0,0,SUMIFS('4. Chronology'!$C$5:$C$204,'4. Chronology'!$A$5:$A$204,$A190,'4. Chronology'!$B$5:$B$204,$K190))),""))</f>
        <v/>
      </c>
      <c r="I190" s="18">
        <f>IF($A190="","",IF(COUNTIF('2. Core Log'!$A$5:$A$124,$A190)=0,"Core ID not in Core Log. ","")&amp;IF($E190="","No date source given — RERCA and LORCA need to know which method produced this age. ","")&amp;IF(AND(ISNUMBER($C190),$C190&lt;0),"Negative age: this horizon post-dates the coring year. Check the conversion. ","")&amp;IF(AND(ISNUMBER($G190),$G190&lt;0),"Age reversal — this horizon is younger than one above it. A mixed or disturbed profile may not be datable at all. ","")&amp;IF(AND(ISNUMBER($D190),ISNUMBER($C190),$C190&gt;0,$D190/$C190&gt;0.5),"Age uncertainty exceeds 50% of the age. Usable as an indication only. ","")&amp;IF(AND($D190="",$C190&lt;&gt;""),"No uncertainty given. Every radiometric age has one; a rate without it cannot be defended. ",""))</f>
        <v/>
      </c>
      <c r="J190" s="18">
        <f>IF($E190="",0,IF(OR(LEFT($E190,6)="Pb-210",LEFT($E190,6)="Cs-137"),1,0))</f>
        <v/>
      </c>
      <c r="K190" s="18">
        <f>IF(OR($A190="",NOT(ISNUMBER($B190))),"",SUMPRODUCT(MAX(('4. Chronology'!$A$5:$A$204=$A190)*('4. Chronology'!$B$5:$B$204&lt;$B190)*'4. Chronology'!$B$5:$B$204)))</f>
        <v/>
      </c>
    </row>
    <row r="191">
      <c r="A191" s="14" t="n"/>
      <c r="B191" s="14" t="n"/>
      <c r="C191" s="14" t="n"/>
      <c r="D191" s="14" t="n"/>
      <c r="E191" s="14" t="n"/>
      <c r="F191" s="18">
        <f>IF(OR($A191="",NOT(ISNUMBER($B191))),"",SUMIFS('3. Peat Data'!$P$5:$P$604,'3. Peat Data'!$B$5:$B$604,$A191,'3. Peat Data'!$F$5:$F$604,"&lt;="&amp;$B191)+SUMPRODUCT(('3. Peat Data'!$B$5:$B$604=$A191)*('3. Peat Data'!$E$5:$E$604&lt;$B191)*('3. Peat Data'!$F$5:$F$604&gt;$B191)*'3. Peat Data'!$R$5:$R$604*($B191-'3. Peat Data'!$E$5:$E$604)))</f>
        <v/>
      </c>
      <c r="G191" s="18">
        <f>IF(OR($A191="",NOT(ISNUMBER($B191)),NOT(ISNUMBER($C191))),"",IFERROR(($B191-$K191)/($C191-IF($K191=0,0,SUMIFS('4. Chronology'!$C$5:$C$204,'4. Chronology'!$A$5:$A$204,$A191,'4. Chronology'!$B$5:$B$204,$K191))),""))</f>
        <v/>
      </c>
      <c r="H191" s="18">
        <f>IF(OR($A191="",NOT(ISNUMBER($F191)),NOT(ISNUMBER($C191))),"",IFERROR((($F191-IF($K191=0,0,SUMIFS('4. Chronology'!$F$5:$F$204,'4. Chronology'!$A$5:$A$204,$A191,'4. Chronology'!$B$5:$B$204,$K191)))*1000)/($C191-IF($K191=0,0,SUMIFS('4. Chronology'!$C$5:$C$204,'4. Chronology'!$A$5:$A$204,$A191,'4. Chronology'!$B$5:$B$204,$K191))),""))</f>
        <v/>
      </c>
      <c r="I191" s="18">
        <f>IF($A191="","",IF(COUNTIF('2. Core Log'!$A$5:$A$124,$A191)=0,"Core ID not in Core Log. ","")&amp;IF($E191="","No date source given — RERCA and LORCA need to know which method produced this age. ","")&amp;IF(AND(ISNUMBER($C191),$C191&lt;0),"Negative age: this horizon post-dates the coring year. Check the conversion. ","")&amp;IF(AND(ISNUMBER($G191),$G191&lt;0),"Age reversal — this horizon is younger than one above it. A mixed or disturbed profile may not be datable at all. ","")&amp;IF(AND(ISNUMBER($D191),ISNUMBER($C191),$C191&gt;0,$D191/$C191&gt;0.5),"Age uncertainty exceeds 50% of the age. Usable as an indication only. ","")&amp;IF(AND($D191="",$C191&lt;&gt;""),"No uncertainty given. Every radiometric age has one; a rate without it cannot be defended. ",""))</f>
        <v/>
      </c>
      <c r="J191" s="18">
        <f>IF($E191="",0,IF(OR(LEFT($E191,6)="Pb-210",LEFT($E191,6)="Cs-137"),1,0))</f>
        <v/>
      </c>
      <c r="K191" s="18">
        <f>IF(OR($A191="",NOT(ISNUMBER($B191))),"",SUMPRODUCT(MAX(('4. Chronology'!$A$5:$A$204=$A191)*('4. Chronology'!$B$5:$B$204&lt;$B191)*'4. Chronology'!$B$5:$B$204)))</f>
        <v/>
      </c>
    </row>
    <row r="192">
      <c r="A192" s="14" t="n"/>
      <c r="B192" s="14" t="n"/>
      <c r="C192" s="14" t="n"/>
      <c r="D192" s="14" t="n"/>
      <c r="E192" s="14" t="n"/>
      <c r="F192" s="18">
        <f>IF(OR($A192="",NOT(ISNUMBER($B192))),"",SUMIFS('3. Peat Data'!$P$5:$P$604,'3. Peat Data'!$B$5:$B$604,$A192,'3. Peat Data'!$F$5:$F$604,"&lt;="&amp;$B192)+SUMPRODUCT(('3. Peat Data'!$B$5:$B$604=$A192)*('3. Peat Data'!$E$5:$E$604&lt;$B192)*('3. Peat Data'!$F$5:$F$604&gt;$B192)*'3. Peat Data'!$R$5:$R$604*($B192-'3. Peat Data'!$E$5:$E$604)))</f>
        <v/>
      </c>
      <c r="G192" s="18">
        <f>IF(OR($A192="",NOT(ISNUMBER($B192)),NOT(ISNUMBER($C192))),"",IFERROR(($B192-$K192)/($C192-IF($K192=0,0,SUMIFS('4. Chronology'!$C$5:$C$204,'4. Chronology'!$A$5:$A$204,$A192,'4. Chronology'!$B$5:$B$204,$K192))),""))</f>
        <v/>
      </c>
      <c r="H192" s="18">
        <f>IF(OR($A192="",NOT(ISNUMBER($F192)),NOT(ISNUMBER($C192))),"",IFERROR((($F192-IF($K192=0,0,SUMIFS('4. Chronology'!$F$5:$F$204,'4. Chronology'!$A$5:$A$204,$A192,'4. Chronology'!$B$5:$B$204,$K192)))*1000)/($C192-IF($K192=0,0,SUMIFS('4. Chronology'!$C$5:$C$204,'4. Chronology'!$A$5:$A$204,$A192,'4. Chronology'!$B$5:$B$204,$K192))),""))</f>
        <v/>
      </c>
      <c r="I192" s="18">
        <f>IF($A192="","",IF(COUNTIF('2. Core Log'!$A$5:$A$124,$A192)=0,"Core ID not in Core Log. ","")&amp;IF($E192="","No date source given — RERCA and LORCA need to know which method produced this age. ","")&amp;IF(AND(ISNUMBER($C192),$C192&lt;0),"Negative age: this horizon post-dates the coring year. Check the conversion. ","")&amp;IF(AND(ISNUMBER($G192),$G192&lt;0),"Age reversal — this horizon is younger than one above it. A mixed or disturbed profile may not be datable at all. ","")&amp;IF(AND(ISNUMBER($D192),ISNUMBER($C192),$C192&gt;0,$D192/$C192&gt;0.5),"Age uncertainty exceeds 50% of the age. Usable as an indication only. ","")&amp;IF(AND($D192="",$C192&lt;&gt;""),"No uncertainty given. Every radiometric age has one; a rate without it cannot be defended. ",""))</f>
        <v/>
      </c>
      <c r="J192" s="18">
        <f>IF($E192="",0,IF(OR(LEFT($E192,6)="Pb-210",LEFT($E192,6)="Cs-137"),1,0))</f>
        <v/>
      </c>
      <c r="K192" s="18">
        <f>IF(OR($A192="",NOT(ISNUMBER($B192))),"",SUMPRODUCT(MAX(('4. Chronology'!$A$5:$A$204=$A192)*('4. Chronology'!$B$5:$B$204&lt;$B192)*'4. Chronology'!$B$5:$B$204)))</f>
        <v/>
      </c>
    </row>
    <row r="193">
      <c r="A193" s="14" t="n"/>
      <c r="B193" s="14" t="n"/>
      <c r="C193" s="14" t="n"/>
      <c r="D193" s="14" t="n"/>
      <c r="E193" s="14" t="n"/>
      <c r="F193" s="18">
        <f>IF(OR($A193="",NOT(ISNUMBER($B193))),"",SUMIFS('3. Peat Data'!$P$5:$P$604,'3. Peat Data'!$B$5:$B$604,$A193,'3. Peat Data'!$F$5:$F$604,"&lt;="&amp;$B193)+SUMPRODUCT(('3. Peat Data'!$B$5:$B$604=$A193)*('3. Peat Data'!$E$5:$E$604&lt;$B193)*('3. Peat Data'!$F$5:$F$604&gt;$B193)*'3. Peat Data'!$R$5:$R$604*($B193-'3. Peat Data'!$E$5:$E$604)))</f>
        <v/>
      </c>
      <c r="G193" s="18">
        <f>IF(OR($A193="",NOT(ISNUMBER($B193)),NOT(ISNUMBER($C193))),"",IFERROR(($B193-$K193)/($C193-IF($K193=0,0,SUMIFS('4. Chronology'!$C$5:$C$204,'4. Chronology'!$A$5:$A$204,$A193,'4. Chronology'!$B$5:$B$204,$K193))),""))</f>
        <v/>
      </c>
      <c r="H193" s="18">
        <f>IF(OR($A193="",NOT(ISNUMBER($F193)),NOT(ISNUMBER($C193))),"",IFERROR((($F193-IF($K193=0,0,SUMIFS('4. Chronology'!$F$5:$F$204,'4. Chronology'!$A$5:$A$204,$A193,'4. Chronology'!$B$5:$B$204,$K193)))*1000)/($C193-IF($K193=0,0,SUMIFS('4. Chronology'!$C$5:$C$204,'4. Chronology'!$A$5:$A$204,$A193,'4. Chronology'!$B$5:$B$204,$K193))),""))</f>
        <v/>
      </c>
      <c r="I193" s="18">
        <f>IF($A193="","",IF(COUNTIF('2. Core Log'!$A$5:$A$124,$A193)=0,"Core ID not in Core Log. ","")&amp;IF($E193="","No date source given — RERCA and LORCA need to know which method produced this age. ","")&amp;IF(AND(ISNUMBER($C193),$C193&lt;0),"Negative age: this horizon post-dates the coring year. Check the conversion. ","")&amp;IF(AND(ISNUMBER($G193),$G193&lt;0),"Age reversal — this horizon is younger than one above it. A mixed or disturbed profile may not be datable at all. ","")&amp;IF(AND(ISNUMBER($D193),ISNUMBER($C193),$C193&gt;0,$D193/$C193&gt;0.5),"Age uncertainty exceeds 50% of the age. Usable as an indication only. ","")&amp;IF(AND($D193="",$C193&lt;&gt;""),"No uncertainty given. Every radiometric age has one; a rate without it cannot be defended. ",""))</f>
        <v/>
      </c>
      <c r="J193" s="18">
        <f>IF($E193="",0,IF(OR(LEFT($E193,6)="Pb-210",LEFT($E193,6)="Cs-137"),1,0))</f>
        <v/>
      </c>
      <c r="K193" s="18">
        <f>IF(OR($A193="",NOT(ISNUMBER($B193))),"",SUMPRODUCT(MAX(('4. Chronology'!$A$5:$A$204=$A193)*('4. Chronology'!$B$5:$B$204&lt;$B193)*'4. Chronology'!$B$5:$B$204)))</f>
        <v/>
      </c>
    </row>
    <row r="194">
      <c r="A194" s="14" t="n"/>
      <c r="B194" s="14" t="n"/>
      <c r="C194" s="14" t="n"/>
      <c r="D194" s="14" t="n"/>
      <c r="E194" s="14" t="n"/>
      <c r="F194" s="18">
        <f>IF(OR($A194="",NOT(ISNUMBER($B194))),"",SUMIFS('3. Peat Data'!$P$5:$P$604,'3. Peat Data'!$B$5:$B$604,$A194,'3. Peat Data'!$F$5:$F$604,"&lt;="&amp;$B194)+SUMPRODUCT(('3. Peat Data'!$B$5:$B$604=$A194)*('3. Peat Data'!$E$5:$E$604&lt;$B194)*('3. Peat Data'!$F$5:$F$604&gt;$B194)*'3. Peat Data'!$R$5:$R$604*($B194-'3. Peat Data'!$E$5:$E$604)))</f>
        <v/>
      </c>
      <c r="G194" s="18">
        <f>IF(OR($A194="",NOT(ISNUMBER($B194)),NOT(ISNUMBER($C194))),"",IFERROR(($B194-$K194)/($C194-IF($K194=0,0,SUMIFS('4. Chronology'!$C$5:$C$204,'4. Chronology'!$A$5:$A$204,$A194,'4. Chronology'!$B$5:$B$204,$K194))),""))</f>
        <v/>
      </c>
      <c r="H194" s="18">
        <f>IF(OR($A194="",NOT(ISNUMBER($F194)),NOT(ISNUMBER($C194))),"",IFERROR((($F194-IF($K194=0,0,SUMIFS('4. Chronology'!$F$5:$F$204,'4. Chronology'!$A$5:$A$204,$A194,'4. Chronology'!$B$5:$B$204,$K194)))*1000)/($C194-IF($K194=0,0,SUMIFS('4. Chronology'!$C$5:$C$204,'4. Chronology'!$A$5:$A$204,$A194,'4. Chronology'!$B$5:$B$204,$K194))),""))</f>
        <v/>
      </c>
      <c r="I194" s="18">
        <f>IF($A194="","",IF(COUNTIF('2. Core Log'!$A$5:$A$124,$A194)=0,"Core ID not in Core Log. ","")&amp;IF($E194="","No date source given — RERCA and LORCA need to know which method produced this age. ","")&amp;IF(AND(ISNUMBER($C194),$C194&lt;0),"Negative age: this horizon post-dates the coring year. Check the conversion. ","")&amp;IF(AND(ISNUMBER($G194),$G194&lt;0),"Age reversal — this horizon is younger than one above it. A mixed or disturbed profile may not be datable at all. ","")&amp;IF(AND(ISNUMBER($D194),ISNUMBER($C194),$C194&gt;0,$D194/$C194&gt;0.5),"Age uncertainty exceeds 50% of the age. Usable as an indication only. ","")&amp;IF(AND($D194="",$C194&lt;&gt;""),"No uncertainty given. Every radiometric age has one; a rate without it cannot be defended. ",""))</f>
        <v/>
      </c>
      <c r="J194" s="18">
        <f>IF($E194="",0,IF(OR(LEFT($E194,6)="Pb-210",LEFT($E194,6)="Cs-137"),1,0))</f>
        <v/>
      </c>
      <c r="K194" s="18">
        <f>IF(OR($A194="",NOT(ISNUMBER($B194))),"",SUMPRODUCT(MAX(('4. Chronology'!$A$5:$A$204=$A194)*('4. Chronology'!$B$5:$B$204&lt;$B194)*'4. Chronology'!$B$5:$B$204)))</f>
        <v/>
      </c>
    </row>
    <row r="195">
      <c r="A195" s="14" t="n"/>
      <c r="B195" s="14" t="n"/>
      <c r="C195" s="14" t="n"/>
      <c r="D195" s="14" t="n"/>
      <c r="E195" s="14" t="n"/>
      <c r="F195" s="18">
        <f>IF(OR($A195="",NOT(ISNUMBER($B195))),"",SUMIFS('3. Peat Data'!$P$5:$P$604,'3. Peat Data'!$B$5:$B$604,$A195,'3. Peat Data'!$F$5:$F$604,"&lt;="&amp;$B195)+SUMPRODUCT(('3. Peat Data'!$B$5:$B$604=$A195)*('3. Peat Data'!$E$5:$E$604&lt;$B195)*('3. Peat Data'!$F$5:$F$604&gt;$B195)*'3. Peat Data'!$R$5:$R$604*($B195-'3. Peat Data'!$E$5:$E$604)))</f>
        <v/>
      </c>
      <c r="G195" s="18">
        <f>IF(OR($A195="",NOT(ISNUMBER($B195)),NOT(ISNUMBER($C195))),"",IFERROR(($B195-$K195)/($C195-IF($K195=0,0,SUMIFS('4. Chronology'!$C$5:$C$204,'4. Chronology'!$A$5:$A$204,$A195,'4. Chronology'!$B$5:$B$204,$K195))),""))</f>
        <v/>
      </c>
      <c r="H195" s="18">
        <f>IF(OR($A195="",NOT(ISNUMBER($F195)),NOT(ISNUMBER($C195))),"",IFERROR((($F195-IF($K195=0,0,SUMIFS('4. Chronology'!$F$5:$F$204,'4. Chronology'!$A$5:$A$204,$A195,'4. Chronology'!$B$5:$B$204,$K195)))*1000)/($C195-IF($K195=0,0,SUMIFS('4. Chronology'!$C$5:$C$204,'4. Chronology'!$A$5:$A$204,$A195,'4. Chronology'!$B$5:$B$204,$K195))),""))</f>
        <v/>
      </c>
      <c r="I195" s="18">
        <f>IF($A195="","",IF(COUNTIF('2. Core Log'!$A$5:$A$124,$A195)=0,"Core ID not in Core Log. ","")&amp;IF($E195="","No date source given — RERCA and LORCA need to know which method produced this age. ","")&amp;IF(AND(ISNUMBER($C195),$C195&lt;0),"Negative age: this horizon post-dates the coring year. Check the conversion. ","")&amp;IF(AND(ISNUMBER($G195),$G195&lt;0),"Age reversal — this horizon is younger than one above it. A mixed or disturbed profile may not be datable at all. ","")&amp;IF(AND(ISNUMBER($D195),ISNUMBER($C195),$C195&gt;0,$D195/$C195&gt;0.5),"Age uncertainty exceeds 50% of the age. Usable as an indication only. ","")&amp;IF(AND($D195="",$C195&lt;&gt;""),"No uncertainty given. Every radiometric age has one; a rate without it cannot be defended. ",""))</f>
        <v/>
      </c>
      <c r="J195" s="18">
        <f>IF($E195="",0,IF(OR(LEFT($E195,6)="Pb-210",LEFT($E195,6)="Cs-137"),1,0))</f>
        <v/>
      </c>
      <c r="K195" s="18">
        <f>IF(OR($A195="",NOT(ISNUMBER($B195))),"",SUMPRODUCT(MAX(('4. Chronology'!$A$5:$A$204=$A195)*('4. Chronology'!$B$5:$B$204&lt;$B195)*'4. Chronology'!$B$5:$B$204)))</f>
        <v/>
      </c>
    </row>
    <row r="196">
      <c r="A196" s="14" t="n"/>
      <c r="B196" s="14" t="n"/>
      <c r="C196" s="14" t="n"/>
      <c r="D196" s="14" t="n"/>
      <c r="E196" s="14" t="n"/>
      <c r="F196" s="18">
        <f>IF(OR($A196="",NOT(ISNUMBER($B196))),"",SUMIFS('3. Peat Data'!$P$5:$P$604,'3. Peat Data'!$B$5:$B$604,$A196,'3. Peat Data'!$F$5:$F$604,"&lt;="&amp;$B196)+SUMPRODUCT(('3. Peat Data'!$B$5:$B$604=$A196)*('3. Peat Data'!$E$5:$E$604&lt;$B196)*('3. Peat Data'!$F$5:$F$604&gt;$B196)*'3. Peat Data'!$R$5:$R$604*($B196-'3. Peat Data'!$E$5:$E$604)))</f>
        <v/>
      </c>
      <c r="G196" s="18">
        <f>IF(OR($A196="",NOT(ISNUMBER($B196)),NOT(ISNUMBER($C196))),"",IFERROR(($B196-$K196)/($C196-IF($K196=0,0,SUMIFS('4. Chronology'!$C$5:$C$204,'4. Chronology'!$A$5:$A$204,$A196,'4. Chronology'!$B$5:$B$204,$K196))),""))</f>
        <v/>
      </c>
      <c r="H196" s="18">
        <f>IF(OR($A196="",NOT(ISNUMBER($F196)),NOT(ISNUMBER($C196))),"",IFERROR((($F196-IF($K196=0,0,SUMIFS('4. Chronology'!$F$5:$F$204,'4. Chronology'!$A$5:$A$204,$A196,'4. Chronology'!$B$5:$B$204,$K196)))*1000)/($C196-IF($K196=0,0,SUMIFS('4. Chronology'!$C$5:$C$204,'4. Chronology'!$A$5:$A$204,$A196,'4. Chronology'!$B$5:$B$204,$K196))),""))</f>
        <v/>
      </c>
      <c r="I196" s="18">
        <f>IF($A196="","",IF(COUNTIF('2. Core Log'!$A$5:$A$124,$A196)=0,"Core ID not in Core Log. ","")&amp;IF($E196="","No date source given — RERCA and LORCA need to know which method produced this age. ","")&amp;IF(AND(ISNUMBER($C196),$C196&lt;0),"Negative age: this horizon post-dates the coring year. Check the conversion. ","")&amp;IF(AND(ISNUMBER($G196),$G196&lt;0),"Age reversal — this horizon is younger than one above it. A mixed or disturbed profile may not be datable at all. ","")&amp;IF(AND(ISNUMBER($D196),ISNUMBER($C196),$C196&gt;0,$D196/$C196&gt;0.5),"Age uncertainty exceeds 50% of the age. Usable as an indication only. ","")&amp;IF(AND($D196="",$C196&lt;&gt;""),"No uncertainty given. Every radiometric age has one; a rate without it cannot be defended. ",""))</f>
        <v/>
      </c>
      <c r="J196" s="18">
        <f>IF($E196="",0,IF(OR(LEFT($E196,6)="Pb-210",LEFT($E196,6)="Cs-137"),1,0))</f>
        <v/>
      </c>
      <c r="K196" s="18">
        <f>IF(OR($A196="",NOT(ISNUMBER($B196))),"",SUMPRODUCT(MAX(('4. Chronology'!$A$5:$A$204=$A196)*('4. Chronology'!$B$5:$B$204&lt;$B196)*'4. Chronology'!$B$5:$B$204)))</f>
        <v/>
      </c>
    </row>
    <row r="197">
      <c r="A197" s="14" t="n"/>
      <c r="B197" s="14" t="n"/>
      <c r="C197" s="14" t="n"/>
      <c r="D197" s="14" t="n"/>
      <c r="E197" s="14" t="n"/>
      <c r="F197" s="18">
        <f>IF(OR($A197="",NOT(ISNUMBER($B197))),"",SUMIFS('3. Peat Data'!$P$5:$P$604,'3. Peat Data'!$B$5:$B$604,$A197,'3. Peat Data'!$F$5:$F$604,"&lt;="&amp;$B197)+SUMPRODUCT(('3. Peat Data'!$B$5:$B$604=$A197)*('3. Peat Data'!$E$5:$E$604&lt;$B197)*('3. Peat Data'!$F$5:$F$604&gt;$B197)*'3. Peat Data'!$R$5:$R$604*($B197-'3. Peat Data'!$E$5:$E$604)))</f>
        <v/>
      </c>
      <c r="G197" s="18">
        <f>IF(OR($A197="",NOT(ISNUMBER($B197)),NOT(ISNUMBER($C197))),"",IFERROR(($B197-$K197)/($C197-IF($K197=0,0,SUMIFS('4. Chronology'!$C$5:$C$204,'4. Chronology'!$A$5:$A$204,$A197,'4. Chronology'!$B$5:$B$204,$K197))),""))</f>
        <v/>
      </c>
      <c r="H197" s="18">
        <f>IF(OR($A197="",NOT(ISNUMBER($F197)),NOT(ISNUMBER($C197))),"",IFERROR((($F197-IF($K197=0,0,SUMIFS('4. Chronology'!$F$5:$F$204,'4. Chronology'!$A$5:$A$204,$A197,'4. Chronology'!$B$5:$B$204,$K197)))*1000)/($C197-IF($K197=0,0,SUMIFS('4. Chronology'!$C$5:$C$204,'4. Chronology'!$A$5:$A$204,$A197,'4. Chronology'!$B$5:$B$204,$K197))),""))</f>
        <v/>
      </c>
      <c r="I197" s="18">
        <f>IF($A197="","",IF(COUNTIF('2. Core Log'!$A$5:$A$124,$A197)=0,"Core ID not in Core Log. ","")&amp;IF($E197="","No date source given — RERCA and LORCA need to know which method produced this age. ","")&amp;IF(AND(ISNUMBER($C197),$C197&lt;0),"Negative age: this horizon post-dates the coring year. Check the conversion. ","")&amp;IF(AND(ISNUMBER($G197),$G197&lt;0),"Age reversal — this horizon is younger than one above it. A mixed or disturbed profile may not be datable at all. ","")&amp;IF(AND(ISNUMBER($D197),ISNUMBER($C197),$C197&gt;0,$D197/$C197&gt;0.5),"Age uncertainty exceeds 50% of the age. Usable as an indication only. ","")&amp;IF(AND($D197="",$C197&lt;&gt;""),"No uncertainty given. Every radiometric age has one; a rate without it cannot be defended. ",""))</f>
        <v/>
      </c>
      <c r="J197" s="18">
        <f>IF($E197="",0,IF(OR(LEFT($E197,6)="Pb-210",LEFT($E197,6)="Cs-137"),1,0))</f>
        <v/>
      </c>
      <c r="K197" s="18">
        <f>IF(OR($A197="",NOT(ISNUMBER($B197))),"",SUMPRODUCT(MAX(('4. Chronology'!$A$5:$A$204=$A197)*('4. Chronology'!$B$5:$B$204&lt;$B197)*'4. Chronology'!$B$5:$B$204)))</f>
        <v/>
      </c>
    </row>
    <row r="198">
      <c r="A198" s="14" t="n"/>
      <c r="B198" s="14" t="n"/>
      <c r="C198" s="14" t="n"/>
      <c r="D198" s="14" t="n"/>
      <c r="E198" s="14" t="n"/>
      <c r="F198" s="18">
        <f>IF(OR($A198="",NOT(ISNUMBER($B198))),"",SUMIFS('3. Peat Data'!$P$5:$P$604,'3. Peat Data'!$B$5:$B$604,$A198,'3. Peat Data'!$F$5:$F$604,"&lt;="&amp;$B198)+SUMPRODUCT(('3. Peat Data'!$B$5:$B$604=$A198)*('3. Peat Data'!$E$5:$E$604&lt;$B198)*('3. Peat Data'!$F$5:$F$604&gt;$B198)*'3. Peat Data'!$R$5:$R$604*($B198-'3. Peat Data'!$E$5:$E$604)))</f>
        <v/>
      </c>
      <c r="G198" s="18">
        <f>IF(OR($A198="",NOT(ISNUMBER($B198)),NOT(ISNUMBER($C198))),"",IFERROR(($B198-$K198)/($C198-IF($K198=0,0,SUMIFS('4. Chronology'!$C$5:$C$204,'4. Chronology'!$A$5:$A$204,$A198,'4. Chronology'!$B$5:$B$204,$K198))),""))</f>
        <v/>
      </c>
      <c r="H198" s="18">
        <f>IF(OR($A198="",NOT(ISNUMBER($F198)),NOT(ISNUMBER($C198))),"",IFERROR((($F198-IF($K198=0,0,SUMIFS('4. Chronology'!$F$5:$F$204,'4. Chronology'!$A$5:$A$204,$A198,'4. Chronology'!$B$5:$B$204,$K198)))*1000)/($C198-IF($K198=0,0,SUMIFS('4. Chronology'!$C$5:$C$204,'4. Chronology'!$A$5:$A$204,$A198,'4. Chronology'!$B$5:$B$204,$K198))),""))</f>
        <v/>
      </c>
      <c r="I198" s="18">
        <f>IF($A198="","",IF(COUNTIF('2. Core Log'!$A$5:$A$124,$A198)=0,"Core ID not in Core Log. ","")&amp;IF($E198="","No date source given — RERCA and LORCA need to know which method produced this age. ","")&amp;IF(AND(ISNUMBER($C198),$C198&lt;0),"Negative age: this horizon post-dates the coring year. Check the conversion. ","")&amp;IF(AND(ISNUMBER($G198),$G198&lt;0),"Age reversal — this horizon is younger than one above it. A mixed or disturbed profile may not be datable at all. ","")&amp;IF(AND(ISNUMBER($D198),ISNUMBER($C198),$C198&gt;0,$D198/$C198&gt;0.5),"Age uncertainty exceeds 50% of the age. Usable as an indication only. ","")&amp;IF(AND($D198="",$C198&lt;&gt;""),"No uncertainty given. Every radiometric age has one; a rate without it cannot be defended. ",""))</f>
        <v/>
      </c>
      <c r="J198" s="18">
        <f>IF($E198="",0,IF(OR(LEFT($E198,6)="Pb-210",LEFT($E198,6)="Cs-137"),1,0))</f>
        <v/>
      </c>
      <c r="K198" s="18">
        <f>IF(OR($A198="",NOT(ISNUMBER($B198))),"",SUMPRODUCT(MAX(('4. Chronology'!$A$5:$A$204=$A198)*('4. Chronology'!$B$5:$B$204&lt;$B198)*'4. Chronology'!$B$5:$B$204)))</f>
        <v/>
      </c>
    </row>
    <row r="199">
      <c r="A199" s="14" t="n"/>
      <c r="B199" s="14" t="n"/>
      <c r="C199" s="14" t="n"/>
      <c r="D199" s="14" t="n"/>
      <c r="E199" s="14" t="n"/>
      <c r="F199" s="18">
        <f>IF(OR($A199="",NOT(ISNUMBER($B199))),"",SUMIFS('3. Peat Data'!$P$5:$P$604,'3. Peat Data'!$B$5:$B$604,$A199,'3. Peat Data'!$F$5:$F$604,"&lt;="&amp;$B199)+SUMPRODUCT(('3. Peat Data'!$B$5:$B$604=$A199)*('3. Peat Data'!$E$5:$E$604&lt;$B199)*('3. Peat Data'!$F$5:$F$604&gt;$B199)*'3. Peat Data'!$R$5:$R$604*($B199-'3. Peat Data'!$E$5:$E$604)))</f>
        <v/>
      </c>
      <c r="G199" s="18">
        <f>IF(OR($A199="",NOT(ISNUMBER($B199)),NOT(ISNUMBER($C199))),"",IFERROR(($B199-$K199)/($C199-IF($K199=0,0,SUMIFS('4. Chronology'!$C$5:$C$204,'4. Chronology'!$A$5:$A$204,$A199,'4. Chronology'!$B$5:$B$204,$K199))),""))</f>
        <v/>
      </c>
      <c r="H199" s="18">
        <f>IF(OR($A199="",NOT(ISNUMBER($F199)),NOT(ISNUMBER($C199))),"",IFERROR((($F199-IF($K199=0,0,SUMIFS('4. Chronology'!$F$5:$F$204,'4. Chronology'!$A$5:$A$204,$A199,'4. Chronology'!$B$5:$B$204,$K199)))*1000)/($C199-IF($K199=0,0,SUMIFS('4. Chronology'!$C$5:$C$204,'4. Chronology'!$A$5:$A$204,$A199,'4. Chronology'!$B$5:$B$204,$K199))),""))</f>
        <v/>
      </c>
      <c r="I199" s="18">
        <f>IF($A199="","",IF(COUNTIF('2. Core Log'!$A$5:$A$124,$A199)=0,"Core ID not in Core Log. ","")&amp;IF($E199="","No date source given — RERCA and LORCA need to know which method produced this age. ","")&amp;IF(AND(ISNUMBER($C199),$C199&lt;0),"Negative age: this horizon post-dates the coring year. Check the conversion. ","")&amp;IF(AND(ISNUMBER($G199),$G199&lt;0),"Age reversal — this horizon is younger than one above it. A mixed or disturbed profile may not be datable at all. ","")&amp;IF(AND(ISNUMBER($D199),ISNUMBER($C199),$C199&gt;0,$D199/$C199&gt;0.5),"Age uncertainty exceeds 50% of the age. Usable as an indication only. ","")&amp;IF(AND($D199="",$C199&lt;&gt;""),"No uncertainty given. Every radiometric age has one; a rate without it cannot be defended. ",""))</f>
        <v/>
      </c>
      <c r="J199" s="18">
        <f>IF($E199="",0,IF(OR(LEFT($E199,6)="Pb-210",LEFT($E199,6)="Cs-137"),1,0))</f>
        <v/>
      </c>
      <c r="K199" s="18">
        <f>IF(OR($A199="",NOT(ISNUMBER($B199))),"",SUMPRODUCT(MAX(('4. Chronology'!$A$5:$A$204=$A199)*('4. Chronology'!$B$5:$B$204&lt;$B199)*'4. Chronology'!$B$5:$B$204)))</f>
        <v/>
      </c>
    </row>
    <row r="200">
      <c r="A200" s="14" t="n"/>
      <c r="B200" s="14" t="n"/>
      <c r="C200" s="14" t="n"/>
      <c r="D200" s="14" t="n"/>
      <c r="E200" s="14" t="n"/>
      <c r="F200" s="18">
        <f>IF(OR($A200="",NOT(ISNUMBER($B200))),"",SUMIFS('3. Peat Data'!$P$5:$P$604,'3. Peat Data'!$B$5:$B$604,$A200,'3. Peat Data'!$F$5:$F$604,"&lt;="&amp;$B200)+SUMPRODUCT(('3. Peat Data'!$B$5:$B$604=$A200)*('3. Peat Data'!$E$5:$E$604&lt;$B200)*('3. Peat Data'!$F$5:$F$604&gt;$B200)*'3. Peat Data'!$R$5:$R$604*($B200-'3. Peat Data'!$E$5:$E$604)))</f>
        <v/>
      </c>
      <c r="G200" s="18">
        <f>IF(OR($A200="",NOT(ISNUMBER($B200)),NOT(ISNUMBER($C200))),"",IFERROR(($B200-$K200)/($C200-IF($K200=0,0,SUMIFS('4. Chronology'!$C$5:$C$204,'4. Chronology'!$A$5:$A$204,$A200,'4. Chronology'!$B$5:$B$204,$K200))),""))</f>
        <v/>
      </c>
      <c r="H200" s="18">
        <f>IF(OR($A200="",NOT(ISNUMBER($F200)),NOT(ISNUMBER($C200))),"",IFERROR((($F200-IF($K200=0,0,SUMIFS('4. Chronology'!$F$5:$F$204,'4. Chronology'!$A$5:$A$204,$A200,'4. Chronology'!$B$5:$B$204,$K200)))*1000)/($C200-IF($K200=0,0,SUMIFS('4. Chronology'!$C$5:$C$204,'4. Chronology'!$A$5:$A$204,$A200,'4. Chronology'!$B$5:$B$204,$K200))),""))</f>
        <v/>
      </c>
      <c r="I200" s="18">
        <f>IF($A200="","",IF(COUNTIF('2. Core Log'!$A$5:$A$124,$A200)=0,"Core ID not in Core Log. ","")&amp;IF($E200="","No date source given — RERCA and LORCA need to know which method produced this age. ","")&amp;IF(AND(ISNUMBER($C200),$C200&lt;0),"Negative age: this horizon post-dates the coring year. Check the conversion. ","")&amp;IF(AND(ISNUMBER($G200),$G200&lt;0),"Age reversal — this horizon is younger than one above it. A mixed or disturbed profile may not be datable at all. ","")&amp;IF(AND(ISNUMBER($D200),ISNUMBER($C200),$C200&gt;0,$D200/$C200&gt;0.5),"Age uncertainty exceeds 50% of the age. Usable as an indication only. ","")&amp;IF(AND($D200="",$C200&lt;&gt;""),"No uncertainty given. Every radiometric age has one; a rate without it cannot be defended. ",""))</f>
        <v/>
      </c>
      <c r="J200" s="18">
        <f>IF($E200="",0,IF(OR(LEFT($E200,6)="Pb-210",LEFT($E200,6)="Cs-137"),1,0))</f>
        <v/>
      </c>
      <c r="K200" s="18">
        <f>IF(OR($A200="",NOT(ISNUMBER($B200))),"",SUMPRODUCT(MAX(('4. Chronology'!$A$5:$A$204=$A200)*('4. Chronology'!$B$5:$B$204&lt;$B200)*'4. Chronology'!$B$5:$B$204)))</f>
        <v/>
      </c>
    </row>
    <row r="201">
      <c r="A201" s="14" t="n"/>
      <c r="B201" s="14" t="n"/>
      <c r="C201" s="14" t="n"/>
      <c r="D201" s="14" t="n"/>
      <c r="E201" s="14" t="n"/>
      <c r="F201" s="18">
        <f>IF(OR($A201="",NOT(ISNUMBER($B201))),"",SUMIFS('3. Peat Data'!$P$5:$P$604,'3. Peat Data'!$B$5:$B$604,$A201,'3. Peat Data'!$F$5:$F$604,"&lt;="&amp;$B201)+SUMPRODUCT(('3. Peat Data'!$B$5:$B$604=$A201)*('3. Peat Data'!$E$5:$E$604&lt;$B201)*('3. Peat Data'!$F$5:$F$604&gt;$B201)*'3. Peat Data'!$R$5:$R$604*($B201-'3. Peat Data'!$E$5:$E$604)))</f>
        <v/>
      </c>
      <c r="G201" s="18">
        <f>IF(OR($A201="",NOT(ISNUMBER($B201)),NOT(ISNUMBER($C201))),"",IFERROR(($B201-$K201)/($C201-IF($K201=0,0,SUMIFS('4. Chronology'!$C$5:$C$204,'4. Chronology'!$A$5:$A$204,$A201,'4. Chronology'!$B$5:$B$204,$K201))),""))</f>
        <v/>
      </c>
      <c r="H201" s="18">
        <f>IF(OR($A201="",NOT(ISNUMBER($F201)),NOT(ISNUMBER($C201))),"",IFERROR((($F201-IF($K201=0,0,SUMIFS('4. Chronology'!$F$5:$F$204,'4. Chronology'!$A$5:$A$204,$A201,'4. Chronology'!$B$5:$B$204,$K201)))*1000)/($C201-IF($K201=0,0,SUMIFS('4. Chronology'!$C$5:$C$204,'4. Chronology'!$A$5:$A$204,$A201,'4. Chronology'!$B$5:$B$204,$K201))),""))</f>
        <v/>
      </c>
      <c r="I201" s="18">
        <f>IF($A201="","",IF(COUNTIF('2. Core Log'!$A$5:$A$124,$A201)=0,"Core ID not in Core Log. ","")&amp;IF($E201="","No date source given — RERCA and LORCA need to know which method produced this age. ","")&amp;IF(AND(ISNUMBER($C201),$C201&lt;0),"Negative age: this horizon post-dates the coring year. Check the conversion. ","")&amp;IF(AND(ISNUMBER($G201),$G201&lt;0),"Age reversal — this horizon is younger than one above it. A mixed or disturbed profile may not be datable at all. ","")&amp;IF(AND(ISNUMBER($D201),ISNUMBER($C201),$C201&gt;0,$D201/$C201&gt;0.5),"Age uncertainty exceeds 50% of the age. Usable as an indication only. ","")&amp;IF(AND($D201="",$C201&lt;&gt;""),"No uncertainty given. Every radiometric age has one; a rate without it cannot be defended. ",""))</f>
        <v/>
      </c>
      <c r="J201" s="18">
        <f>IF($E201="",0,IF(OR(LEFT($E201,6)="Pb-210",LEFT($E201,6)="Cs-137"),1,0))</f>
        <v/>
      </c>
      <c r="K201" s="18">
        <f>IF(OR($A201="",NOT(ISNUMBER($B201))),"",SUMPRODUCT(MAX(('4. Chronology'!$A$5:$A$204=$A201)*('4. Chronology'!$B$5:$B$204&lt;$B201)*'4. Chronology'!$B$5:$B$204)))</f>
        <v/>
      </c>
    </row>
    <row r="202">
      <c r="A202" s="14" t="n"/>
      <c r="B202" s="14" t="n"/>
      <c r="C202" s="14" t="n"/>
      <c r="D202" s="14" t="n"/>
      <c r="E202" s="14" t="n"/>
      <c r="F202" s="18">
        <f>IF(OR($A202="",NOT(ISNUMBER($B202))),"",SUMIFS('3. Peat Data'!$P$5:$P$604,'3. Peat Data'!$B$5:$B$604,$A202,'3. Peat Data'!$F$5:$F$604,"&lt;="&amp;$B202)+SUMPRODUCT(('3. Peat Data'!$B$5:$B$604=$A202)*('3. Peat Data'!$E$5:$E$604&lt;$B202)*('3. Peat Data'!$F$5:$F$604&gt;$B202)*'3. Peat Data'!$R$5:$R$604*($B202-'3. Peat Data'!$E$5:$E$604)))</f>
        <v/>
      </c>
      <c r="G202" s="18">
        <f>IF(OR($A202="",NOT(ISNUMBER($B202)),NOT(ISNUMBER($C202))),"",IFERROR(($B202-$K202)/($C202-IF($K202=0,0,SUMIFS('4. Chronology'!$C$5:$C$204,'4. Chronology'!$A$5:$A$204,$A202,'4. Chronology'!$B$5:$B$204,$K202))),""))</f>
        <v/>
      </c>
      <c r="H202" s="18">
        <f>IF(OR($A202="",NOT(ISNUMBER($F202)),NOT(ISNUMBER($C202))),"",IFERROR((($F202-IF($K202=0,0,SUMIFS('4. Chronology'!$F$5:$F$204,'4. Chronology'!$A$5:$A$204,$A202,'4. Chronology'!$B$5:$B$204,$K202)))*1000)/($C202-IF($K202=0,0,SUMIFS('4. Chronology'!$C$5:$C$204,'4. Chronology'!$A$5:$A$204,$A202,'4. Chronology'!$B$5:$B$204,$K202))),""))</f>
        <v/>
      </c>
      <c r="I202" s="18">
        <f>IF($A202="","",IF(COUNTIF('2. Core Log'!$A$5:$A$124,$A202)=0,"Core ID not in Core Log. ","")&amp;IF($E202="","No date source given — RERCA and LORCA need to know which method produced this age. ","")&amp;IF(AND(ISNUMBER($C202),$C202&lt;0),"Negative age: this horizon post-dates the coring year. Check the conversion. ","")&amp;IF(AND(ISNUMBER($G202),$G202&lt;0),"Age reversal — this horizon is younger than one above it. A mixed or disturbed profile may not be datable at all. ","")&amp;IF(AND(ISNUMBER($D202),ISNUMBER($C202),$C202&gt;0,$D202/$C202&gt;0.5),"Age uncertainty exceeds 50% of the age. Usable as an indication only. ","")&amp;IF(AND($D202="",$C202&lt;&gt;""),"No uncertainty given. Every radiometric age has one; a rate without it cannot be defended. ",""))</f>
        <v/>
      </c>
      <c r="J202" s="18">
        <f>IF($E202="",0,IF(OR(LEFT($E202,6)="Pb-210",LEFT($E202,6)="Cs-137"),1,0))</f>
        <v/>
      </c>
      <c r="K202" s="18">
        <f>IF(OR($A202="",NOT(ISNUMBER($B202))),"",SUMPRODUCT(MAX(('4. Chronology'!$A$5:$A$204=$A202)*('4. Chronology'!$B$5:$B$204&lt;$B202)*'4. Chronology'!$B$5:$B$204)))</f>
        <v/>
      </c>
    </row>
    <row r="203">
      <c r="A203" s="14" t="n"/>
      <c r="B203" s="14" t="n"/>
      <c r="C203" s="14" t="n"/>
      <c r="D203" s="14" t="n"/>
      <c r="E203" s="14" t="n"/>
      <c r="F203" s="18">
        <f>IF(OR($A203="",NOT(ISNUMBER($B203))),"",SUMIFS('3. Peat Data'!$P$5:$P$604,'3. Peat Data'!$B$5:$B$604,$A203,'3. Peat Data'!$F$5:$F$604,"&lt;="&amp;$B203)+SUMPRODUCT(('3. Peat Data'!$B$5:$B$604=$A203)*('3. Peat Data'!$E$5:$E$604&lt;$B203)*('3. Peat Data'!$F$5:$F$604&gt;$B203)*'3. Peat Data'!$R$5:$R$604*($B203-'3. Peat Data'!$E$5:$E$604)))</f>
        <v/>
      </c>
      <c r="G203" s="18">
        <f>IF(OR($A203="",NOT(ISNUMBER($B203)),NOT(ISNUMBER($C203))),"",IFERROR(($B203-$K203)/($C203-IF($K203=0,0,SUMIFS('4. Chronology'!$C$5:$C$204,'4. Chronology'!$A$5:$A$204,$A203,'4. Chronology'!$B$5:$B$204,$K203))),""))</f>
        <v/>
      </c>
      <c r="H203" s="18">
        <f>IF(OR($A203="",NOT(ISNUMBER($F203)),NOT(ISNUMBER($C203))),"",IFERROR((($F203-IF($K203=0,0,SUMIFS('4. Chronology'!$F$5:$F$204,'4. Chronology'!$A$5:$A$204,$A203,'4. Chronology'!$B$5:$B$204,$K203)))*1000)/($C203-IF($K203=0,0,SUMIFS('4. Chronology'!$C$5:$C$204,'4. Chronology'!$A$5:$A$204,$A203,'4. Chronology'!$B$5:$B$204,$K203))),""))</f>
        <v/>
      </c>
      <c r="I203" s="18">
        <f>IF($A203="","",IF(COUNTIF('2. Core Log'!$A$5:$A$124,$A203)=0,"Core ID not in Core Log. ","")&amp;IF($E203="","No date source given — RERCA and LORCA need to know which method produced this age. ","")&amp;IF(AND(ISNUMBER($C203),$C203&lt;0),"Negative age: this horizon post-dates the coring year. Check the conversion. ","")&amp;IF(AND(ISNUMBER($G203),$G203&lt;0),"Age reversal — this horizon is younger than one above it. A mixed or disturbed profile may not be datable at all. ","")&amp;IF(AND(ISNUMBER($D203),ISNUMBER($C203),$C203&gt;0,$D203/$C203&gt;0.5),"Age uncertainty exceeds 50% of the age. Usable as an indication only. ","")&amp;IF(AND($D203="",$C203&lt;&gt;""),"No uncertainty given. Every radiometric age has one; a rate without it cannot be defended. ",""))</f>
        <v/>
      </c>
      <c r="J203" s="18">
        <f>IF($E203="",0,IF(OR(LEFT($E203,6)="Pb-210",LEFT($E203,6)="Cs-137"),1,0))</f>
        <v/>
      </c>
      <c r="K203" s="18">
        <f>IF(OR($A203="",NOT(ISNUMBER($B203))),"",SUMPRODUCT(MAX(('4. Chronology'!$A$5:$A$204=$A203)*('4. Chronology'!$B$5:$B$204&lt;$B203)*'4. Chronology'!$B$5:$B$204)))</f>
        <v/>
      </c>
    </row>
    <row r="204">
      <c r="A204" s="14" t="n"/>
      <c r="B204" s="14" t="n"/>
      <c r="C204" s="14" t="n"/>
      <c r="D204" s="14" t="n"/>
      <c r="E204" s="14" t="n"/>
      <c r="F204" s="18">
        <f>IF(OR($A204="",NOT(ISNUMBER($B204))),"",SUMIFS('3. Peat Data'!$P$5:$P$604,'3. Peat Data'!$B$5:$B$604,$A204,'3. Peat Data'!$F$5:$F$604,"&lt;="&amp;$B204)+SUMPRODUCT(('3. Peat Data'!$B$5:$B$604=$A204)*('3. Peat Data'!$E$5:$E$604&lt;$B204)*('3. Peat Data'!$F$5:$F$604&gt;$B204)*'3. Peat Data'!$R$5:$R$604*($B204-'3. Peat Data'!$E$5:$E$604)))</f>
        <v/>
      </c>
      <c r="G204" s="18">
        <f>IF(OR($A204="",NOT(ISNUMBER($B204)),NOT(ISNUMBER($C204))),"",IFERROR(($B204-$K204)/($C204-IF($K204=0,0,SUMIFS('4. Chronology'!$C$5:$C$204,'4. Chronology'!$A$5:$A$204,$A204,'4. Chronology'!$B$5:$B$204,$K204))),""))</f>
        <v/>
      </c>
      <c r="H204" s="18">
        <f>IF(OR($A204="",NOT(ISNUMBER($F204)),NOT(ISNUMBER($C204))),"",IFERROR((($F204-IF($K204=0,0,SUMIFS('4. Chronology'!$F$5:$F$204,'4. Chronology'!$A$5:$A$204,$A204,'4. Chronology'!$B$5:$B$204,$K204)))*1000)/($C204-IF($K204=0,0,SUMIFS('4. Chronology'!$C$5:$C$204,'4. Chronology'!$A$5:$A$204,$A204,'4. Chronology'!$B$5:$B$204,$K204))),""))</f>
        <v/>
      </c>
      <c r="I204" s="18">
        <f>IF($A204="","",IF(COUNTIF('2. Core Log'!$A$5:$A$124,$A204)=0,"Core ID not in Core Log. ","")&amp;IF($E204="","No date source given — RERCA and LORCA need to know which method produced this age. ","")&amp;IF(AND(ISNUMBER($C204),$C204&lt;0),"Negative age: this horizon post-dates the coring year. Check the conversion. ","")&amp;IF(AND(ISNUMBER($G204),$G204&lt;0),"Age reversal — this horizon is younger than one above it. A mixed or disturbed profile may not be datable at all. ","")&amp;IF(AND(ISNUMBER($D204),ISNUMBER($C204),$C204&gt;0,$D204/$C204&gt;0.5),"Age uncertainty exceeds 50% of the age. Usable as an indication only. ","")&amp;IF(AND($D204="",$C204&lt;&gt;""),"No uncertainty given. Every radiometric age has one; a rate without it cannot be defended. ",""))</f>
        <v/>
      </c>
      <c r="J204" s="18">
        <f>IF($E204="",0,IF(OR(LEFT($E204,6)="Pb-210",LEFT($E204,6)="Cs-137"),1,0))</f>
        <v/>
      </c>
      <c r="K204" s="18">
        <f>IF(OR($A204="",NOT(ISNUMBER($B204))),"",SUMPRODUCT(MAX(('4. Chronology'!$A$5:$A$204=$A204)*('4. Chronology'!$B$5:$B$204&lt;$B204)*'4. Chronology'!$B$5:$B$204)))</f>
        <v/>
      </c>
    </row>
    <row r="207" ht="20" customHeight="1">
      <c r="A207" s="20" t="inlineStr">
        <is>
          <t xml:space="preserve">  ACCUMULATION RATES — one row per core, calculated from the horizons above</t>
        </is>
      </c>
    </row>
    <row r="208" ht="32" customHeight="1">
      <c r="A208" s="15" t="inlineStr">
        <is>
          <t>LORCA is the whole-profile average: all the carbon in the core divided by the age at its base. RERCA covers only the recent, Pb-210/Cs-137-dated part near the surface. They answer different questions and are not interchangeable — read the flag in the last column before comparing them.</t>
        </is>
      </c>
    </row>
    <row r="209" ht="42" customHeight="1">
      <c r="A209" s="16" t="inlineStr">
        <is>
          <t>Core ID</t>
        </is>
      </c>
      <c r="B209" s="16" t="inlineStr">
        <is>
          <t>Basal age (yr)</t>
        </is>
      </c>
      <c r="C209" s="16" t="inlineStr">
        <is>
          <t>Profile carbon (kg C/m²)</t>
        </is>
      </c>
      <c r="D209" s="16" t="inlineStr">
        <is>
          <t>LORCA (g C/m²/yr)</t>
        </is>
      </c>
      <c r="E209" s="16" t="inlineStr">
        <is>
          <t>Recent horizon depth (cm)</t>
        </is>
      </c>
      <c r="F209" s="16" t="inlineStr">
        <is>
          <t>Recent horizon age (yr)</t>
        </is>
      </c>
      <c r="G209" s="16" t="inlineStr">
        <is>
          <t>Carbon above it (kg C/m²)</t>
        </is>
      </c>
      <c r="H209" s="16" t="inlineStr">
        <is>
          <t>RERCA (g C/m²/yr)</t>
        </is>
      </c>
      <c r="I209" s="16" t="inlineStr">
        <is>
          <t>RERCA ÷ LORCA</t>
        </is>
      </c>
      <c r="J209" s="16" t="inlineStr">
        <is>
          <t>QC flags</t>
        </is>
      </c>
      <c r="K209" s="16" t="inlineStr">
        <is>
          <t>Notes</t>
        </is>
      </c>
    </row>
    <row r="210">
      <c r="A210" s="18">
        <f>IF(INDEX('2. Core Log'!$A$5:$A$124,ROW()-209)="","",INDEX('2. Core Log'!$A$5:$A$124,ROW()-209))</f>
        <v/>
      </c>
      <c r="B210" s="18">
        <f>IF($A210="","",IF(SUMPRODUCT(('4. Chronology'!$A$5:$A$204=$A210)*'4. Chronology'!$C$5:$C$204)=0,"",SUMPRODUCT(MAX(('4. Chronology'!$A$5:$A$204=$A210)*'4. Chronology'!$C$5:$C$204))))</f>
        <v/>
      </c>
      <c r="C210" s="18">
        <f>IF($A210="","",IFERROR(INDEX('2. Core Log'!$R$5:$R$124,MATCH($A210,'2. Core Log'!$A$5:$A$124,0)),""))</f>
        <v/>
      </c>
      <c r="D210" s="21">
        <f>IF(OR(NOT(ISNUMBER($B210)),NOT(ISNUMBER($C210)),$B210=0),"",$C210*1000/$B210)</f>
        <v/>
      </c>
      <c r="E210" s="18">
        <f>IF($A210="","",IF(SUMPRODUCT(('4. Chronology'!$A$5:$A$204=$A210)*'4. Chronology'!$J$5:$J$204*'4. Chronology'!$B$5:$B$204)=0,"",SUMPRODUCT(MAX(('4. Chronology'!$A$5:$A$204=$A210)*'4. Chronology'!$J$5:$J$204*'4. Chronology'!$B$5:$B$204))))</f>
        <v/>
      </c>
      <c r="F210" s="18">
        <f>IF(NOT(ISNUMBER($E210)),"",SUMIFS('4. Chronology'!$C$5:$C$204,'4. Chronology'!$A$5:$A$204,$A210,'4. Chronology'!$B$5:$B$204,$E210))</f>
        <v/>
      </c>
      <c r="G210" s="18">
        <f>IF(NOT(ISNUMBER($E210)),"",SUMIFS('4. Chronology'!$F$5:$F$204,'4. Chronology'!$A$5:$A$204,$A210,'4. Chronology'!$B$5:$B$204,$E210))</f>
        <v/>
      </c>
      <c r="H210" s="21">
        <f>IF(OR(NOT(ISNUMBER($F210)),NOT(ISNUMBER($G210)),$F210=0),"",$G210*1000/$F210)</f>
        <v/>
      </c>
      <c r="I210" s="18">
        <f>IF(OR(NOT(ISNUMBER($H210)),NOT(ISNUMBER($D210)),$D210=0),"",$H210/$D210)</f>
        <v/>
      </c>
      <c r="J210" s="18">
        <f>IF($A210="","",IF(NOT(ISNUMBER($B210)),"No dated horizons for this core — LORCA cannot be calculated. ","")&amp;IF(AND(ISNUMBER($B210),NOT(ISNUMBER($E210))),"No Pb-210 or Cs-137 horizon — RERCA cannot be calculated. ","")&amp;IF(IFERROR(INDEX('2. Core Log'!$L$5:$L$124,MATCH($A210,'2. Core Log'!$A$5:$A$124,0)),"")="No","Core did not reach the mineral contact, so LORCA is based on a partial profile and is a MINIMUM. ","")&amp;IF(AND(ISNUMBER($I210),$I210&gt;1.2),"RERCA is "&amp;TEXT($I210,"0.0")&amp;"x LORCA. This is EXPECTED, not a finding: near-surface peat has not finished decomposing, so recent rates always look higher. Do not report it as accelerating sequestration. ","")&amp;IF(AND(ISNUMBER($D210),OR($D210&lt;LORCA_MIN,$D210&gt;LORCA_MAX)),"LORCA outside the published range of "&amp;LORCA_MIN&amp;"-"&amp;LORCA_MAX&amp;" g C/m2/yr — check the basal age and the profile carbon. ",""))</f>
        <v/>
      </c>
      <c r="K210" s="14" t="n"/>
    </row>
    <row r="211">
      <c r="A211" s="18">
        <f>IF(INDEX('2. Core Log'!$A$5:$A$124,ROW()-209)="","",INDEX('2. Core Log'!$A$5:$A$124,ROW()-209))</f>
        <v/>
      </c>
      <c r="B211" s="18">
        <f>IF($A211="","",IF(SUMPRODUCT(('4. Chronology'!$A$5:$A$204=$A211)*'4. Chronology'!$C$5:$C$204)=0,"",SUMPRODUCT(MAX(('4. Chronology'!$A$5:$A$204=$A211)*'4. Chronology'!$C$5:$C$204))))</f>
        <v/>
      </c>
      <c r="C211" s="18">
        <f>IF($A211="","",IFERROR(INDEX('2. Core Log'!$R$5:$R$124,MATCH($A211,'2. Core Log'!$A$5:$A$124,0)),""))</f>
        <v/>
      </c>
      <c r="D211" s="21">
        <f>IF(OR(NOT(ISNUMBER($B211)),NOT(ISNUMBER($C211)),$B211=0),"",$C211*1000/$B211)</f>
        <v/>
      </c>
      <c r="E211" s="18">
        <f>IF($A211="","",IF(SUMPRODUCT(('4. Chronology'!$A$5:$A$204=$A211)*'4. Chronology'!$J$5:$J$204*'4. Chronology'!$B$5:$B$204)=0,"",SUMPRODUCT(MAX(('4. Chronology'!$A$5:$A$204=$A211)*'4. Chronology'!$J$5:$J$204*'4. Chronology'!$B$5:$B$204))))</f>
        <v/>
      </c>
      <c r="F211" s="18">
        <f>IF(NOT(ISNUMBER($E211)),"",SUMIFS('4. Chronology'!$C$5:$C$204,'4. Chronology'!$A$5:$A$204,$A211,'4. Chronology'!$B$5:$B$204,$E211))</f>
        <v/>
      </c>
      <c r="G211" s="18">
        <f>IF(NOT(ISNUMBER($E211)),"",SUMIFS('4. Chronology'!$F$5:$F$204,'4. Chronology'!$A$5:$A$204,$A211,'4. Chronology'!$B$5:$B$204,$E211))</f>
        <v/>
      </c>
      <c r="H211" s="21">
        <f>IF(OR(NOT(ISNUMBER($F211)),NOT(ISNUMBER($G211)),$F211=0),"",$G211*1000/$F211)</f>
        <v/>
      </c>
      <c r="I211" s="18">
        <f>IF(OR(NOT(ISNUMBER($H211)),NOT(ISNUMBER($D211)),$D211=0),"",$H211/$D211)</f>
        <v/>
      </c>
      <c r="J211" s="18">
        <f>IF($A211="","",IF(NOT(ISNUMBER($B211)),"No dated horizons for this core — LORCA cannot be calculated. ","")&amp;IF(AND(ISNUMBER($B211),NOT(ISNUMBER($E211))),"No Pb-210 or Cs-137 horizon — RERCA cannot be calculated. ","")&amp;IF(IFERROR(INDEX('2. Core Log'!$L$5:$L$124,MATCH($A211,'2. Core Log'!$A$5:$A$124,0)),"")="No","Core did not reach the mineral contact, so LORCA is based on a partial profile and is a MINIMUM. ","")&amp;IF(AND(ISNUMBER($I211),$I211&gt;1.2),"RERCA is "&amp;TEXT($I211,"0.0")&amp;"x LORCA. This is EXPECTED, not a finding: near-surface peat has not finished decomposing, so recent rates always look higher. Do not report it as accelerating sequestration. ","")&amp;IF(AND(ISNUMBER($D211),OR($D211&lt;LORCA_MIN,$D211&gt;LORCA_MAX)),"LORCA outside the published range of "&amp;LORCA_MIN&amp;"-"&amp;LORCA_MAX&amp;" g C/m2/yr — check the basal age and the profile carbon. ",""))</f>
        <v/>
      </c>
      <c r="K211" s="14" t="n"/>
    </row>
    <row r="212">
      <c r="A212" s="18">
        <f>IF(INDEX('2. Core Log'!$A$5:$A$124,ROW()-209)="","",INDEX('2. Core Log'!$A$5:$A$124,ROW()-209))</f>
        <v/>
      </c>
      <c r="B212" s="18">
        <f>IF($A212="","",IF(SUMPRODUCT(('4. Chronology'!$A$5:$A$204=$A212)*'4. Chronology'!$C$5:$C$204)=0,"",SUMPRODUCT(MAX(('4. Chronology'!$A$5:$A$204=$A212)*'4. Chronology'!$C$5:$C$204))))</f>
        <v/>
      </c>
      <c r="C212" s="18">
        <f>IF($A212="","",IFERROR(INDEX('2. Core Log'!$R$5:$R$124,MATCH($A212,'2. Core Log'!$A$5:$A$124,0)),""))</f>
        <v/>
      </c>
      <c r="D212" s="21">
        <f>IF(OR(NOT(ISNUMBER($B212)),NOT(ISNUMBER($C212)),$B212=0),"",$C212*1000/$B212)</f>
        <v/>
      </c>
      <c r="E212" s="18">
        <f>IF($A212="","",IF(SUMPRODUCT(('4. Chronology'!$A$5:$A$204=$A212)*'4. Chronology'!$J$5:$J$204*'4. Chronology'!$B$5:$B$204)=0,"",SUMPRODUCT(MAX(('4. Chronology'!$A$5:$A$204=$A212)*'4. Chronology'!$J$5:$J$204*'4. Chronology'!$B$5:$B$204))))</f>
        <v/>
      </c>
      <c r="F212" s="18">
        <f>IF(NOT(ISNUMBER($E212)),"",SUMIFS('4. Chronology'!$C$5:$C$204,'4. Chronology'!$A$5:$A$204,$A212,'4. Chronology'!$B$5:$B$204,$E212))</f>
        <v/>
      </c>
      <c r="G212" s="18">
        <f>IF(NOT(ISNUMBER($E212)),"",SUMIFS('4. Chronology'!$F$5:$F$204,'4. Chronology'!$A$5:$A$204,$A212,'4. Chronology'!$B$5:$B$204,$E212))</f>
        <v/>
      </c>
      <c r="H212" s="21">
        <f>IF(OR(NOT(ISNUMBER($F212)),NOT(ISNUMBER($G212)),$F212=0),"",$G212*1000/$F212)</f>
        <v/>
      </c>
      <c r="I212" s="18">
        <f>IF(OR(NOT(ISNUMBER($H212)),NOT(ISNUMBER($D212)),$D212=0),"",$H212/$D212)</f>
        <v/>
      </c>
      <c r="J212" s="18">
        <f>IF($A212="","",IF(NOT(ISNUMBER($B212)),"No dated horizons for this core — LORCA cannot be calculated. ","")&amp;IF(AND(ISNUMBER($B212),NOT(ISNUMBER($E212))),"No Pb-210 or Cs-137 horizon — RERCA cannot be calculated. ","")&amp;IF(IFERROR(INDEX('2. Core Log'!$L$5:$L$124,MATCH($A212,'2. Core Log'!$A$5:$A$124,0)),"")="No","Core did not reach the mineral contact, so LORCA is based on a partial profile and is a MINIMUM. ","")&amp;IF(AND(ISNUMBER($I212),$I212&gt;1.2),"RERCA is "&amp;TEXT($I212,"0.0")&amp;"x LORCA. This is EXPECTED, not a finding: near-surface peat has not finished decomposing, so recent rates always look higher. Do not report it as accelerating sequestration. ","")&amp;IF(AND(ISNUMBER($D212),OR($D212&lt;LORCA_MIN,$D212&gt;LORCA_MAX)),"LORCA outside the published range of "&amp;LORCA_MIN&amp;"-"&amp;LORCA_MAX&amp;" g C/m2/yr — check the basal age and the profile carbon. ",""))</f>
        <v/>
      </c>
      <c r="K212" s="14" t="n"/>
    </row>
    <row r="213">
      <c r="A213" s="18">
        <f>IF(INDEX('2. Core Log'!$A$5:$A$124,ROW()-209)="","",INDEX('2. Core Log'!$A$5:$A$124,ROW()-209))</f>
        <v/>
      </c>
      <c r="B213" s="18">
        <f>IF($A213="","",IF(SUMPRODUCT(('4. Chronology'!$A$5:$A$204=$A213)*'4. Chronology'!$C$5:$C$204)=0,"",SUMPRODUCT(MAX(('4. Chronology'!$A$5:$A$204=$A213)*'4. Chronology'!$C$5:$C$204))))</f>
        <v/>
      </c>
      <c r="C213" s="18">
        <f>IF($A213="","",IFERROR(INDEX('2. Core Log'!$R$5:$R$124,MATCH($A213,'2. Core Log'!$A$5:$A$124,0)),""))</f>
        <v/>
      </c>
      <c r="D213" s="21">
        <f>IF(OR(NOT(ISNUMBER($B213)),NOT(ISNUMBER($C213)),$B213=0),"",$C213*1000/$B213)</f>
        <v/>
      </c>
      <c r="E213" s="18">
        <f>IF($A213="","",IF(SUMPRODUCT(('4. Chronology'!$A$5:$A$204=$A213)*'4. Chronology'!$J$5:$J$204*'4. Chronology'!$B$5:$B$204)=0,"",SUMPRODUCT(MAX(('4. Chronology'!$A$5:$A$204=$A213)*'4. Chronology'!$J$5:$J$204*'4. Chronology'!$B$5:$B$204))))</f>
        <v/>
      </c>
      <c r="F213" s="18">
        <f>IF(NOT(ISNUMBER($E213)),"",SUMIFS('4. Chronology'!$C$5:$C$204,'4. Chronology'!$A$5:$A$204,$A213,'4. Chronology'!$B$5:$B$204,$E213))</f>
        <v/>
      </c>
      <c r="G213" s="18">
        <f>IF(NOT(ISNUMBER($E213)),"",SUMIFS('4. Chronology'!$F$5:$F$204,'4. Chronology'!$A$5:$A$204,$A213,'4. Chronology'!$B$5:$B$204,$E213))</f>
        <v/>
      </c>
      <c r="H213" s="21">
        <f>IF(OR(NOT(ISNUMBER($F213)),NOT(ISNUMBER($G213)),$F213=0),"",$G213*1000/$F213)</f>
        <v/>
      </c>
      <c r="I213" s="18">
        <f>IF(OR(NOT(ISNUMBER($H213)),NOT(ISNUMBER($D213)),$D213=0),"",$H213/$D213)</f>
        <v/>
      </c>
      <c r="J213" s="18">
        <f>IF($A213="","",IF(NOT(ISNUMBER($B213)),"No dated horizons for this core — LORCA cannot be calculated. ","")&amp;IF(AND(ISNUMBER($B213),NOT(ISNUMBER($E213))),"No Pb-210 or Cs-137 horizon — RERCA cannot be calculated. ","")&amp;IF(IFERROR(INDEX('2. Core Log'!$L$5:$L$124,MATCH($A213,'2. Core Log'!$A$5:$A$124,0)),"")="No","Core did not reach the mineral contact, so LORCA is based on a partial profile and is a MINIMUM. ","")&amp;IF(AND(ISNUMBER($I213),$I213&gt;1.2),"RERCA is "&amp;TEXT($I213,"0.0")&amp;"x LORCA. This is EXPECTED, not a finding: near-surface peat has not finished decomposing, so recent rates always look higher. Do not report it as accelerating sequestration. ","")&amp;IF(AND(ISNUMBER($D213),OR($D213&lt;LORCA_MIN,$D213&gt;LORCA_MAX)),"LORCA outside the published range of "&amp;LORCA_MIN&amp;"-"&amp;LORCA_MAX&amp;" g C/m2/yr — check the basal age and the profile carbon. ",""))</f>
        <v/>
      </c>
      <c r="K213" s="14" t="n"/>
    </row>
    <row r="214">
      <c r="A214" s="18">
        <f>IF(INDEX('2. Core Log'!$A$5:$A$124,ROW()-209)="","",INDEX('2. Core Log'!$A$5:$A$124,ROW()-209))</f>
        <v/>
      </c>
      <c r="B214" s="18">
        <f>IF($A214="","",IF(SUMPRODUCT(('4. Chronology'!$A$5:$A$204=$A214)*'4. Chronology'!$C$5:$C$204)=0,"",SUMPRODUCT(MAX(('4. Chronology'!$A$5:$A$204=$A214)*'4. Chronology'!$C$5:$C$204))))</f>
        <v/>
      </c>
      <c r="C214" s="18">
        <f>IF($A214="","",IFERROR(INDEX('2. Core Log'!$R$5:$R$124,MATCH($A214,'2. Core Log'!$A$5:$A$124,0)),""))</f>
        <v/>
      </c>
      <c r="D214" s="21">
        <f>IF(OR(NOT(ISNUMBER($B214)),NOT(ISNUMBER($C214)),$B214=0),"",$C214*1000/$B214)</f>
        <v/>
      </c>
      <c r="E214" s="18">
        <f>IF($A214="","",IF(SUMPRODUCT(('4. Chronology'!$A$5:$A$204=$A214)*'4. Chronology'!$J$5:$J$204*'4. Chronology'!$B$5:$B$204)=0,"",SUMPRODUCT(MAX(('4. Chronology'!$A$5:$A$204=$A214)*'4. Chronology'!$J$5:$J$204*'4. Chronology'!$B$5:$B$204))))</f>
        <v/>
      </c>
      <c r="F214" s="18">
        <f>IF(NOT(ISNUMBER($E214)),"",SUMIFS('4. Chronology'!$C$5:$C$204,'4. Chronology'!$A$5:$A$204,$A214,'4. Chronology'!$B$5:$B$204,$E214))</f>
        <v/>
      </c>
      <c r="G214" s="18">
        <f>IF(NOT(ISNUMBER($E214)),"",SUMIFS('4. Chronology'!$F$5:$F$204,'4. Chronology'!$A$5:$A$204,$A214,'4. Chronology'!$B$5:$B$204,$E214))</f>
        <v/>
      </c>
      <c r="H214" s="21">
        <f>IF(OR(NOT(ISNUMBER($F214)),NOT(ISNUMBER($G214)),$F214=0),"",$G214*1000/$F214)</f>
        <v/>
      </c>
      <c r="I214" s="18">
        <f>IF(OR(NOT(ISNUMBER($H214)),NOT(ISNUMBER($D214)),$D214=0),"",$H214/$D214)</f>
        <v/>
      </c>
      <c r="J214" s="18">
        <f>IF($A214="","",IF(NOT(ISNUMBER($B214)),"No dated horizons for this core — LORCA cannot be calculated. ","")&amp;IF(AND(ISNUMBER($B214),NOT(ISNUMBER($E214))),"No Pb-210 or Cs-137 horizon — RERCA cannot be calculated. ","")&amp;IF(IFERROR(INDEX('2. Core Log'!$L$5:$L$124,MATCH($A214,'2. Core Log'!$A$5:$A$124,0)),"")="No","Core did not reach the mineral contact, so LORCA is based on a partial profile and is a MINIMUM. ","")&amp;IF(AND(ISNUMBER($I214),$I214&gt;1.2),"RERCA is "&amp;TEXT($I214,"0.0")&amp;"x LORCA. This is EXPECTED, not a finding: near-surface peat has not finished decomposing, so recent rates always look higher. Do not report it as accelerating sequestration. ","")&amp;IF(AND(ISNUMBER($D214),OR($D214&lt;LORCA_MIN,$D214&gt;LORCA_MAX)),"LORCA outside the published range of "&amp;LORCA_MIN&amp;"-"&amp;LORCA_MAX&amp;" g C/m2/yr — check the basal age and the profile carbon. ",""))</f>
        <v/>
      </c>
      <c r="K214" s="14" t="n"/>
    </row>
    <row r="215">
      <c r="A215" s="18">
        <f>IF(INDEX('2. Core Log'!$A$5:$A$124,ROW()-209)="","",INDEX('2. Core Log'!$A$5:$A$124,ROW()-209))</f>
        <v/>
      </c>
      <c r="B215" s="18">
        <f>IF($A215="","",IF(SUMPRODUCT(('4. Chronology'!$A$5:$A$204=$A215)*'4. Chronology'!$C$5:$C$204)=0,"",SUMPRODUCT(MAX(('4. Chronology'!$A$5:$A$204=$A215)*'4. Chronology'!$C$5:$C$204))))</f>
        <v/>
      </c>
      <c r="C215" s="18">
        <f>IF($A215="","",IFERROR(INDEX('2. Core Log'!$R$5:$R$124,MATCH($A215,'2. Core Log'!$A$5:$A$124,0)),""))</f>
        <v/>
      </c>
      <c r="D215" s="21">
        <f>IF(OR(NOT(ISNUMBER($B215)),NOT(ISNUMBER($C215)),$B215=0),"",$C215*1000/$B215)</f>
        <v/>
      </c>
      <c r="E215" s="18">
        <f>IF($A215="","",IF(SUMPRODUCT(('4. Chronology'!$A$5:$A$204=$A215)*'4. Chronology'!$J$5:$J$204*'4. Chronology'!$B$5:$B$204)=0,"",SUMPRODUCT(MAX(('4. Chronology'!$A$5:$A$204=$A215)*'4. Chronology'!$J$5:$J$204*'4. Chronology'!$B$5:$B$204))))</f>
        <v/>
      </c>
      <c r="F215" s="18">
        <f>IF(NOT(ISNUMBER($E215)),"",SUMIFS('4. Chronology'!$C$5:$C$204,'4. Chronology'!$A$5:$A$204,$A215,'4. Chronology'!$B$5:$B$204,$E215))</f>
        <v/>
      </c>
      <c r="G215" s="18">
        <f>IF(NOT(ISNUMBER($E215)),"",SUMIFS('4. Chronology'!$F$5:$F$204,'4. Chronology'!$A$5:$A$204,$A215,'4. Chronology'!$B$5:$B$204,$E215))</f>
        <v/>
      </c>
      <c r="H215" s="21">
        <f>IF(OR(NOT(ISNUMBER($F215)),NOT(ISNUMBER($G215)),$F215=0),"",$G215*1000/$F215)</f>
        <v/>
      </c>
      <c r="I215" s="18">
        <f>IF(OR(NOT(ISNUMBER($H215)),NOT(ISNUMBER($D215)),$D215=0),"",$H215/$D215)</f>
        <v/>
      </c>
      <c r="J215" s="18">
        <f>IF($A215="","",IF(NOT(ISNUMBER($B215)),"No dated horizons for this core — LORCA cannot be calculated. ","")&amp;IF(AND(ISNUMBER($B215),NOT(ISNUMBER($E215))),"No Pb-210 or Cs-137 horizon — RERCA cannot be calculated. ","")&amp;IF(IFERROR(INDEX('2. Core Log'!$L$5:$L$124,MATCH($A215,'2. Core Log'!$A$5:$A$124,0)),"")="No","Core did not reach the mineral contact, so LORCA is based on a partial profile and is a MINIMUM. ","")&amp;IF(AND(ISNUMBER($I215),$I215&gt;1.2),"RERCA is "&amp;TEXT($I215,"0.0")&amp;"x LORCA. This is EXPECTED, not a finding: near-surface peat has not finished decomposing, so recent rates always look higher. Do not report it as accelerating sequestration. ","")&amp;IF(AND(ISNUMBER($D215),OR($D215&lt;LORCA_MIN,$D215&gt;LORCA_MAX)),"LORCA outside the published range of "&amp;LORCA_MIN&amp;"-"&amp;LORCA_MAX&amp;" g C/m2/yr — check the basal age and the profile carbon. ",""))</f>
        <v/>
      </c>
      <c r="K215" s="14" t="n"/>
    </row>
    <row r="216">
      <c r="A216" s="18">
        <f>IF(INDEX('2. Core Log'!$A$5:$A$124,ROW()-209)="","",INDEX('2. Core Log'!$A$5:$A$124,ROW()-209))</f>
        <v/>
      </c>
      <c r="B216" s="18">
        <f>IF($A216="","",IF(SUMPRODUCT(('4. Chronology'!$A$5:$A$204=$A216)*'4. Chronology'!$C$5:$C$204)=0,"",SUMPRODUCT(MAX(('4. Chronology'!$A$5:$A$204=$A216)*'4. Chronology'!$C$5:$C$204))))</f>
        <v/>
      </c>
      <c r="C216" s="18">
        <f>IF($A216="","",IFERROR(INDEX('2. Core Log'!$R$5:$R$124,MATCH($A216,'2. Core Log'!$A$5:$A$124,0)),""))</f>
        <v/>
      </c>
      <c r="D216" s="21">
        <f>IF(OR(NOT(ISNUMBER($B216)),NOT(ISNUMBER($C216)),$B216=0),"",$C216*1000/$B216)</f>
        <v/>
      </c>
      <c r="E216" s="18">
        <f>IF($A216="","",IF(SUMPRODUCT(('4. Chronology'!$A$5:$A$204=$A216)*'4. Chronology'!$J$5:$J$204*'4. Chronology'!$B$5:$B$204)=0,"",SUMPRODUCT(MAX(('4. Chronology'!$A$5:$A$204=$A216)*'4. Chronology'!$J$5:$J$204*'4. Chronology'!$B$5:$B$204))))</f>
        <v/>
      </c>
      <c r="F216" s="18">
        <f>IF(NOT(ISNUMBER($E216)),"",SUMIFS('4. Chronology'!$C$5:$C$204,'4. Chronology'!$A$5:$A$204,$A216,'4. Chronology'!$B$5:$B$204,$E216))</f>
        <v/>
      </c>
      <c r="G216" s="18">
        <f>IF(NOT(ISNUMBER($E216)),"",SUMIFS('4. Chronology'!$F$5:$F$204,'4. Chronology'!$A$5:$A$204,$A216,'4. Chronology'!$B$5:$B$204,$E216))</f>
        <v/>
      </c>
      <c r="H216" s="21">
        <f>IF(OR(NOT(ISNUMBER($F216)),NOT(ISNUMBER($G216)),$F216=0),"",$G216*1000/$F216)</f>
        <v/>
      </c>
      <c r="I216" s="18">
        <f>IF(OR(NOT(ISNUMBER($H216)),NOT(ISNUMBER($D216)),$D216=0),"",$H216/$D216)</f>
        <v/>
      </c>
      <c r="J216" s="18">
        <f>IF($A216="","",IF(NOT(ISNUMBER($B216)),"No dated horizons for this core — LORCA cannot be calculated. ","")&amp;IF(AND(ISNUMBER($B216),NOT(ISNUMBER($E216))),"No Pb-210 or Cs-137 horizon — RERCA cannot be calculated. ","")&amp;IF(IFERROR(INDEX('2. Core Log'!$L$5:$L$124,MATCH($A216,'2. Core Log'!$A$5:$A$124,0)),"")="No","Core did not reach the mineral contact, so LORCA is based on a partial profile and is a MINIMUM. ","")&amp;IF(AND(ISNUMBER($I216),$I216&gt;1.2),"RERCA is "&amp;TEXT($I216,"0.0")&amp;"x LORCA. This is EXPECTED, not a finding: near-surface peat has not finished decomposing, so recent rates always look higher. Do not report it as accelerating sequestration. ","")&amp;IF(AND(ISNUMBER($D216),OR($D216&lt;LORCA_MIN,$D216&gt;LORCA_MAX)),"LORCA outside the published range of "&amp;LORCA_MIN&amp;"-"&amp;LORCA_MAX&amp;" g C/m2/yr — check the basal age and the profile carbon. ",""))</f>
        <v/>
      </c>
      <c r="K216" s="14" t="n"/>
    </row>
    <row r="217">
      <c r="A217" s="18">
        <f>IF(INDEX('2. Core Log'!$A$5:$A$124,ROW()-209)="","",INDEX('2. Core Log'!$A$5:$A$124,ROW()-209))</f>
        <v/>
      </c>
      <c r="B217" s="18">
        <f>IF($A217="","",IF(SUMPRODUCT(('4. Chronology'!$A$5:$A$204=$A217)*'4. Chronology'!$C$5:$C$204)=0,"",SUMPRODUCT(MAX(('4. Chronology'!$A$5:$A$204=$A217)*'4. Chronology'!$C$5:$C$204))))</f>
        <v/>
      </c>
      <c r="C217" s="18">
        <f>IF($A217="","",IFERROR(INDEX('2. Core Log'!$R$5:$R$124,MATCH($A217,'2. Core Log'!$A$5:$A$124,0)),""))</f>
        <v/>
      </c>
      <c r="D217" s="21">
        <f>IF(OR(NOT(ISNUMBER($B217)),NOT(ISNUMBER($C217)),$B217=0),"",$C217*1000/$B217)</f>
        <v/>
      </c>
      <c r="E217" s="18">
        <f>IF($A217="","",IF(SUMPRODUCT(('4. Chronology'!$A$5:$A$204=$A217)*'4. Chronology'!$J$5:$J$204*'4. Chronology'!$B$5:$B$204)=0,"",SUMPRODUCT(MAX(('4. Chronology'!$A$5:$A$204=$A217)*'4. Chronology'!$J$5:$J$204*'4. Chronology'!$B$5:$B$204))))</f>
        <v/>
      </c>
      <c r="F217" s="18">
        <f>IF(NOT(ISNUMBER($E217)),"",SUMIFS('4. Chronology'!$C$5:$C$204,'4. Chronology'!$A$5:$A$204,$A217,'4. Chronology'!$B$5:$B$204,$E217))</f>
        <v/>
      </c>
      <c r="G217" s="18">
        <f>IF(NOT(ISNUMBER($E217)),"",SUMIFS('4. Chronology'!$F$5:$F$204,'4. Chronology'!$A$5:$A$204,$A217,'4. Chronology'!$B$5:$B$204,$E217))</f>
        <v/>
      </c>
      <c r="H217" s="21">
        <f>IF(OR(NOT(ISNUMBER($F217)),NOT(ISNUMBER($G217)),$F217=0),"",$G217*1000/$F217)</f>
        <v/>
      </c>
      <c r="I217" s="18">
        <f>IF(OR(NOT(ISNUMBER($H217)),NOT(ISNUMBER($D217)),$D217=0),"",$H217/$D217)</f>
        <v/>
      </c>
      <c r="J217" s="18">
        <f>IF($A217="","",IF(NOT(ISNUMBER($B217)),"No dated horizons for this core — LORCA cannot be calculated. ","")&amp;IF(AND(ISNUMBER($B217),NOT(ISNUMBER($E217))),"No Pb-210 or Cs-137 horizon — RERCA cannot be calculated. ","")&amp;IF(IFERROR(INDEX('2. Core Log'!$L$5:$L$124,MATCH($A217,'2. Core Log'!$A$5:$A$124,0)),"")="No","Core did not reach the mineral contact, so LORCA is based on a partial profile and is a MINIMUM. ","")&amp;IF(AND(ISNUMBER($I217),$I217&gt;1.2),"RERCA is "&amp;TEXT($I217,"0.0")&amp;"x LORCA. This is EXPECTED, not a finding: near-surface peat has not finished decomposing, so recent rates always look higher. Do not report it as accelerating sequestration. ","")&amp;IF(AND(ISNUMBER($D217),OR($D217&lt;LORCA_MIN,$D217&gt;LORCA_MAX)),"LORCA outside the published range of "&amp;LORCA_MIN&amp;"-"&amp;LORCA_MAX&amp;" g C/m2/yr — check the basal age and the profile carbon. ",""))</f>
        <v/>
      </c>
      <c r="K217" s="14" t="n"/>
    </row>
    <row r="218">
      <c r="A218" s="18">
        <f>IF(INDEX('2. Core Log'!$A$5:$A$124,ROW()-209)="","",INDEX('2. Core Log'!$A$5:$A$124,ROW()-209))</f>
        <v/>
      </c>
      <c r="B218" s="18">
        <f>IF($A218="","",IF(SUMPRODUCT(('4. Chronology'!$A$5:$A$204=$A218)*'4. Chronology'!$C$5:$C$204)=0,"",SUMPRODUCT(MAX(('4. Chronology'!$A$5:$A$204=$A218)*'4. Chronology'!$C$5:$C$204))))</f>
        <v/>
      </c>
      <c r="C218" s="18">
        <f>IF($A218="","",IFERROR(INDEX('2. Core Log'!$R$5:$R$124,MATCH($A218,'2. Core Log'!$A$5:$A$124,0)),""))</f>
        <v/>
      </c>
      <c r="D218" s="21">
        <f>IF(OR(NOT(ISNUMBER($B218)),NOT(ISNUMBER($C218)),$B218=0),"",$C218*1000/$B218)</f>
        <v/>
      </c>
      <c r="E218" s="18">
        <f>IF($A218="","",IF(SUMPRODUCT(('4. Chronology'!$A$5:$A$204=$A218)*'4. Chronology'!$J$5:$J$204*'4. Chronology'!$B$5:$B$204)=0,"",SUMPRODUCT(MAX(('4. Chronology'!$A$5:$A$204=$A218)*'4. Chronology'!$J$5:$J$204*'4. Chronology'!$B$5:$B$204))))</f>
        <v/>
      </c>
      <c r="F218" s="18">
        <f>IF(NOT(ISNUMBER($E218)),"",SUMIFS('4. Chronology'!$C$5:$C$204,'4. Chronology'!$A$5:$A$204,$A218,'4. Chronology'!$B$5:$B$204,$E218))</f>
        <v/>
      </c>
      <c r="G218" s="18">
        <f>IF(NOT(ISNUMBER($E218)),"",SUMIFS('4. Chronology'!$F$5:$F$204,'4. Chronology'!$A$5:$A$204,$A218,'4. Chronology'!$B$5:$B$204,$E218))</f>
        <v/>
      </c>
      <c r="H218" s="21">
        <f>IF(OR(NOT(ISNUMBER($F218)),NOT(ISNUMBER($G218)),$F218=0),"",$G218*1000/$F218)</f>
        <v/>
      </c>
      <c r="I218" s="18">
        <f>IF(OR(NOT(ISNUMBER($H218)),NOT(ISNUMBER($D218)),$D218=0),"",$H218/$D218)</f>
        <v/>
      </c>
      <c r="J218" s="18">
        <f>IF($A218="","",IF(NOT(ISNUMBER($B218)),"No dated horizons for this core — LORCA cannot be calculated. ","")&amp;IF(AND(ISNUMBER($B218),NOT(ISNUMBER($E218))),"No Pb-210 or Cs-137 horizon — RERCA cannot be calculated. ","")&amp;IF(IFERROR(INDEX('2. Core Log'!$L$5:$L$124,MATCH($A218,'2. Core Log'!$A$5:$A$124,0)),"")="No","Core did not reach the mineral contact, so LORCA is based on a partial profile and is a MINIMUM. ","")&amp;IF(AND(ISNUMBER($I218),$I218&gt;1.2),"RERCA is "&amp;TEXT($I218,"0.0")&amp;"x LORCA. This is EXPECTED, not a finding: near-surface peat has not finished decomposing, so recent rates always look higher. Do not report it as accelerating sequestration. ","")&amp;IF(AND(ISNUMBER($D218),OR($D218&lt;LORCA_MIN,$D218&gt;LORCA_MAX)),"LORCA outside the published range of "&amp;LORCA_MIN&amp;"-"&amp;LORCA_MAX&amp;" g C/m2/yr — check the basal age and the profile carbon. ",""))</f>
        <v/>
      </c>
      <c r="K218" s="14" t="n"/>
    </row>
    <row r="219">
      <c r="A219" s="18">
        <f>IF(INDEX('2. Core Log'!$A$5:$A$124,ROW()-209)="","",INDEX('2. Core Log'!$A$5:$A$124,ROW()-209))</f>
        <v/>
      </c>
      <c r="B219" s="18">
        <f>IF($A219="","",IF(SUMPRODUCT(('4. Chronology'!$A$5:$A$204=$A219)*'4. Chronology'!$C$5:$C$204)=0,"",SUMPRODUCT(MAX(('4. Chronology'!$A$5:$A$204=$A219)*'4. Chronology'!$C$5:$C$204))))</f>
        <v/>
      </c>
      <c r="C219" s="18">
        <f>IF($A219="","",IFERROR(INDEX('2. Core Log'!$R$5:$R$124,MATCH($A219,'2. Core Log'!$A$5:$A$124,0)),""))</f>
        <v/>
      </c>
      <c r="D219" s="21">
        <f>IF(OR(NOT(ISNUMBER($B219)),NOT(ISNUMBER($C219)),$B219=0),"",$C219*1000/$B219)</f>
        <v/>
      </c>
      <c r="E219" s="18">
        <f>IF($A219="","",IF(SUMPRODUCT(('4. Chronology'!$A$5:$A$204=$A219)*'4. Chronology'!$J$5:$J$204*'4. Chronology'!$B$5:$B$204)=0,"",SUMPRODUCT(MAX(('4. Chronology'!$A$5:$A$204=$A219)*'4. Chronology'!$J$5:$J$204*'4. Chronology'!$B$5:$B$204))))</f>
        <v/>
      </c>
      <c r="F219" s="18">
        <f>IF(NOT(ISNUMBER($E219)),"",SUMIFS('4. Chronology'!$C$5:$C$204,'4. Chronology'!$A$5:$A$204,$A219,'4. Chronology'!$B$5:$B$204,$E219))</f>
        <v/>
      </c>
      <c r="G219" s="18">
        <f>IF(NOT(ISNUMBER($E219)),"",SUMIFS('4. Chronology'!$F$5:$F$204,'4. Chronology'!$A$5:$A$204,$A219,'4. Chronology'!$B$5:$B$204,$E219))</f>
        <v/>
      </c>
      <c r="H219" s="21">
        <f>IF(OR(NOT(ISNUMBER($F219)),NOT(ISNUMBER($G219)),$F219=0),"",$G219*1000/$F219)</f>
        <v/>
      </c>
      <c r="I219" s="18">
        <f>IF(OR(NOT(ISNUMBER($H219)),NOT(ISNUMBER($D219)),$D219=0),"",$H219/$D219)</f>
        <v/>
      </c>
      <c r="J219" s="18">
        <f>IF($A219="","",IF(NOT(ISNUMBER($B219)),"No dated horizons for this core — LORCA cannot be calculated. ","")&amp;IF(AND(ISNUMBER($B219),NOT(ISNUMBER($E219))),"No Pb-210 or Cs-137 horizon — RERCA cannot be calculated. ","")&amp;IF(IFERROR(INDEX('2. Core Log'!$L$5:$L$124,MATCH($A219,'2. Core Log'!$A$5:$A$124,0)),"")="No","Core did not reach the mineral contact, so LORCA is based on a partial profile and is a MINIMUM. ","")&amp;IF(AND(ISNUMBER($I219),$I219&gt;1.2),"RERCA is "&amp;TEXT($I219,"0.0")&amp;"x LORCA. This is EXPECTED, not a finding: near-surface peat has not finished decomposing, so recent rates always look higher. Do not report it as accelerating sequestration. ","")&amp;IF(AND(ISNUMBER($D219),OR($D219&lt;LORCA_MIN,$D219&gt;LORCA_MAX)),"LORCA outside the published range of "&amp;LORCA_MIN&amp;"-"&amp;LORCA_MAX&amp;" g C/m2/yr — check the basal age and the profile carbon. ",""))</f>
        <v/>
      </c>
      <c r="K219" s="14" t="n"/>
    </row>
    <row r="220">
      <c r="A220" s="18">
        <f>IF(INDEX('2. Core Log'!$A$5:$A$124,ROW()-209)="","",INDEX('2. Core Log'!$A$5:$A$124,ROW()-209))</f>
        <v/>
      </c>
      <c r="B220" s="18">
        <f>IF($A220="","",IF(SUMPRODUCT(('4. Chronology'!$A$5:$A$204=$A220)*'4. Chronology'!$C$5:$C$204)=0,"",SUMPRODUCT(MAX(('4. Chronology'!$A$5:$A$204=$A220)*'4. Chronology'!$C$5:$C$204))))</f>
        <v/>
      </c>
      <c r="C220" s="18">
        <f>IF($A220="","",IFERROR(INDEX('2. Core Log'!$R$5:$R$124,MATCH($A220,'2. Core Log'!$A$5:$A$124,0)),""))</f>
        <v/>
      </c>
      <c r="D220" s="21">
        <f>IF(OR(NOT(ISNUMBER($B220)),NOT(ISNUMBER($C220)),$B220=0),"",$C220*1000/$B220)</f>
        <v/>
      </c>
      <c r="E220" s="18">
        <f>IF($A220="","",IF(SUMPRODUCT(('4. Chronology'!$A$5:$A$204=$A220)*'4. Chronology'!$J$5:$J$204*'4. Chronology'!$B$5:$B$204)=0,"",SUMPRODUCT(MAX(('4. Chronology'!$A$5:$A$204=$A220)*'4. Chronology'!$J$5:$J$204*'4. Chronology'!$B$5:$B$204))))</f>
        <v/>
      </c>
      <c r="F220" s="18">
        <f>IF(NOT(ISNUMBER($E220)),"",SUMIFS('4. Chronology'!$C$5:$C$204,'4. Chronology'!$A$5:$A$204,$A220,'4. Chronology'!$B$5:$B$204,$E220))</f>
        <v/>
      </c>
      <c r="G220" s="18">
        <f>IF(NOT(ISNUMBER($E220)),"",SUMIFS('4. Chronology'!$F$5:$F$204,'4. Chronology'!$A$5:$A$204,$A220,'4. Chronology'!$B$5:$B$204,$E220))</f>
        <v/>
      </c>
      <c r="H220" s="21">
        <f>IF(OR(NOT(ISNUMBER($F220)),NOT(ISNUMBER($G220)),$F220=0),"",$G220*1000/$F220)</f>
        <v/>
      </c>
      <c r="I220" s="18">
        <f>IF(OR(NOT(ISNUMBER($H220)),NOT(ISNUMBER($D220)),$D220=0),"",$H220/$D220)</f>
        <v/>
      </c>
      <c r="J220" s="18">
        <f>IF($A220="","",IF(NOT(ISNUMBER($B220)),"No dated horizons for this core — LORCA cannot be calculated. ","")&amp;IF(AND(ISNUMBER($B220),NOT(ISNUMBER($E220))),"No Pb-210 or Cs-137 horizon — RERCA cannot be calculated. ","")&amp;IF(IFERROR(INDEX('2. Core Log'!$L$5:$L$124,MATCH($A220,'2. Core Log'!$A$5:$A$124,0)),"")="No","Core did not reach the mineral contact, so LORCA is based on a partial profile and is a MINIMUM. ","")&amp;IF(AND(ISNUMBER($I220),$I220&gt;1.2),"RERCA is "&amp;TEXT($I220,"0.0")&amp;"x LORCA. This is EXPECTED, not a finding: near-surface peat has not finished decomposing, so recent rates always look higher. Do not report it as accelerating sequestration. ","")&amp;IF(AND(ISNUMBER($D220),OR($D220&lt;LORCA_MIN,$D220&gt;LORCA_MAX)),"LORCA outside the published range of "&amp;LORCA_MIN&amp;"-"&amp;LORCA_MAX&amp;" g C/m2/yr — check the basal age and the profile carbon. ",""))</f>
        <v/>
      </c>
      <c r="K220" s="14" t="n"/>
    </row>
    <row r="221">
      <c r="A221" s="18">
        <f>IF(INDEX('2. Core Log'!$A$5:$A$124,ROW()-209)="","",INDEX('2. Core Log'!$A$5:$A$124,ROW()-209))</f>
        <v/>
      </c>
      <c r="B221" s="18">
        <f>IF($A221="","",IF(SUMPRODUCT(('4. Chronology'!$A$5:$A$204=$A221)*'4. Chronology'!$C$5:$C$204)=0,"",SUMPRODUCT(MAX(('4. Chronology'!$A$5:$A$204=$A221)*'4. Chronology'!$C$5:$C$204))))</f>
        <v/>
      </c>
      <c r="C221" s="18">
        <f>IF($A221="","",IFERROR(INDEX('2. Core Log'!$R$5:$R$124,MATCH($A221,'2. Core Log'!$A$5:$A$124,0)),""))</f>
        <v/>
      </c>
      <c r="D221" s="21">
        <f>IF(OR(NOT(ISNUMBER($B221)),NOT(ISNUMBER($C221)),$B221=0),"",$C221*1000/$B221)</f>
        <v/>
      </c>
      <c r="E221" s="18">
        <f>IF($A221="","",IF(SUMPRODUCT(('4. Chronology'!$A$5:$A$204=$A221)*'4. Chronology'!$J$5:$J$204*'4. Chronology'!$B$5:$B$204)=0,"",SUMPRODUCT(MAX(('4. Chronology'!$A$5:$A$204=$A221)*'4. Chronology'!$J$5:$J$204*'4. Chronology'!$B$5:$B$204))))</f>
        <v/>
      </c>
      <c r="F221" s="18">
        <f>IF(NOT(ISNUMBER($E221)),"",SUMIFS('4. Chronology'!$C$5:$C$204,'4. Chronology'!$A$5:$A$204,$A221,'4. Chronology'!$B$5:$B$204,$E221))</f>
        <v/>
      </c>
      <c r="G221" s="18">
        <f>IF(NOT(ISNUMBER($E221)),"",SUMIFS('4. Chronology'!$F$5:$F$204,'4. Chronology'!$A$5:$A$204,$A221,'4. Chronology'!$B$5:$B$204,$E221))</f>
        <v/>
      </c>
      <c r="H221" s="21">
        <f>IF(OR(NOT(ISNUMBER($F221)),NOT(ISNUMBER($G221)),$F221=0),"",$G221*1000/$F221)</f>
        <v/>
      </c>
      <c r="I221" s="18">
        <f>IF(OR(NOT(ISNUMBER($H221)),NOT(ISNUMBER($D221)),$D221=0),"",$H221/$D221)</f>
        <v/>
      </c>
      <c r="J221" s="18">
        <f>IF($A221="","",IF(NOT(ISNUMBER($B221)),"No dated horizons for this core — LORCA cannot be calculated. ","")&amp;IF(AND(ISNUMBER($B221),NOT(ISNUMBER($E221))),"No Pb-210 or Cs-137 horizon — RERCA cannot be calculated. ","")&amp;IF(IFERROR(INDEX('2. Core Log'!$L$5:$L$124,MATCH($A221,'2. Core Log'!$A$5:$A$124,0)),"")="No","Core did not reach the mineral contact, so LORCA is based on a partial profile and is a MINIMUM. ","")&amp;IF(AND(ISNUMBER($I221),$I221&gt;1.2),"RERCA is "&amp;TEXT($I221,"0.0")&amp;"x LORCA. This is EXPECTED, not a finding: near-surface peat has not finished decomposing, so recent rates always look higher. Do not report it as accelerating sequestration. ","")&amp;IF(AND(ISNUMBER($D221),OR($D221&lt;LORCA_MIN,$D221&gt;LORCA_MAX)),"LORCA outside the published range of "&amp;LORCA_MIN&amp;"-"&amp;LORCA_MAX&amp;" g C/m2/yr — check the basal age and the profile carbon. ",""))</f>
        <v/>
      </c>
      <c r="K221" s="14" t="n"/>
    </row>
    <row r="222">
      <c r="A222" s="18">
        <f>IF(INDEX('2. Core Log'!$A$5:$A$124,ROW()-209)="","",INDEX('2. Core Log'!$A$5:$A$124,ROW()-209))</f>
        <v/>
      </c>
      <c r="B222" s="18">
        <f>IF($A222="","",IF(SUMPRODUCT(('4. Chronology'!$A$5:$A$204=$A222)*'4. Chronology'!$C$5:$C$204)=0,"",SUMPRODUCT(MAX(('4. Chronology'!$A$5:$A$204=$A222)*'4. Chronology'!$C$5:$C$204))))</f>
        <v/>
      </c>
      <c r="C222" s="18">
        <f>IF($A222="","",IFERROR(INDEX('2. Core Log'!$R$5:$R$124,MATCH($A222,'2. Core Log'!$A$5:$A$124,0)),""))</f>
        <v/>
      </c>
      <c r="D222" s="21">
        <f>IF(OR(NOT(ISNUMBER($B222)),NOT(ISNUMBER($C222)),$B222=0),"",$C222*1000/$B222)</f>
        <v/>
      </c>
      <c r="E222" s="18">
        <f>IF($A222="","",IF(SUMPRODUCT(('4. Chronology'!$A$5:$A$204=$A222)*'4. Chronology'!$J$5:$J$204*'4. Chronology'!$B$5:$B$204)=0,"",SUMPRODUCT(MAX(('4. Chronology'!$A$5:$A$204=$A222)*'4. Chronology'!$J$5:$J$204*'4. Chronology'!$B$5:$B$204))))</f>
        <v/>
      </c>
      <c r="F222" s="18">
        <f>IF(NOT(ISNUMBER($E222)),"",SUMIFS('4. Chronology'!$C$5:$C$204,'4. Chronology'!$A$5:$A$204,$A222,'4. Chronology'!$B$5:$B$204,$E222))</f>
        <v/>
      </c>
      <c r="G222" s="18">
        <f>IF(NOT(ISNUMBER($E222)),"",SUMIFS('4. Chronology'!$F$5:$F$204,'4. Chronology'!$A$5:$A$204,$A222,'4. Chronology'!$B$5:$B$204,$E222))</f>
        <v/>
      </c>
      <c r="H222" s="21">
        <f>IF(OR(NOT(ISNUMBER($F222)),NOT(ISNUMBER($G222)),$F222=0),"",$G222*1000/$F222)</f>
        <v/>
      </c>
      <c r="I222" s="18">
        <f>IF(OR(NOT(ISNUMBER($H222)),NOT(ISNUMBER($D222)),$D222=0),"",$H222/$D222)</f>
        <v/>
      </c>
      <c r="J222" s="18">
        <f>IF($A222="","",IF(NOT(ISNUMBER($B222)),"No dated horizons for this core — LORCA cannot be calculated. ","")&amp;IF(AND(ISNUMBER($B222),NOT(ISNUMBER($E222))),"No Pb-210 or Cs-137 horizon — RERCA cannot be calculated. ","")&amp;IF(IFERROR(INDEX('2. Core Log'!$L$5:$L$124,MATCH($A222,'2. Core Log'!$A$5:$A$124,0)),"")="No","Core did not reach the mineral contact, so LORCA is based on a partial profile and is a MINIMUM. ","")&amp;IF(AND(ISNUMBER($I222),$I222&gt;1.2),"RERCA is "&amp;TEXT($I222,"0.0")&amp;"x LORCA. This is EXPECTED, not a finding: near-surface peat has not finished decomposing, so recent rates always look higher. Do not report it as accelerating sequestration. ","")&amp;IF(AND(ISNUMBER($D222),OR($D222&lt;LORCA_MIN,$D222&gt;LORCA_MAX)),"LORCA outside the published range of "&amp;LORCA_MIN&amp;"-"&amp;LORCA_MAX&amp;" g C/m2/yr — check the basal age and the profile carbon. ",""))</f>
        <v/>
      </c>
      <c r="K222" s="14" t="n"/>
    </row>
    <row r="223">
      <c r="A223" s="18">
        <f>IF(INDEX('2. Core Log'!$A$5:$A$124,ROW()-209)="","",INDEX('2. Core Log'!$A$5:$A$124,ROW()-209))</f>
        <v/>
      </c>
      <c r="B223" s="18">
        <f>IF($A223="","",IF(SUMPRODUCT(('4. Chronology'!$A$5:$A$204=$A223)*'4. Chronology'!$C$5:$C$204)=0,"",SUMPRODUCT(MAX(('4. Chronology'!$A$5:$A$204=$A223)*'4. Chronology'!$C$5:$C$204))))</f>
        <v/>
      </c>
      <c r="C223" s="18">
        <f>IF($A223="","",IFERROR(INDEX('2. Core Log'!$R$5:$R$124,MATCH($A223,'2. Core Log'!$A$5:$A$124,0)),""))</f>
        <v/>
      </c>
      <c r="D223" s="21">
        <f>IF(OR(NOT(ISNUMBER($B223)),NOT(ISNUMBER($C223)),$B223=0),"",$C223*1000/$B223)</f>
        <v/>
      </c>
      <c r="E223" s="18">
        <f>IF($A223="","",IF(SUMPRODUCT(('4. Chronology'!$A$5:$A$204=$A223)*'4. Chronology'!$J$5:$J$204*'4. Chronology'!$B$5:$B$204)=0,"",SUMPRODUCT(MAX(('4. Chronology'!$A$5:$A$204=$A223)*'4. Chronology'!$J$5:$J$204*'4. Chronology'!$B$5:$B$204))))</f>
        <v/>
      </c>
      <c r="F223" s="18">
        <f>IF(NOT(ISNUMBER($E223)),"",SUMIFS('4. Chronology'!$C$5:$C$204,'4. Chronology'!$A$5:$A$204,$A223,'4. Chronology'!$B$5:$B$204,$E223))</f>
        <v/>
      </c>
      <c r="G223" s="18">
        <f>IF(NOT(ISNUMBER($E223)),"",SUMIFS('4. Chronology'!$F$5:$F$204,'4. Chronology'!$A$5:$A$204,$A223,'4. Chronology'!$B$5:$B$204,$E223))</f>
        <v/>
      </c>
      <c r="H223" s="21">
        <f>IF(OR(NOT(ISNUMBER($F223)),NOT(ISNUMBER($G223)),$F223=0),"",$G223*1000/$F223)</f>
        <v/>
      </c>
      <c r="I223" s="18">
        <f>IF(OR(NOT(ISNUMBER($H223)),NOT(ISNUMBER($D223)),$D223=0),"",$H223/$D223)</f>
        <v/>
      </c>
      <c r="J223" s="18">
        <f>IF($A223="","",IF(NOT(ISNUMBER($B223)),"No dated horizons for this core — LORCA cannot be calculated. ","")&amp;IF(AND(ISNUMBER($B223),NOT(ISNUMBER($E223))),"No Pb-210 or Cs-137 horizon — RERCA cannot be calculated. ","")&amp;IF(IFERROR(INDEX('2. Core Log'!$L$5:$L$124,MATCH($A223,'2. Core Log'!$A$5:$A$124,0)),"")="No","Core did not reach the mineral contact, so LORCA is based on a partial profile and is a MINIMUM. ","")&amp;IF(AND(ISNUMBER($I223),$I223&gt;1.2),"RERCA is "&amp;TEXT($I223,"0.0")&amp;"x LORCA. This is EXPECTED, not a finding: near-surface peat has not finished decomposing, so recent rates always look higher. Do not report it as accelerating sequestration. ","")&amp;IF(AND(ISNUMBER($D223),OR($D223&lt;LORCA_MIN,$D223&gt;LORCA_MAX)),"LORCA outside the published range of "&amp;LORCA_MIN&amp;"-"&amp;LORCA_MAX&amp;" g C/m2/yr — check the basal age and the profile carbon. ",""))</f>
        <v/>
      </c>
      <c r="K223" s="14" t="n"/>
    </row>
    <row r="224">
      <c r="A224" s="18">
        <f>IF(INDEX('2. Core Log'!$A$5:$A$124,ROW()-209)="","",INDEX('2. Core Log'!$A$5:$A$124,ROW()-209))</f>
        <v/>
      </c>
      <c r="B224" s="18">
        <f>IF($A224="","",IF(SUMPRODUCT(('4. Chronology'!$A$5:$A$204=$A224)*'4. Chronology'!$C$5:$C$204)=0,"",SUMPRODUCT(MAX(('4. Chronology'!$A$5:$A$204=$A224)*'4. Chronology'!$C$5:$C$204))))</f>
        <v/>
      </c>
      <c r="C224" s="18">
        <f>IF($A224="","",IFERROR(INDEX('2. Core Log'!$R$5:$R$124,MATCH($A224,'2. Core Log'!$A$5:$A$124,0)),""))</f>
        <v/>
      </c>
      <c r="D224" s="21">
        <f>IF(OR(NOT(ISNUMBER($B224)),NOT(ISNUMBER($C224)),$B224=0),"",$C224*1000/$B224)</f>
        <v/>
      </c>
      <c r="E224" s="18">
        <f>IF($A224="","",IF(SUMPRODUCT(('4. Chronology'!$A$5:$A$204=$A224)*'4. Chronology'!$J$5:$J$204*'4. Chronology'!$B$5:$B$204)=0,"",SUMPRODUCT(MAX(('4. Chronology'!$A$5:$A$204=$A224)*'4. Chronology'!$J$5:$J$204*'4. Chronology'!$B$5:$B$204))))</f>
        <v/>
      </c>
      <c r="F224" s="18">
        <f>IF(NOT(ISNUMBER($E224)),"",SUMIFS('4. Chronology'!$C$5:$C$204,'4. Chronology'!$A$5:$A$204,$A224,'4. Chronology'!$B$5:$B$204,$E224))</f>
        <v/>
      </c>
      <c r="G224" s="18">
        <f>IF(NOT(ISNUMBER($E224)),"",SUMIFS('4. Chronology'!$F$5:$F$204,'4. Chronology'!$A$5:$A$204,$A224,'4. Chronology'!$B$5:$B$204,$E224))</f>
        <v/>
      </c>
      <c r="H224" s="21">
        <f>IF(OR(NOT(ISNUMBER($F224)),NOT(ISNUMBER($G224)),$F224=0),"",$G224*1000/$F224)</f>
        <v/>
      </c>
      <c r="I224" s="18">
        <f>IF(OR(NOT(ISNUMBER($H224)),NOT(ISNUMBER($D224)),$D224=0),"",$H224/$D224)</f>
        <v/>
      </c>
      <c r="J224" s="18">
        <f>IF($A224="","",IF(NOT(ISNUMBER($B224)),"No dated horizons for this core — LORCA cannot be calculated. ","")&amp;IF(AND(ISNUMBER($B224),NOT(ISNUMBER($E224))),"No Pb-210 or Cs-137 horizon — RERCA cannot be calculated. ","")&amp;IF(IFERROR(INDEX('2. Core Log'!$L$5:$L$124,MATCH($A224,'2. Core Log'!$A$5:$A$124,0)),"")="No","Core did not reach the mineral contact, so LORCA is based on a partial profile and is a MINIMUM. ","")&amp;IF(AND(ISNUMBER($I224),$I224&gt;1.2),"RERCA is "&amp;TEXT($I224,"0.0")&amp;"x LORCA. This is EXPECTED, not a finding: near-surface peat has not finished decomposing, so recent rates always look higher. Do not report it as accelerating sequestration. ","")&amp;IF(AND(ISNUMBER($D224),OR($D224&lt;LORCA_MIN,$D224&gt;LORCA_MAX)),"LORCA outside the published range of "&amp;LORCA_MIN&amp;"-"&amp;LORCA_MAX&amp;" g C/m2/yr — check the basal age and the profile carbon. ",""))</f>
        <v/>
      </c>
      <c r="K224" s="14" t="n"/>
    </row>
    <row r="225">
      <c r="A225" s="18">
        <f>IF(INDEX('2. Core Log'!$A$5:$A$124,ROW()-209)="","",INDEX('2. Core Log'!$A$5:$A$124,ROW()-209))</f>
        <v/>
      </c>
      <c r="B225" s="18">
        <f>IF($A225="","",IF(SUMPRODUCT(('4. Chronology'!$A$5:$A$204=$A225)*'4. Chronology'!$C$5:$C$204)=0,"",SUMPRODUCT(MAX(('4. Chronology'!$A$5:$A$204=$A225)*'4. Chronology'!$C$5:$C$204))))</f>
        <v/>
      </c>
      <c r="C225" s="18">
        <f>IF($A225="","",IFERROR(INDEX('2. Core Log'!$R$5:$R$124,MATCH($A225,'2. Core Log'!$A$5:$A$124,0)),""))</f>
        <v/>
      </c>
      <c r="D225" s="21">
        <f>IF(OR(NOT(ISNUMBER($B225)),NOT(ISNUMBER($C225)),$B225=0),"",$C225*1000/$B225)</f>
        <v/>
      </c>
      <c r="E225" s="18">
        <f>IF($A225="","",IF(SUMPRODUCT(('4. Chronology'!$A$5:$A$204=$A225)*'4. Chronology'!$J$5:$J$204*'4. Chronology'!$B$5:$B$204)=0,"",SUMPRODUCT(MAX(('4. Chronology'!$A$5:$A$204=$A225)*'4. Chronology'!$J$5:$J$204*'4. Chronology'!$B$5:$B$204))))</f>
        <v/>
      </c>
      <c r="F225" s="18">
        <f>IF(NOT(ISNUMBER($E225)),"",SUMIFS('4. Chronology'!$C$5:$C$204,'4. Chronology'!$A$5:$A$204,$A225,'4. Chronology'!$B$5:$B$204,$E225))</f>
        <v/>
      </c>
      <c r="G225" s="18">
        <f>IF(NOT(ISNUMBER($E225)),"",SUMIFS('4. Chronology'!$F$5:$F$204,'4. Chronology'!$A$5:$A$204,$A225,'4. Chronology'!$B$5:$B$204,$E225))</f>
        <v/>
      </c>
      <c r="H225" s="21">
        <f>IF(OR(NOT(ISNUMBER($F225)),NOT(ISNUMBER($G225)),$F225=0),"",$G225*1000/$F225)</f>
        <v/>
      </c>
      <c r="I225" s="18">
        <f>IF(OR(NOT(ISNUMBER($H225)),NOT(ISNUMBER($D225)),$D225=0),"",$H225/$D225)</f>
        <v/>
      </c>
      <c r="J225" s="18">
        <f>IF($A225="","",IF(NOT(ISNUMBER($B225)),"No dated horizons for this core — LORCA cannot be calculated. ","")&amp;IF(AND(ISNUMBER($B225),NOT(ISNUMBER($E225))),"No Pb-210 or Cs-137 horizon — RERCA cannot be calculated. ","")&amp;IF(IFERROR(INDEX('2. Core Log'!$L$5:$L$124,MATCH($A225,'2. Core Log'!$A$5:$A$124,0)),"")="No","Core did not reach the mineral contact, so LORCA is based on a partial profile and is a MINIMUM. ","")&amp;IF(AND(ISNUMBER($I225),$I225&gt;1.2),"RERCA is "&amp;TEXT($I225,"0.0")&amp;"x LORCA. This is EXPECTED, not a finding: near-surface peat has not finished decomposing, so recent rates always look higher. Do not report it as accelerating sequestration. ","")&amp;IF(AND(ISNUMBER($D225),OR($D225&lt;LORCA_MIN,$D225&gt;LORCA_MAX)),"LORCA outside the published range of "&amp;LORCA_MIN&amp;"-"&amp;LORCA_MAX&amp;" g C/m2/yr — check the basal age and the profile carbon. ",""))</f>
        <v/>
      </c>
      <c r="K225" s="14" t="n"/>
    </row>
    <row r="226">
      <c r="A226" s="18">
        <f>IF(INDEX('2. Core Log'!$A$5:$A$124,ROW()-209)="","",INDEX('2. Core Log'!$A$5:$A$124,ROW()-209))</f>
        <v/>
      </c>
      <c r="B226" s="18">
        <f>IF($A226="","",IF(SUMPRODUCT(('4. Chronology'!$A$5:$A$204=$A226)*'4. Chronology'!$C$5:$C$204)=0,"",SUMPRODUCT(MAX(('4. Chronology'!$A$5:$A$204=$A226)*'4. Chronology'!$C$5:$C$204))))</f>
        <v/>
      </c>
      <c r="C226" s="18">
        <f>IF($A226="","",IFERROR(INDEX('2. Core Log'!$R$5:$R$124,MATCH($A226,'2. Core Log'!$A$5:$A$124,0)),""))</f>
        <v/>
      </c>
      <c r="D226" s="21">
        <f>IF(OR(NOT(ISNUMBER($B226)),NOT(ISNUMBER($C226)),$B226=0),"",$C226*1000/$B226)</f>
        <v/>
      </c>
      <c r="E226" s="18">
        <f>IF($A226="","",IF(SUMPRODUCT(('4. Chronology'!$A$5:$A$204=$A226)*'4. Chronology'!$J$5:$J$204*'4. Chronology'!$B$5:$B$204)=0,"",SUMPRODUCT(MAX(('4. Chronology'!$A$5:$A$204=$A226)*'4. Chronology'!$J$5:$J$204*'4. Chronology'!$B$5:$B$204))))</f>
        <v/>
      </c>
      <c r="F226" s="18">
        <f>IF(NOT(ISNUMBER($E226)),"",SUMIFS('4. Chronology'!$C$5:$C$204,'4. Chronology'!$A$5:$A$204,$A226,'4. Chronology'!$B$5:$B$204,$E226))</f>
        <v/>
      </c>
      <c r="G226" s="18">
        <f>IF(NOT(ISNUMBER($E226)),"",SUMIFS('4. Chronology'!$F$5:$F$204,'4. Chronology'!$A$5:$A$204,$A226,'4. Chronology'!$B$5:$B$204,$E226))</f>
        <v/>
      </c>
      <c r="H226" s="21">
        <f>IF(OR(NOT(ISNUMBER($F226)),NOT(ISNUMBER($G226)),$F226=0),"",$G226*1000/$F226)</f>
        <v/>
      </c>
      <c r="I226" s="18">
        <f>IF(OR(NOT(ISNUMBER($H226)),NOT(ISNUMBER($D226)),$D226=0),"",$H226/$D226)</f>
        <v/>
      </c>
      <c r="J226" s="18">
        <f>IF($A226="","",IF(NOT(ISNUMBER($B226)),"No dated horizons for this core — LORCA cannot be calculated. ","")&amp;IF(AND(ISNUMBER($B226),NOT(ISNUMBER($E226))),"No Pb-210 or Cs-137 horizon — RERCA cannot be calculated. ","")&amp;IF(IFERROR(INDEX('2. Core Log'!$L$5:$L$124,MATCH($A226,'2. Core Log'!$A$5:$A$124,0)),"")="No","Core did not reach the mineral contact, so LORCA is based on a partial profile and is a MINIMUM. ","")&amp;IF(AND(ISNUMBER($I226),$I226&gt;1.2),"RERCA is "&amp;TEXT($I226,"0.0")&amp;"x LORCA. This is EXPECTED, not a finding: near-surface peat has not finished decomposing, so recent rates always look higher. Do not report it as accelerating sequestration. ","")&amp;IF(AND(ISNUMBER($D226),OR($D226&lt;LORCA_MIN,$D226&gt;LORCA_MAX)),"LORCA outside the published range of "&amp;LORCA_MIN&amp;"-"&amp;LORCA_MAX&amp;" g C/m2/yr — check the basal age and the profile carbon. ",""))</f>
        <v/>
      </c>
      <c r="K226" s="14" t="n"/>
    </row>
    <row r="227">
      <c r="A227" s="18">
        <f>IF(INDEX('2. Core Log'!$A$5:$A$124,ROW()-209)="","",INDEX('2. Core Log'!$A$5:$A$124,ROW()-209))</f>
        <v/>
      </c>
      <c r="B227" s="18">
        <f>IF($A227="","",IF(SUMPRODUCT(('4. Chronology'!$A$5:$A$204=$A227)*'4. Chronology'!$C$5:$C$204)=0,"",SUMPRODUCT(MAX(('4. Chronology'!$A$5:$A$204=$A227)*'4. Chronology'!$C$5:$C$204))))</f>
        <v/>
      </c>
      <c r="C227" s="18">
        <f>IF($A227="","",IFERROR(INDEX('2. Core Log'!$R$5:$R$124,MATCH($A227,'2. Core Log'!$A$5:$A$124,0)),""))</f>
        <v/>
      </c>
      <c r="D227" s="21">
        <f>IF(OR(NOT(ISNUMBER($B227)),NOT(ISNUMBER($C227)),$B227=0),"",$C227*1000/$B227)</f>
        <v/>
      </c>
      <c r="E227" s="18">
        <f>IF($A227="","",IF(SUMPRODUCT(('4. Chronology'!$A$5:$A$204=$A227)*'4. Chronology'!$J$5:$J$204*'4. Chronology'!$B$5:$B$204)=0,"",SUMPRODUCT(MAX(('4. Chronology'!$A$5:$A$204=$A227)*'4. Chronology'!$J$5:$J$204*'4. Chronology'!$B$5:$B$204))))</f>
        <v/>
      </c>
      <c r="F227" s="18">
        <f>IF(NOT(ISNUMBER($E227)),"",SUMIFS('4. Chronology'!$C$5:$C$204,'4. Chronology'!$A$5:$A$204,$A227,'4. Chronology'!$B$5:$B$204,$E227))</f>
        <v/>
      </c>
      <c r="G227" s="18">
        <f>IF(NOT(ISNUMBER($E227)),"",SUMIFS('4. Chronology'!$F$5:$F$204,'4. Chronology'!$A$5:$A$204,$A227,'4. Chronology'!$B$5:$B$204,$E227))</f>
        <v/>
      </c>
      <c r="H227" s="21">
        <f>IF(OR(NOT(ISNUMBER($F227)),NOT(ISNUMBER($G227)),$F227=0),"",$G227*1000/$F227)</f>
        <v/>
      </c>
      <c r="I227" s="18">
        <f>IF(OR(NOT(ISNUMBER($H227)),NOT(ISNUMBER($D227)),$D227=0),"",$H227/$D227)</f>
        <v/>
      </c>
      <c r="J227" s="18">
        <f>IF($A227="","",IF(NOT(ISNUMBER($B227)),"No dated horizons for this core — LORCA cannot be calculated. ","")&amp;IF(AND(ISNUMBER($B227),NOT(ISNUMBER($E227))),"No Pb-210 or Cs-137 horizon — RERCA cannot be calculated. ","")&amp;IF(IFERROR(INDEX('2. Core Log'!$L$5:$L$124,MATCH($A227,'2. Core Log'!$A$5:$A$124,0)),"")="No","Core did not reach the mineral contact, so LORCA is based on a partial profile and is a MINIMUM. ","")&amp;IF(AND(ISNUMBER($I227),$I227&gt;1.2),"RERCA is "&amp;TEXT($I227,"0.0")&amp;"x LORCA. This is EXPECTED, not a finding: near-surface peat has not finished decomposing, so recent rates always look higher. Do not report it as accelerating sequestration. ","")&amp;IF(AND(ISNUMBER($D227),OR($D227&lt;LORCA_MIN,$D227&gt;LORCA_MAX)),"LORCA outside the published range of "&amp;LORCA_MIN&amp;"-"&amp;LORCA_MAX&amp;" g C/m2/yr — check the basal age and the profile carbon. ",""))</f>
        <v/>
      </c>
      <c r="K227" s="14" t="n"/>
    </row>
    <row r="228">
      <c r="A228" s="18">
        <f>IF(INDEX('2. Core Log'!$A$5:$A$124,ROW()-209)="","",INDEX('2. Core Log'!$A$5:$A$124,ROW()-209))</f>
        <v/>
      </c>
      <c r="B228" s="18">
        <f>IF($A228="","",IF(SUMPRODUCT(('4. Chronology'!$A$5:$A$204=$A228)*'4. Chronology'!$C$5:$C$204)=0,"",SUMPRODUCT(MAX(('4. Chronology'!$A$5:$A$204=$A228)*'4. Chronology'!$C$5:$C$204))))</f>
        <v/>
      </c>
      <c r="C228" s="18">
        <f>IF($A228="","",IFERROR(INDEX('2. Core Log'!$R$5:$R$124,MATCH($A228,'2. Core Log'!$A$5:$A$124,0)),""))</f>
        <v/>
      </c>
      <c r="D228" s="21">
        <f>IF(OR(NOT(ISNUMBER($B228)),NOT(ISNUMBER($C228)),$B228=0),"",$C228*1000/$B228)</f>
        <v/>
      </c>
      <c r="E228" s="18">
        <f>IF($A228="","",IF(SUMPRODUCT(('4. Chronology'!$A$5:$A$204=$A228)*'4. Chronology'!$J$5:$J$204*'4. Chronology'!$B$5:$B$204)=0,"",SUMPRODUCT(MAX(('4. Chronology'!$A$5:$A$204=$A228)*'4. Chronology'!$J$5:$J$204*'4. Chronology'!$B$5:$B$204))))</f>
        <v/>
      </c>
      <c r="F228" s="18">
        <f>IF(NOT(ISNUMBER($E228)),"",SUMIFS('4. Chronology'!$C$5:$C$204,'4. Chronology'!$A$5:$A$204,$A228,'4. Chronology'!$B$5:$B$204,$E228))</f>
        <v/>
      </c>
      <c r="G228" s="18">
        <f>IF(NOT(ISNUMBER($E228)),"",SUMIFS('4. Chronology'!$F$5:$F$204,'4. Chronology'!$A$5:$A$204,$A228,'4. Chronology'!$B$5:$B$204,$E228))</f>
        <v/>
      </c>
      <c r="H228" s="21">
        <f>IF(OR(NOT(ISNUMBER($F228)),NOT(ISNUMBER($G228)),$F228=0),"",$G228*1000/$F228)</f>
        <v/>
      </c>
      <c r="I228" s="18">
        <f>IF(OR(NOT(ISNUMBER($H228)),NOT(ISNUMBER($D228)),$D228=0),"",$H228/$D228)</f>
        <v/>
      </c>
      <c r="J228" s="18">
        <f>IF($A228="","",IF(NOT(ISNUMBER($B228)),"No dated horizons for this core — LORCA cannot be calculated. ","")&amp;IF(AND(ISNUMBER($B228),NOT(ISNUMBER($E228))),"No Pb-210 or Cs-137 horizon — RERCA cannot be calculated. ","")&amp;IF(IFERROR(INDEX('2. Core Log'!$L$5:$L$124,MATCH($A228,'2. Core Log'!$A$5:$A$124,0)),"")="No","Core did not reach the mineral contact, so LORCA is based on a partial profile and is a MINIMUM. ","")&amp;IF(AND(ISNUMBER($I228),$I228&gt;1.2),"RERCA is "&amp;TEXT($I228,"0.0")&amp;"x LORCA. This is EXPECTED, not a finding: near-surface peat has not finished decomposing, so recent rates always look higher. Do not report it as accelerating sequestration. ","")&amp;IF(AND(ISNUMBER($D228),OR($D228&lt;LORCA_MIN,$D228&gt;LORCA_MAX)),"LORCA outside the published range of "&amp;LORCA_MIN&amp;"-"&amp;LORCA_MAX&amp;" g C/m2/yr — check the basal age and the profile carbon. ",""))</f>
        <v/>
      </c>
      <c r="K228" s="14" t="n"/>
    </row>
    <row r="229">
      <c r="A229" s="18">
        <f>IF(INDEX('2. Core Log'!$A$5:$A$124,ROW()-209)="","",INDEX('2. Core Log'!$A$5:$A$124,ROW()-209))</f>
        <v/>
      </c>
      <c r="B229" s="18">
        <f>IF($A229="","",IF(SUMPRODUCT(('4. Chronology'!$A$5:$A$204=$A229)*'4. Chronology'!$C$5:$C$204)=0,"",SUMPRODUCT(MAX(('4. Chronology'!$A$5:$A$204=$A229)*'4. Chronology'!$C$5:$C$204))))</f>
        <v/>
      </c>
      <c r="C229" s="18">
        <f>IF($A229="","",IFERROR(INDEX('2. Core Log'!$R$5:$R$124,MATCH($A229,'2. Core Log'!$A$5:$A$124,0)),""))</f>
        <v/>
      </c>
      <c r="D229" s="21">
        <f>IF(OR(NOT(ISNUMBER($B229)),NOT(ISNUMBER($C229)),$B229=0),"",$C229*1000/$B229)</f>
        <v/>
      </c>
      <c r="E229" s="18">
        <f>IF($A229="","",IF(SUMPRODUCT(('4. Chronology'!$A$5:$A$204=$A229)*'4. Chronology'!$J$5:$J$204*'4. Chronology'!$B$5:$B$204)=0,"",SUMPRODUCT(MAX(('4. Chronology'!$A$5:$A$204=$A229)*'4. Chronology'!$J$5:$J$204*'4. Chronology'!$B$5:$B$204))))</f>
        <v/>
      </c>
      <c r="F229" s="18">
        <f>IF(NOT(ISNUMBER($E229)),"",SUMIFS('4. Chronology'!$C$5:$C$204,'4. Chronology'!$A$5:$A$204,$A229,'4. Chronology'!$B$5:$B$204,$E229))</f>
        <v/>
      </c>
      <c r="G229" s="18">
        <f>IF(NOT(ISNUMBER($E229)),"",SUMIFS('4. Chronology'!$F$5:$F$204,'4. Chronology'!$A$5:$A$204,$A229,'4. Chronology'!$B$5:$B$204,$E229))</f>
        <v/>
      </c>
      <c r="H229" s="21">
        <f>IF(OR(NOT(ISNUMBER($F229)),NOT(ISNUMBER($G229)),$F229=0),"",$G229*1000/$F229)</f>
        <v/>
      </c>
      <c r="I229" s="18">
        <f>IF(OR(NOT(ISNUMBER($H229)),NOT(ISNUMBER($D229)),$D229=0),"",$H229/$D229)</f>
        <v/>
      </c>
      <c r="J229" s="18">
        <f>IF($A229="","",IF(NOT(ISNUMBER($B229)),"No dated horizons for this core — LORCA cannot be calculated. ","")&amp;IF(AND(ISNUMBER($B229),NOT(ISNUMBER($E229))),"No Pb-210 or Cs-137 horizon — RERCA cannot be calculated. ","")&amp;IF(IFERROR(INDEX('2. Core Log'!$L$5:$L$124,MATCH($A229,'2. Core Log'!$A$5:$A$124,0)),"")="No","Core did not reach the mineral contact, so LORCA is based on a partial profile and is a MINIMUM. ","")&amp;IF(AND(ISNUMBER($I229),$I229&gt;1.2),"RERCA is "&amp;TEXT($I229,"0.0")&amp;"x LORCA. This is EXPECTED, not a finding: near-surface peat has not finished decomposing, so recent rates always look higher. Do not report it as accelerating sequestration. ","")&amp;IF(AND(ISNUMBER($D229),OR($D229&lt;LORCA_MIN,$D229&gt;LORCA_MAX)),"LORCA outside the published range of "&amp;LORCA_MIN&amp;"-"&amp;LORCA_MAX&amp;" g C/m2/yr — check the basal age and the profile carbon. ",""))</f>
        <v/>
      </c>
      <c r="K229" s="14" t="n"/>
    </row>
    <row r="230">
      <c r="A230" s="18">
        <f>IF(INDEX('2. Core Log'!$A$5:$A$124,ROW()-209)="","",INDEX('2. Core Log'!$A$5:$A$124,ROW()-209))</f>
        <v/>
      </c>
      <c r="B230" s="18">
        <f>IF($A230="","",IF(SUMPRODUCT(('4. Chronology'!$A$5:$A$204=$A230)*'4. Chronology'!$C$5:$C$204)=0,"",SUMPRODUCT(MAX(('4. Chronology'!$A$5:$A$204=$A230)*'4. Chronology'!$C$5:$C$204))))</f>
        <v/>
      </c>
      <c r="C230" s="18">
        <f>IF($A230="","",IFERROR(INDEX('2. Core Log'!$R$5:$R$124,MATCH($A230,'2. Core Log'!$A$5:$A$124,0)),""))</f>
        <v/>
      </c>
      <c r="D230" s="21">
        <f>IF(OR(NOT(ISNUMBER($B230)),NOT(ISNUMBER($C230)),$B230=0),"",$C230*1000/$B230)</f>
        <v/>
      </c>
      <c r="E230" s="18">
        <f>IF($A230="","",IF(SUMPRODUCT(('4. Chronology'!$A$5:$A$204=$A230)*'4. Chronology'!$J$5:$J$204*'4. Chronology'!$B$5:$B$204)=0,"",SUMPRODUCT(MAX(('4. Chronology'!$A$5:$A$204=$A230)*'4. Chronology'!$J$5:$J$204*'4. Chronology'!$B$5:$B$204))))</f>
        <v/>
      </c>
      <c r="F230" s="18">
        <f>IF(NOT(ISNUMBER($E230)),"",SUMIFS('4. Chronology'!$C$5:$C$204,'4. Chronology'!$A$5:$A$204,$A230,'4. Chronology'!$B$5:$B$204,$E230))</f>
        <v/>
      </c>
      <c r="G230" s="18">
        <f>IF(NOT(ISNUMBER($E230)),"",SUMIFS('4. Chronology'!$F$5:$F$204,'4. Chronology'!$A$5:$A$204,$A230,'4. Chronology'!$B$5:$B$204,$E230))</f>
        <v/>
      </c>
      <c r="H230" s="21">
        <f>IF(OR(NOT(ISNUMBER($F230)),NOT(ISNUMBER($G230)),$F230=0),"",$G230*1000/$F230)</f>
        <v/>
      </c>
      <c r="I230" s="18">
        <f>IF(OR(NOT(ISNUMBER($H230)),NOT(ISNUMBER($D230)),$D230=0),"",$H230/$D230)</f>
        <v/>
      </c>
      <c r="J230" s="18">
        <f>IF($A230="","",IF(NOT(ISNUMBER($B230)),"No dated horizons for this core — LORCA cannot be calculated. ","")&amp;IF(AND(ISNUMBER($B230),NOT(ISNUMBER($E230))),"No Pb-210 or Cs-137 horizon — RERCA cannot be calculated. ","")&amp;IF(IFERROR(INDEX('2. Core Log'!$L$5:$L$124,MATCH($A230,'2. Core Log'!$A$5:$A$124,0)),"")="No","Core did not reach the mineral contact, so LORCA is based on a partial profile and is a MINIMUM. ","")&amp;IF(AND(ISNUMBER($I230),$I230&gt;1.2),"RERCA is "&amp;TEXT($I230,"0.0")&amp;"x LORCA. This is EXPECTED, not a finding: near-surface peat has not finished decomposing, so recent rates always look higher. Do not report it as accelerating sequestration. ","")&amp;IF(AND(ISNUMBER($D230),OR($D230&lt;LORCA_MIN,$D230&gt;LORCA_MAX)),"LORCA outside the published range of "&amp;LORCA_MIN&amp;"-"&amp;LORCA_MAX&amp;" g C/m2/yr — check the basal age and the profile carbon. ",""))</f>
        <v/>
      </c>
      <c r="K230" s="14" t="n"/>
    </row>
    <row r="231">
      <c r="A231" s="18">
        <f>IF(INDEX('2. Core Log'!$A$5:$A$124,ROW()-209)="","",INDEX('2. Core Log'!$A$5:$A$124,ROW()-209))</f>
        <v/>
      </c>
      <c r="B231" s="18">
        <f>IF($A231="","",IF(SUMPRODUCT(('4. Chronology'!$A$5:$A$204=$A231)*'4. Chronology'!$C$5:$C$204)=0,"",SUMPRODUCT(MAX(('4. Chronology'!$A$5:$A$204=$A231)*'4. Chronology'!$C$5:$C$204))))</f>
        <v/>
      </c>
      <c r="C231" s="18">
        <f>IF($A231="","",IFERROR(INDEX('2. Core Log'!$R$5:$R$124,MATCH($A231,'2. Core Log'!$A$5:$A$124,0)),""))</f>
        <v/>
      </c>
      <c r="D231" s="21">
        <f>IF(OR(NOT(ISNUMBER($B231)),NOT(ISNUMBER($C231)),$B231=0),"",$C231*1000/$B231)</f>
        <v/>
      </c>
      <c r="E231" s="18">
        <f>IF($A231="","",IF(SUMPRODUCT(('4. Chronology'!$A$5:$A$204=$A231)*'4. Chronology'!$J$5:$J$204*'4. Chronology'!$B$5:$B$204)=0,"",SUMPRODUCT(MAX(('4. Chronology'!$A$5:$A$204=$A231)*'4. Chronology'!$J$5:$J$204*'4. Chronology'!$B$5:$B$204))))</f>
        <v/>
      </c>
      <c r="F231" s="18">
        <f>IF(NOT(ISNUMBER($E231)),"",SUMIFS('4. Chronology'!$C$5:$C$204,'4. Chronology'!$A$5:$A$204,$A231,'4. Chronology'!$B$5:$B$204,$E231))</f>
        <v/>
      </c>
      <c r="G231" s="18">
        <f>IF(NOT(ISNUMBER($E231)),"",SUMIFS('4. Chronology'!$F$5:$F$204,'4. Chronology'!$A$5:$A$204,$A231,'4. Chronology'!$B$5:$B$204,$E231))</f>
        <v/>
      </c>
      <c r="H231" s="21">
        <f>IF(OR(NOT(ISNUMBER($F231)),NOT(ISNUMBER($G231)),$F231=0),"",$G231*1000/$F231)</f>
        <v/>
      </c>
      <c r="I231" s="18">
        <f>IF(OR(NOT(ISNUMBER($H231)),NOT(ISNUMBER($D231)),$D231=0),"",$H231/$D231)</f>
        <v/>
      </c>
      <c r="J231" s="18">
        <f>IF($A231="","",IF(NOT(ISNUMBER($B231)),"No dated horizons for this core — LORCA cannot be calculated. ","")&amp;IF(AND(ISNUMBER($B231),NOT(ISNUMBER($E231))),"No Pb-210 or Cs-137 horizon — RERCA cannot be calculated. ","")&amp;IF(IFERROR(INDEX('2. Core Log'!$L$5:$L$124,MATCH($A231,'2. Core Log'!$A$5:$A$124,0)),"")="No","Core did not reach the mineral contact, so LORCA is based on a partial profile and is a MINIMUM. ","")&amp;IF(AND(ISNUMBER($I231),$I231&gt;1.2),"RERCA is "&amp;TEXT($I231,"0.0")&amp;"x LORCA. This is EXPECTED, not a finding: near-surface peat has not finished decomposing, so recent rates always look higher. Do not report it as accelerating sequestration. ","")&amp;IF(AND(ISNUMBER($D231),OR($D231&lt;LORCA_MIN,$D231&gt;LORCA_MAX)),"LORCA outside the published range of "&amp;LORCA_MIN&amp;"-"&amp;LORCA_MAX&amp;" g C/m2/yr — check the basal age and the profile carbon. ",""))</f>
        <v/>
      </c>
      <c r="K231" s="14" t="n"/>
    </row>
    <row r="232">
      <c r="A232" s="18">
        <f>IF(INDEX('2. Core Log'!$A$5:$A$124,ROW()-209)="","",INDEX('2. Core Log'!$A$5:$A$124,ROW()-209))</f>
        <v/>
      </c>
      <c r="B232" s="18">
        <f>IF($A232="","",IF(SUMPRODUCT(('4. Chronology'!$A$5:$A$204=$A232)*'4. Chronology'!$C$5:$C$204)=0,"",SUMPRODUCT(MAX(('4. Chronology'!$A$5:$A$204=$A232)*'4. Chronology'!$C$5:$C$204))))</f>
        <v/>
      </c>
      <c r="C232" s="18">
        <f>IF($A232="","",IFERROR(INDEX('2. Core Log'!$R$5:$R$124,MATCH($A232,'2. Core Log'!$A$5:$A$124,0)),""))</f>
        <v/>
      </c>
      <c r="D232" s="21">
        <f>IF(OR(NOT(ISNUMBER($B232)),NOT(ISNUMBER($C232)),$B232=0),"",$C232*1000/$B232)</f>
        <v/>
      </c>
      <c r="E232" s="18">
        <f>IF($A232="","",IF(SUMPRODUCT(('4. Chronology'!$A$5:$A$204=$A232)*'4. Chronology'!$J$5:$J$204*'4. Chronology'!$B$5:$B$204)=0,"",SUMPRODUCT(MAX(('4. Chronology'!$A$5:$A$204=$A232)*'4. Chronology'!$J$5:$J$204*'4. Chronology'!$B$5:$B$204))))</f>
        <v/>
      </c>
      <c r="F232" s="18">
        <f>IF(NOT(ISNUMBER($E232)),"",SUMIFS('4. Chronology'!$C$5:$C$204,'4. Chronology'!$A$5:$A$204,$A232,'4. Chronology'!$B$5:$B$204,$E232))</f>
        <v/>
      </c>
      <c r="G232" s="18">
        <f>IF(NOT(ISNUMBER($E232)),"",SUMIFS('4. Chronology'!$F$5:$F$204,'4. Chronology'!$A$5:$A$204,$A232,'4. Chronology'!$B$5:$B$204,$E232))</f>
        <v/>
      </c>
      <c r="H232" s="21">
        <f>IF(OR(NOT(ISNUMBER($F232)),NOT(ISNUMBER($G232)),$F232=0),"",$G232*1000/$F232)</f>
        <v/>
      </c>
      <c r="I232" s="18">
        <f>IF(OR(NOT(ISNUMBER($H232)),NOT(ISNUMBER($D232)),$D232=0),"",$H232/$D232)</f>
        <v/>
      </c>
      <c r="J232" s="18">
        <f>IF($A232="","",IF(NOT(ISNUMBER($B232)),"No dated horizons for this core — LORCA cannot be calculated. ","")&amp;IF(AND(ISNUMBER($B232),NOT(ISNUMBER($E232))),"No Pb-210 or Cs-137 horizon — RERCA cannot be calculated. ","")&amp;IF(IFERROR(INDEX('2. Core Log'!$L$5:$L$124,MATCH($A232,'2. Core Log'!$A$5:$A$124,0)),"")="No","Core did not reach the mineral contact, so LORCA is based on a partial profile and is a MINIMUM. ","")&amp;IF(AND(ISNUMBER($I232),$I232&gt;1.2),"RERCA is "&amp;TEXT($I232,"0.0")&amp;"x LORCA. This is EXPECTED, not a finding: near-surface peat has not finished decomposing, so recent rates always look higher. Do not report it as accelerating sequestration. ","")&amp;IF(AND(ISNUMBER($D232),OR($D232&lt;LORCA_MIN,$D232&gt;LORCA_MAX)),"LORCA outside the published range of "&amp;LORCA_MIN&amp;"-"&amp;LORCA_MAX&amp;" g C/m2/yr — check the basal age and the profile carbon. ",""))</f>
        <v/>
      </c>
      <c r="K232" s="14" t="n"/>
    </row>
    <row r="233">
      <c r="A233" s="18">
        <f>IF(INDEX('2. Core Log'!$A$5:$A$124,ROW()-209)="","",INDEX('2. Core Log'!$A$5:$A$124,ROW()-209))</f>
        <v/>
      </c>
      <c r="B233" s="18">
        <f>IF($A233="","",IF(SUMPRODUCT(('4. Chronology'!$A$5:$A$204=$A233)*'4. Chronology'!$C$5:$C$204)=0,"",SUMPRODUCT(MAX(('4. Chronology'!$A$5:$A$204=$A233)*'4. Chronology'!$C$5:$C$204))))</f>
        <v/>
      </c>
      <c r="C233" s="18">
        <f>IF($A233="","",IFERROR(INDEX('2. Core Log'!$R$5:$R$124,MATCH($A233,'2. Core Log'!$A$5:$A$124,0)),""))</f>
        <v/>
      </c>
      <c r="D233" s="21">
        <f>IF(OR(NOT(ISNUMBER($B233)),NOT(ISNUMBER($C233)),$B233=0),"",$C233*1000/$B233)</f>
        <v/>
      </c>
      <c r="E233" s="18">
        <f>IF($A233="","",IF(SUMPRODUCT(('4. Chronology'!$A$5:$A$204=$A233)*'4. Chronology'!$J$5:$J$204*'4. Chronology'!$B$5:$B$204)=0,"",SUMPRODUCT(MAX(('4. Chronology'!$A$5:$A$204=$A233)*'4. Chronology'!$J$5:$J$204*'4. Chronology'!$B$5:$B$204))))</f>
        <v/>
      </c>
      <c r="F233" s="18">
        <f>IF(NOT(ISNUMBER($E233)),"",SUMIFS('4. Chronology'!$C$5:$C$204,'4. Chronology'!$A$5:$A$204,$A233,'4. Chronology'!$B$5:$B$204,$E233))</f>
        <v/>
      </c>
      <c r="G233" s="18">
        <f>IF(NOT(ISNUMBER($E233)),"",SUMIFS('4. Chronology'!$F$5:$F$204,'4. Chronology'!$A$5:$A$204,$A233,'4. Chronology'!$B$5:$B$204,$E233))</f>
        <v/>
      </c>
      <c r="H233" s="21">
        <f>IF(OR(NOT(ISNUMBER($F233)),NOT(ISNUMBER($G233)),$F233=0),"",$G233*1000/$F233)</f>
        <v/>
      </c>
      <c r="I233" s="18">
        <f>IF(OR(NOT(ISNUMBER($H233)),NOT(ISNUMBER($D233)),$D233=0),"",$H233/$D233)</f>
        <v/>
      </c>
      <c r="J233" s="18">
        <f>IF($A233="","",IF(NOT(ISNUMBER($B233)),"No dated horizons for this core — LORCA cannot be calculated. ","")&amp;IF(AND(ISNUMBER($B233),NOT(ISNUMBER($E233))),"No Pb-210 or Cs-137 horizon — RERCA cannot be calculated. ","")&amp;IF(IFERROR(INDEX('2. Core Log'!$L$5:$L$124,MATCH($A233,'2. Core Log'!$A$5:$A$124,0)),"")="No","Core did not reach the mineral contact, so LORCA is based on a partial profile and is a MINIMUM. ","")&amp;IF(AND(ISNUMBER($I233),$I233&gt;1.2),"RERCA is "&amp;TEXT($I233,"0.0")&amp;"x LORCA. This is EXPECTED, not a finding: near-surface peat has not finished decomposing, so recent rates always look higher. Do not report it as accelerating sequestration. ","")&amp;IF(AND(ISNUMBER($D233),OR($D233&lt;LORCA_MIN,$D233&gt;LORCA_MAX)),"LORCA outside the published range of "&amp;LORCA_MIN&amp;"-"&amp;LORCA_MAX&amp;" g C/m2/yr — check the basal age and the profile carbon. ",""))</f>
        <v/>
      </c>
      <c r="K233" s="14" t="n"/>
    </row>
    <row r="234">
      <c r="A234" s="18">
        <f>IF(INDEX('2. Core Log'!$A$5:$A$124,ROW()-209)="","",INDEX('2. Core Log'!$A$5:$A$124,ROW()-209))</f>
        <v/>
      </c>
      <c r="B234" s="18">
        <f>IF($A234="","",IF(SUMPRODUCT(('4. Chronology'!$A$5:$A$204=$A234)*'4. Chronology'!$C$5:$C$204)=0,"",SUMPRODUCT(MAX(('4. Chronology'!$A$5:$A$204=$A234)*'4. Chronology'!$C$5:$C$204))))</f>
        <v/>
      </c>
      <c r="C234" s="18">
        <f>IF($A234="","",IFERROR(INDEX('2. Core Log'!$R$5:$R$124,MATCH($A234,'2. Core Log'!$A$5:$A$124,0)),""))</f>
        <v/>
      </c>
      <c r="D234" s="21">
        <f>IF(OR(NOT(ISNUMBER($B234)),NOT(ISNUMBER($C234)),$B234=0),"",$C234*1000/$B234)</f>
        <v/>
      </c>
      <c r="E234" s="18">
        <f>IF($A234="","",IF(SUMPRODUCT(('4. Chronology'!$A$5:$A$204=$A234)*'4. Chronology'!$J$5:$J$204*'4. Chronology'!$B$5:$B$204)=0,"",SUMPRODUCT(MAX(('4. Chronology'!$A$5:$A$204=$A234)*'4. Chronology'!$J$5:$J$204*'4. Chronology'!$B$5:$B$204))))</f>
        <v/>
      </c>
      <c r="F234" s="18">
        <f>IF(NOT(ISNUMBER($E234)),"",SUMIFS('4. Chronology'!$C$5:$C$204,'4. Chronology'!$A$5:$A$204,$A234,'4. Chronology'!$B$5:$B$204,$E234))</f>
        <v/>
      </c>
      <c r="G234" s="18">
        <f>IF(NOT(ISNUMBER($E234)),"",SUMIFS('4. Chronology'!$F$5:$F$204,'4. Chronology'!$A$5:$A$204,$A234,'4. Chronology'!$B$5:$B$204,$E234))</f>
        <v/>
      </c>
      <c r="H234" s="21">
        <f>IF(OR(NOT(ISNUMBER($F234)),NOT(ISNUMBER($G234)),$F234=0),"",$G234*1000/$F234)</f>
        <v/>
      </c>
      <c r="I234" s="18">
        <f>IF(OR(NOT(ISNUMBER($H234)),NOT(ISNUMBER($D234)),$D234=0),"",$H234/$D234)</f>
        <v/>
      </c>
      <c r="J234" s="18">
        <f>IF($A234="","",IF(NOT(ISNUMBER($B234)),"No dated horizons for this core — LORCA cannot be calculated. ","")&amp;IF(AND(ISNUMBER($B234),NOT(ISNUMBER($E234))),"No Pb-210 or Cs-137 horizon — RERCA cannot be calculated. ","")&amp;IF(IFERROR(INDEX('2. Core Log'!$L$5:$L$124,MATCH($A234,'2. Core Log'!$A$5:$A$124,0)),"")="No","Core did not reach the mineral contact, so LORCA is based on a partial profile and is a MINIMUM. ","")&amp;IF(AND(ISNUMBER($I234),$I234&gt;1.2),"RERCA is "&amp;TEXT($I234,"0.0")&amp;"x LORCA. This is EXPECTED, not a finding: near-surface peat has not finished decomposing, so recent rates always look higher. Do not report it as accelerating sequestration. ","")&amp;IF(AND(ISNUMBER($D234),OR($D234&lt;LORCA_MIN,$D234&gt;LORCA_MAX)),"LORCA outside the published range of "&amp;LORCA_MIN&amp;"-"&amp;LORCA_MAX&amp;" g C/m2/yr — check the basal age and the profile carbon. ",""))</f>
        <v/>
      </c>
      <c r="K234" s="14" t="n"/>
    </row>
    <row r="235">
      <c r="A235" s="18">
        <f>IF(INDEX('2. Core Log'!$A$5:$A$124,ROW()-209)="","",INDEX('2. Core Log'!$A$5:$A$124,ROW()-209))</f>
        <v/>
      </c>
      <c r="B235" s="18">
        <f>IF($A235="","",IF(SUMPRODUCT(('4. Chronology'!$A$5:$A$204=$A235)*'4. Chronology'!$C$5:$C$204)=0,"",SUMPRODUCT(MAX(('4. Chronology'!$A$5:$A$204=$A235)*'4. Chronology'!$C$5:$C$204))))</f>
        <v/>
      </c>
      <c r="C235" s="18">
        <f>IF($A235="","",IFERROR(INDEX('2. Core Log'!$R$5:$R$124,MATCH($A235,'2. Core Log'!$A$5:$A$124,0)),""))</f>
        <v/>
      </c>
      <c r="D235" s="21">
        <f>IF(OR(NOT(ISNUMBER($B235)),NOT(ISNUMBER($C235)),$B235=0),"",$C235*1000/$B235)</f>
        <v/>
      </c>
      <c r="E235" s="18">
        <f>IF($A235="","",IF(SUMPRODUCT(('4. Chronology'!$A$5:$A$204=$A235)*'4. Chronology'!$J$5:$J$204*'4. Chronology'!$B$5:$B$204)=0,"",SUMPRODUCT(MAX(('4. Chronology'!$A$5:$A$204=$A235)*'4. Chronology'!$J$5:$J$204*'4. Chronology'!$B$5:$B$204))))</f>
        <v/>
      </c>
      <c r="F235" s="18">
        <f>IF(NOT(ISNUMBER($E235)),"",SUMIFS('4. Chronology'!$C$5:$C$204,'4. Chronology'!$A$5:$A$204,$A235,'4. Chronology'!$B$5:$B$204,$E235))</f>
        <v/>
      </c>
      <c r="G235" s="18">
        <f>IF(NOT(ISNUMBER($E235)),"",SUMIFS('4. Chronology'!$F$5:$F$204,'4. Chronology'!$A$5:$A$204,$A235,'4. Chronology'!$B$5:$B$204,$E235))</f>
        <v/>
      </c>
      <c r="H235" s="21">
        <f>IF(OR(NOT(ISNUMBER($F235)),NOT(ISNUMBER($G235)),$F235=0),"",$G235*1000/$F235)</f>
        <v/>
      </c>
      <c r="I235" s="18">
        <f>IF(OR(NOT(ISNUMBER($H235)),NOT(ISNUMBER($D235)),$D235=0),"",$H235/$D235)</f>
        <v/>
      </c>
      <c r="J235" s="18">
        <f>IF($A235="","",IF(NOT(ISNUMBER($B235)),"No dated horizons for this core — LORCA cannot be calculated. ","")&amp;IF(AND(ISNUMBER($B235),NOT(ISNUMBER($E235))),"No Pb-210 or Cs-137 horizon — RERCA cannot be calculated. ","")&amp;IF(IFERROR(INDEX('2. Core Log'!$L$5:$L$124,MATCH($A235,'2. Core Log'!$A$5:$A$124,0)),"")="No","Core did not reach the mineral contact, so LORCA is based on a partial profile and is a MINIMUM. ","")&amp;IF(AND(ISNUMBER($I235),$I235&gt;1.2),"RERCA is "&amp;TEXT($I235,"0.0")&amp;"x LORCA. This is EXPECTED, not a finding: near-surface peat has not finished decomposing, so recent rates always look higher. Do not report it as accelerating sequestration. ","")&amp;IF(AND(ISNUMBER($D235),OR($D235&lt;LORCA_MIN,$D235&gt;LORCA_MAX)),"LORCA outside the published range of "&amp;LORCA_MIN&amp;"-"&amp;LORCA_MAX&amp;" g C/m2/yr — check the basal age and the profile carbon. ",""))</f>
        <v/>
      </c>
      <c r="K235" s="14" t="n"/>
    </row>
    <row r="236">
      <c r="A236" s="18">
        <f>IF(INDEX('2. Core Log'!$A$5:$A$124,ROW()-209)="","",INDEX('2. Core Log'!$A$5:$A$124,ROW()-209))</f>
        <v/>
      </c>
      <c r="B236" s="18">
        <f>IF($A236="","",IF(SUMPRODUCT(('4. Chronology'!$A$5:$A$204=$A236)*'4. Chronology'!$C$5:$C$204)=0,"",SUMPRODUCT(MAX(('4. Chronology'!$A$5:$A$204=$A236)*'4. Chronology'!$C$5:$C$204))))</f>
        <v/>
      </c>
      <c r="C236" s="18">
        <f>IF($A236="","",IFERROR(INDEX('2. Core Log'!$R$5:$R$124,MATCH($A236,'2. Core Log'!$A$5:$A$124,0)),""))</f>
        <v/>
      </c>
      <c r="D236" s="21">
        <f>IF(OR(NOT(ISNUMBER($B236)),NOT(ISNUMBER($C236)),$B236=0),"",$C236*1000/$B236)</f>
        <v/>
      </c>
      <c r="E236" s="18">
        <f>IF($A236="","",IF(SUMPRODUCT(('4. Chronology'!$A$5:$A$204=$A236)*'4. Chronology'!$J$5:$J$204*'4. Chronology'!$B$5:$B$204)=0,"",SUMPRODUCT(MAX(('4. Chronology'!$A$5:$A$204=$A236)*'4. Chronology'!$J$5:$J$204*'4. Chronology'!$B$5:$B$204))))</f>
        <v/>
      </c>
      <c r="F236" s="18">
        <f>IF(NOT(ISNUMBER($E236)),"",SUMIFS('4. Chronology'!$C$5:$C$204,'4. Chronology'!$A$5:$A$204,$A236,'4. Chronology'!$B$5:$B$204,$E236))</f>
        <v/>
      </c>
      <c r="G236" s="18">
        <f>IF(NOT(ISNUMBER($E236)),"",SUMIFS('4. Chronology'!$F$5:$F$204,'4. Chronology'!$A$5:$A$204,$A236,'4. Chronology'!$B$5:$B$204,$E236))</f>
        <v/>
      </c>
      <c r="H236" s="21">
        <f>IF(OR(NOT(ISNUMBER($F236)),NOT(ISNUMBER($G236)),$F236=0),"",$G236*1000/$F236)</f>
        <v/>
      </c>
      <c r="I236" s="18">
        <f>IF(OR(NOT(ISNUMBER($H236)),NOT(ISNUMBER($D236)),$D236=0),"",$H236/$D236)</f>
        <v/>
      </c>
      <c r="J236" s="18">
        <f>IF($A236="","",IF(NOT(ISNUMBER($B236)),"No dated horizons for this core — LORCA cannot be calculated. ","")&amp;IF(AND(ISNUMBER($B236),NOT(ISNUMBER($E236))),"No Pb-210 or Cs-137 horizon — RERCA cannot be calculated. ","")&amp;IF(IFERROR(INDEX('2. Core Log'!$L$5:$L$124,MATCH($A236,'2. Core Log'!$A$5:$A$124,0)),"")="No","Core did not reach the mineral contact, so LORCA is based on a partial profile and is a MINIMUM. ","")&amp;IF(AND(ISNUMBER($I236),$I236&gt;1.2),"RERCA is "&amp;TEXT($I236,"0.0")&amp;"x LORCA. This is EXPECTED, not a finding: near-surface peat has not finished decomposing, so recent rates always look higher. Do not report it as accelerating sequestration. ","")&amp;IF(AND(ISNUMBER($D236),OR($D236&lt;LORCA_MIN,$D236&gt;LORCA_MAX)),"LORCA outside the published range of "&amp;LORCA_MIN&amp;"-"&amp;LORCA_MAX&amp;" g C/m2/yr — check the basal age and the profile carbon. ",""))</f>
        <v/>
      </c>
      <c r="K236" s="14" t="n"/>
    </row>
    <row r="237">
      <c r="A237" s="18">
        <f>IF(INDEX('2. Core Log'!$A$5:$A$124,ROW()-209)="","",INDEX('2. Core Log'!$A$5:$A$124,ROW()-209))</f>
        <v/>
      </c>
      <c r="B237" s="18">
        <f>IF($A237="","",IF(SUMPRODUCT(('4. Chronology'!$A$5:$A$204=$A237)*'4. Chronology'!$C$5:$C$204)=0,"",SUMPRODUCT(MAX(('4. Chronology'!$A$5:$A$204=$A237)*'4. Chronology'!$C$5:$C$204))))</f>
        <v/>
      </c>
      <c r="C237" s="18">
        <f>IF($A237="","",IFERROR(INDEX('2. Core Log'!$R$5:$R$124,MATCH($A237,'2. Core Log'!$A$5:$A$124,0)),""))</f>
        <v/>
      </c>
      <c r="D237" s="21">
        <f>IF(OR(NOT(ISNUMBER($B237)),NOT(ISNUMBER($C237)),$B237=0),"",$C237*1000/$B237)</f>
        <v/>
      </c>
      <c r="E237" s="18">
        <f>IF($A237="","",IF(SUMPRODUCT(('4. Chronology'!$A$5:$A$204=$A237)*'4. Chronology'!$J$5:$J$204*'4. Chronology'!$B$5:$B$204)=0,"",SUMPRODUCT(MAX(('4. Chronology'!$A$5:$A$204=$A237)*'4. Chronology'!$J$5:$J$204*'4. Chronology'!$B$5:$B$204))))</f>
        <v/>
      </c>
      <c r="F237" s="18">
        <f>IF(NOT(ISNUMBER($E237)),"",SUMIFS('4. Chronology'!$C$5:$C$204,'4. Chronology'!$A$5:$A$204,$A237,'4. Chronology'!$B$5:$B$204,$E237))</f>
        <v/>
      </c>
      <c r="G237" s="18">
        <f>IF(NOT(ISNUMBER($E237)),"",SUMIFS('4. Chronology'!$F$5:$F$204,'4. Chronology'!$A$5:$A$204,$A237,'4. Chronology'!$B$5:$B$204,$E237))</f>
        <v/>
      </c>
      <c r="H237" s="21">
        <f>IF(OR(NOT(ISNUMBER($F237)),NOT(ISNUMBER($G237)),$F237=0),"",$G237*1000/$F237)</f>
        <v/>
      </c>
      <c r="I237" s="18">
        <f>IF(OR(NOT(ISNUMBER($H237)),NOT(ISNUMBER($D237)),$D237=0),"",$H237/$D237)</f>
        <v/>
      </c>
      <c r="J237" s="18">
        <f>IF($A237="","",IF(NOT(ISNUMBER($B237)),"No dated horizons for this core — LORCA cannot be calculated. ","")&amp;IF(AND(ISNUMBER($B237),NOT(ISNUMBER($E237))),"No Pb-210 or Cs-137 horizon — RERCA cannot be calculated. ","")&amp;IF(IFERROR(INDEX('2. Core Log'!$L$5:$L$124,MATCH($A237,'2. Core Log'!$A$5:$A$124,0)),"")="No","Core did not reach the mineral contact, so LORCA is based on a partial profile and is a MINIMUM. ","")&amp;IF(AND(ISNUMBER($I237),$I237&gt;1.2),"RERCA is "&amp;TEXT($I237,"0.0")&amp;"x LORCA. This is EXPECTED, not a finding: near-surface peat has not finished decomposing, so recent rates always look higher. Do not report it as accelerating sequestration. ","")&amp;IF(AND(ISNUMBER($D237),OR($D237&lt;LORCA_MIN,$D237&gt;LORCA_MAX)),"LORCA outside the published range of "&amp;LORCA_MIN&amp;"-"&amp;LORCA_MAX&amp;" g C/m2/yr — check the basal age and the profile carbon. ",""))</f>
        <v/>
      </c>
      <c r="K237" s="14" t="n"/>
    </row>
    <row r="238">
      <c r="A238" s="18">
        <f>IF(INDEX('2. Core Log'!$A$5:$A$124,ROW()-209)="","",INDEX('2. Core Log'!$A$5:$A$124,ROW()-209))</f>
        <v/>
      </c>
      <c r="B238" s="18">
        <f>IF($A238="","",IF(SUMPRODUCT(('4. Chronology'!$A$5:$A$204=$A238)*'4. Chronology'!$C$5:$C$204)=0,"",SUMPRODUCT(MAX(('4. Chronology'!$A$5:$A$204=$A238)*'4. Chronology'!$C$5:$C$204))))</f>
        <v/>
      </c>
      <c r="C238" s="18">
        <f>IF($A238="","",IFERROR(INDEX('2. Core Log'!$R$5:$R$124,MATCH($A238,'2. Core Log'!$A$5:$A$124,0)),""))</f>
        <v/>
      </c>
      <c r="D238" s="21">
        <f>IF(OR(NOT(ISNUMBER($B238)),NOT(ISNUMBER($C238)),$B238=0),"",$C238*1000/$B238)</f>
        <v/>
      </c>
      <c r="E238" s="18">
        <f>IF($A238="","",IF(SUMPRODUCT(('4. Chronology'!$A$5:$A$204=$A238)*'4. Chronology'!$J$5:$J$204*'4. Chronology'!$B$5:$B$204)=0,"",SUMPRODUCT(MAX(('4. Chronology'!$A$5:$A$204=$A238)*'4. Chronology'!$J$5:$J$204*'4. Chronology'!$B$5:$B$204))))</f>
        <v/>
      </c>
      <c r="F238" s="18">
        <f>IF(NOT(ISNUMBER($E238)),"",SUMIFS('4. Chronology'!$C$5:$C$204,'4. Chronology'!$A$5:$A$204,$A238,'4. Chronology'!$B$5:$B$204,$E238))</f>
        <v/>
      </c>
      <c r="G238" s="18">
        <f>IF(NOT(ISNUMBER($E238)),"",SUMIFS('4. Chronology'!$F$5:$F$204,'4. Chronology'!$A$5:$A$204,$A238,'4. Chronology'!$B$5:$B$204,$E238))</f>
        <v/>
      </c>
      <c r="H238" s="21">
        <f>IF(OR(NOT(ISNUMBER($F238)),NOT(ISNUMBER($G238)),$F238=0),"",$G238*1000/$F238)</f>
        <v/>
      </c>
      <c r="I238" s="18">
        <f>IF(OR(NOT(ISNUMBER($H238)),NOT(ISNUMBER($D238)),$D238=0),"",$H238/$D238)</f>
        <v/>
      </c>
      <c r="J238" s="18">
        <f>IF($A238="","",IF(NOT(ISNUMBER($B238)),"No dated horizons for this core — LORCA cannot be calculated. ","")&amp;IF(AND(ISNUMBER($B238),NOT(ISNUMBER($E238))),"No Pb-210 or Cs-137 horizon — RERCA cannot be calculated. ","")&amp;IF(IFERROR(INDEX('2. Core Log'!$L$5:$L$124,MATCH($A238,'2. Core Log'!$A$5:$A$124,0)),"")="No","Core did not reach the mineral contact, so LORCA is based on a partial profile and is a MINIMUM. ","")&amp;IF(AND(ISNUMBER($I238),$I238&gt;1.2),"RERCA is "&amp;TEXT($I238,"0.0")&amp;"x LORCA. This is EXPECTED, not a finding: near-surface peat has not finished decomposing, so recent rates always look higher. Do not report it as accelerating sequestration. ","")&amp;IF(AND(ISNUMBER($D238),OR($D238&lt;LORCA_MIN,$D238&gt;LORCA_MAX)),"LORCA outside the published range of "&amp;LORCA_MIN&amp;"-"&amp;LORCA_MAX&amp;" g C/m2/yr — check the basal age and the profile carbon. ",""))</f>
        <v/>
      </c>
      <c r="K238" s="14" t="n"/>
    </row>
    <row r="239">
      <c r="A239" s="18">
        <f>IF(INDEX('2. Core Log'!$A$5:$A$124,ROW()-209)="","",INDEX('2. Core Log'!$A$5:$A$124,ROW()-209))</f>
        <v/>
      </c>
      <c r="B239" s="18">
        <f>IF($A239="","",IF(SUMPRODUCT(('4. Chronology'!$A$5:$A$204=$A239)*'4. Chronology'!$C$5:$C$204)=0,"",SUMPRODUCT(MAX(('4. Chronology'!$A$5:$A$204=$A239)*'4. Chronology'!$C$5:$C$204))))</f>
        <v/>
      </c>
      <c r="C239" s="18">
        <f>IF($A239="","",IFERROR(INDEX('2. Core Log'!$R$5:$R$124,MATCH($A239,'2. Core Log'!$A$5:$A$124,0)),""))</f>
        <v/>
      </c>
      <c r="D239" s="21">
        <f>IF(OR(NOT(ISNUMBER($B239)),NOT(ISNUMBER($C239)),$B239=0),"",$C239*1000/$B239)</f>
        <v/>
      </c>
      <c r="E239" s="18">
        <f>IF($A239="","",IF(SUMPRODUCT(('4. Chronology'!$A$5:$A$204=$A239)*'4. Chronology'!$J$5:$J$204*'4. Chronology'!$B$5:$B$204)=0,"",SUMPRODUCT(MAX(('4. Chronology'!$A$5:$A$204=$A239)*'4. Chronology'!$J$5:$J$204*'4. Chronology'!$B$5:$B$204))))</f>
        <v/>
      </c>
      <c r="F239" s="18">
        <f>IF(NOT(ISNUMBER($E239)),"",SUMIFS('4. Chronology'!$C$5:$C$204,'4. Chronology'!$A$5:$A$204,$A239,'4. Chronology'!$B$5:$B$204,$E239))</f>
        <v/>
      </c>
      <c r="G239" s="18">
        <f>IF(NOT(ISNUMBER($E239)),"",SUMIFS('4. Chronology'!$F$5:$F$204,'4. Chronology'!$A$5:$A$204,$A239,'4. Chronology'!$B$5:$B$204,$E239))</f>
        <v/>
      </c>
      <c r="H239" s="21">
        <f>IF(OR(NOT(ISNUMBER($F239)),NOT(ISNUMBER($G239)),$F239=0),"",$G239*1000/$F239)</f>
        <v/>
      </c>
      <c r="I239" s="18">
        <f>IF(OR(NOT(ISNUMBER($H239)),NOT(ISNUMBER($D239)),$D239=0),"",$H239/$D239)</f>
        <v/>
      </c>
      <c r="J239" s="18">
        <f>IF($A239="","",IF(NOT(ISNUMBER($B239)),"No dated horizons for this core — LORCA cannot be calculated. ","")&amp;IF(AND(ISNUMBER($B239),NOT(ISNUMBER($E239))),"No Pb-210 or Cs-137 horizon — RERCA cannot be calculated. ","")&amp;IF(IFERROR(INDEX('2. Core Log'!$L$5:$L$124,MATCH($A239,'2. Core Log'!$A$5:$A$124,0)),"")="No","Core did not reach the mineral contact, so LORCA is based on a partial profile and is a MINIMUM. ","")&amp;IF(AND(ISNUMBER($I239),$I239&gt;1.2),"RERCA is "&amp;TEXT($I239,"0.0")&amp;"x LORCA. This is EXPECTED, not a finding: near-surface peat has not finished decomposing, so recent rates always look higher. Do not report it as accelerating sequestration. ","")&amp;IF(AND(ISNUMBER($D239),OR($D239&lt;LORCA_MIN,$D239&gt;LORCA_MAX)),"LORCA outside the published range of "&amp;LORCA_MIN&amp;"-"&amp;LORCA_MAX&amp;" g C/m2/yr — check the basal age and the profile carbon. ",""))</f>
        <v/>
      </c>
      <c r="K239" s="14" t="n"/>
    </row>
  </sheetData>
  <mergeCells count="3">
    <mergeCell ref="A2:K2"/>
    <mergeCell ref="A208:K208"/>
    <mergeCell ref="A207:K207"/>
  </mergeCells>
  <dataValidations count="2">
    <dataValidation sqref="A5:A204" showDropDown="0" showInputMessage="0" showErrorMessage="0" allowBlank="1" type="list">
      <formula1>='2. Core Log'!$A$5:$A$124</formula1>
    </dataValidation>
    <dataValidation sqref="E5:E204" showDropDown="0" showInputMessage="0" showErrorMessage="0" allowBlank="1" type="list">
      <formula1>"Pb-210 CRS,Pb-210 Plum,Pb-210 CFCS,Cs-137 (1963 peak),Cs-137 (1954 onset),C-14 calibrated,Stratigraphic marker,Other"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6" customWidth="1" min="4" max="4"/>
    <col width="17" customWidth="1" min="5" max="5"/>
    <col width="15" customWidth="1" min="6" max="6"/>
    <col width="17" customWidth="1" min="7" max="7"/>
    <col width="46" customWidth="1" min="8" max="8"/>
    <col hidden="1" width="9" customWidth="1" min="9" max="9"/>
    <col hidden="1" width="7" customWidth="1" min="10" max="10"/>
  </cols>
  <sheetData>
    <row r="1">
      <c r="A1" s="10" t="inlineStr">
        <is>
          <t>PLOT SUMMARY</t>
        </is>
      </c>
    </row>
    <row r="2" ht="32" customHeight="1">
      <c r="A2" s="15" t="inlineStr">
        <is>
          <t>One row per plot, calculated for you. Peat is the mean of the cores taken in that plot. If the site is a swamp, or you surveyed shrubs and ground layer, enter that carbon in the yellow column — it comes from the Forests calculator, which this workshop does not duplicate.</t>
        </is>
      </c>
    </row>
    <row r="4" ht="42" customHeight="1">
      <c r="A4" s="16" t="inlineStr">
        <is>
          <t>Plot ID</t>
        </is>
      </c>
      <c r="B4" s="16" t="inlineStr">
        <is>
          <t>Site ID</t>
        </is>
      </c>
      <c r="C4" s="16" t="inlineStr">
        <is>
          <t>Cores in plot</t>
        </is>
      </c>
      <c r="D4" s="16" t="inlineStr">
        <is>
          <t>Peat, full profile (kg C/m²)</t>
        </is>
      </c>
      <c r="E4" s="16" t="inlineStr">
        <is>
          <t>Peat to reference depth (kg C/m²)</t>
        </is>
      </c>
      <c r="F4" s="16" t="inlineStr">
        <is>
          <t>Vegetation carbon (kg C/m²)</t>
        </is>
      </c>
      <c r="G4" s="16" t="inlineStr">
        <is>
          <t>TOTAL, full profile (kg C/m²)</t>
        </is>
      </c>
      <c r="H4" s="16" t="inlineStr">
        <is>
          <t>QC flags</t>
        </is>
      </c>
      <c r="I4" s="16" t="inlineStr">
        <is>
          <t>_num</t>
        </is>
      </c>
      <c r="J4" s="16" t="inlineStr">
        <is>
          <t>_inc</t>
        </is>
      </c>
    </row>
    <row r="5">
      <c r="A5" s="18">
        <f>IF(INDEX('1. Plot &amp; Site Log'!$A$5:$A$64,ROW()-4)="","",INDEX('1. Plot &amp; Site Log'!$A$5:$A$64,ROW()-4))</f>
        <v/>
      </c>
      <c r="B5" s="18">
        <f>IF($A5="","",INDEX('1. Plot &amp; Site Log'!$B$5:$B$64,MATCH($A5,'1. Plot &amp; Site Log'!$A$5:$A$64,0)))</f>
        <v/>
      </c>
      <c r="C5" s="18">
        <f>IF($A5="","",COUNTIFS('2. Core Log'!$B$5:$B$124,$A5))</f>
        <v/>
      </c>
      <c r="D5" s="18">
        <f>IF(OR($A5="",$C5=0),"",IFERROR(AVERAGEIFS('2. Core Log'!$R$5:$R$124,'2. Core Log'!$B$5:$B$124,$A5),""))</f>
        <v/>
      </c>
      <c r="E5" s="18">
        <f>IF(OR($A5="",$C5=0),"",IFERROR(AVERAGEIFS('2. Core Log'!$S$5:$S$124,'2. Core Log'!$B$5:$B$124,$A5),""))</f>
        <v/>
      </c>
      <c r="F5" s="14" t="n"/>
      <c r="G5" s="21">
        <f>IF($A5="","",IF(ISNUMBER($D5),$D5,0)+IF(ISNUMBER($F5),$F5,0))</f>
        <v/>
      </c>
      <c r="H5" s="18">
        <f>IF($A5="","",IF($C5=0,"No cores for this plot — it contributes nothing to the site mean. ","")&amp;IF(AND($C5&gt;0,$C5&lt;2),"Only one core in this plot. Bansal et al. recommend three or more per wetland. ","")&amp;IF(AND(ISNUMBER($D5),ISNUMBER($E5),$D5&gt;$E5*1.5),"Most of this plot's carbon lies below the reference depth — make sure your reporting says which number you are quoting. ",""))</f>
        <v/>
      </c>
      <c r="I5" s="18">
        <f>IF(ISNUMBER($G5),$G5,0)</f>
        <v/>
      </c>
      <c r="J5" s="18">
        <f>IF(AND(ISNUMBER($G5),$A5&lt;&gt;""),1,0)</f>
        <v/>
      </c>
    </row>
    <row r="6">
      <c r="A6" s="18">
        <f>IF(INDEX('1. Plot &amp; Site Log'!$A$5:$A$64,ROW()-4)="","",INDEX('1. Plot &amp; Site Log'!$A$5:$A$64,ROW()-4))</f>
        <v/>
      </c>
      <c r="B6" s="18">
        <f>IF($A6="","",INDEX('1. Plot &amp; Site Log'!$B$5:$B$64,MATCH($A6,'1. Plot &amp; Site Log'!$A$5:$A$64,0)))</f>
        <v/>
      </c>
      <c r="C6" s="18">
        <f>IF($A6="","",COUNTIFS('2. Core Log'!$B$5:$B$124,$A6))</f>
        <v/>
      </c>
      <c r="D6" s="18">
        <f>IF(OR($A6="",$C6=0),"",IFERROR(AVERAGEIFS('2. Core Log'!$R$5:$R$124,'2. Core Log'!$B$5:$B$124,$A6),""))</f>
        <v/>
      </c>
      <c r="E6" s="18">
        <f>IF(OR($A6="",$C6=0),"",IFERROR(AVERAGEIFS('2. Core Log'!$S$5:$S$124,'2. Core Log'!$B$5:$B$124,$A6),""))</f>
        <v/>
      </c>
      <c r="F6" s="14" t="n"/>
      <c r="G6" s="21">
        <f>IF($A6="","",IF(ISNUMBER($D6),$D6,0)+IF(ISNUMBER($F6),$F6,0))</f>
        <v/>
      </c>
      <c r="H6" s="18">
        <f>IF($A6="","",IF($C6=0,"No cores for this plot — it contributes nothing to the site mean. ","")&amp;IF(AND($C6&gt;0,$C6&lt;2),"Only one core in this plot. Bansal et al. recommend three or more per wetland. ","")&amp;IF(AND(ISNUMBER($D6),ISNUMBER($E6),$D6&gt;$E6*1.5),"Most of this plot's carbon lies below the reference depth — make sure your reporting says which number you are quoting. ",""))</f>
        <v/>
      </c>
      <c r="I6" s="18">
        <f>IF(ISNUMBER($G6),$G6,0)</f>
        <v/>
      </c>
      <c r="J6" s="18">
        <f>IF(AND(ISNUMBER($G6),$A6&lt;&gt;""),1,0)</f>
        <v/>
      </c>
    </row>
    <row r="7">
      <c r="A7" s="18">
        <f>IF(INDEX('1. Plot &amp; Site Log'!$A$5:$A$64,ROW()-4)="","",INDEX('1. Plot &amp; Site Log'!$A$5:$A$64,ROW()-4))</f>
        <v/>
      </c>
      <c r="B7" s="18">
        <f>IF($A7="","",INDEX('1. Plot &amp; Site Log'!$B$5:$B$64,MATCH($A7,'1. Plot &amp; Site Log'!$A$5:$A$64,0)))</f>
        <v/>
      </c>
      <c r="C7" s="18">
        <f>IF($A7="","",COUNTIFS('2. Core Log'!$B$5:$B$124,$A7))</f>
        <v/>
      </c>
      <c r="D7" s="18">
        <f>IF(OR($A7="",$C7=0),"",IFERROR(AVERAGEIFS('2. Core Log'!$R$5:$R$124,'2. Core Log'!$B$5:$B$124,$A7),""))</f>
        <v/>
      </c>
      <c r="E7" s="18">
        <f>IF(OR($A7="",$C7=0),"",IFERROR(AVERAGEIFS('2. Core Log'!$S$5:$S$124,'2. Core Log'!$B$5:$B$124,$A7),""))</f>
        <v/>
      </c>
      <c r="F7" s="14" t="n"/>
      <c r="G7" s="21">
        <f>IF($A7="","",IF(ISNUMBER($D7),$D7,0)+IF(ISNUMBER($F7),$F7,0))</f>
        <v/>
      </c>
      <c r="H7" s="18">
        <f>IF($A7="","",IF($C7=0,"No cores for this plot — it contributes nothing to the site mean. ","")&amp;IF(AND($C7&gt;0,$C7&lt;2),"Only one core in this plot. Bansal et al. recommend three or more per wetland. ","")&amp;IF(AND(ISNUMBER($D7),ISNUMBER($E7),$D7&gt;$E7*1.5),"Most of this plot's carbon lies below the reference depth — make sure your reporting says which number you are quoting. ",""))</f>
        <v/>
      </c>
      <c r="I7" s="18">
        <f>IF(ISNUMBER($G7),$G7,0)</f>
        <v/>
      </c>
      <c r="J7" s="18">
        <f>IF(AND(ISNUMBER($G7),$A7&lt;&gt;""),1,0)</f>
        <v/>
      </c>
    </row>
    <row r="8">
      <c r="A8" s="18">
        <f>IF(INDEX('1. Plot &amp; Site Log'!$A$5:$A$64,ROW()-4)="","",INDEX('1. Plot &amp; Site Log'!$A$5:$A$64,ROW()-4))</f>
        <v/>
      </c>
      <c r="B8" s="18">
        <f>IF($A8="","",INDEX('1. Plot &amp; Site Log'!$B$5:$B$64,MATCH($A8,'1. Plot &amp; Site Log'!$A$5:$A$64,0)))</f>
        <v/>
      </c>
      <c r="C8" s="18">
        <f>IF($A8="","",COUNTIFS('2. Core Log'!$B$5:$B$124,$A8))</f>
        <v/>
      </c>
      <c r="D8" s="18">
        <f>IF(OR($A8="",$C8=0),"",IFERROR(AVERAGEIFS('2. Core Log'!$R$5:$R$124,'2. Core Log'!$B$5:$B$124,$A8),""))</f>
        <v/>
      </c>
      <c r="E8" s="18">
        <f>IF(OR($A8="",$C8=0),"",IFERROR(AVERAGEIFS('2. Core Log'!$S$5:$S$124,'2. Core Log'!$B$5:$B$124,$A8),""))</f>
        <v/>
      </c>
      <c r="F8" s="14" t="n"/>
      <c r="G8" s="21">
        <f>IF($A8="","",IF(ISNUMBER($D8),$D8,0)+IF(ISNUMBER($F8),$F8,0))</f>
        <v/>
      </c>
      <c r="H8" s="18">
        <f>IF($A8="","",IF($C8=0,"No cores for this plot — it contributes nothing to the site mean. ","")&amp;IF(AND($C8&gt;0,$C8&lt;2),"Only one core in this plot. Bansal et al. recommend three or more per wetland. ","")&amp;IF(AND(ISNUMBER($D8),ISNUMBER($E8),$D8&gt;$E8*1.5),"Most of this plot's carbon lies below the reference depth — make sure your reporting says which number you are quoting. ",""))</f>
        <v/>
      </c>
      <c r="I8" s="18">
        <f>IF(ISNUMBER($G8),$G8,0)</f>
        <v/>
      </c>
      <c r="J8" s="18">
        <f>IF(AND(ISNUMBER($G8),$A8&lt;&gt;""),1,0)</f>
        <v/>
      </c>
    </row>
    <row r="9">
      <c r="A9" s="18">
        <f>IF(INDEX('1. Plot &amp; Site Log'!$A$5:$A$64,ROW()-4)="","",INDEX('1. Plot &amp; Site Log'!$A$5:$A$64,ROW()-4))</f>
        <v/>
      </c>
      <c r="B9" s="18">
        <f>IF($A9="","",INDEX('1. Plot &amp; Site Log'!$B$5:$B$64,MATCH($A9,'1. Plot &amp; Site Log'!$A$5:$A$64,0)))</f>
        <v/>
      </c>
      <c r="C9" s="18">
        <f>IF($A9="","",COUNTIFS('2. Core Log'!$B$5:$B$124,$A9))</f>
        <v/>
      </c>
      <c r="D9" s="18">
        <f>IF(OR($A9="",$C9=0),"",IFERROR(AVERAGEIFS('2. Core Log'!$R$5:$R$124,'2. Core Log'!$B$5:$B$124,$A9),""))</f>
        <v/>
      </c>
      <c r="E9" s="18">
        <f>IF(OR($A9="",$C9=0),"",IFERROR(AVERAGEIFS('2. Core Log'!$S$5:$S$124,'2. Core Log'!$B$5:$B$124,$A9),""))</f>
        <v/>
      </c>
      <c r="F9" s="14" t="n"/>
      <c r="G9" s="21">
        <f>IF($A9="","",IF(ISNUMBER($D9),$D9,0)+IF(ISNUMBER($F9),$F9,0))</f>
        <v/>
      </c>
      <c r="H9" s="18">
        <f>IF($A9="","",IF($C9=0,"No cores for this plot — it contributes nothing to the site mean. ","")&amp;IF(AND($C9&gt;0,$C9&lt;2),"Only one core in this plot. Bansal et al. recommend three or more per wetland. ","")&amp;IF(AND(ISNUMBER($D9),ISNUMBER($E9),$D9&gt;$E9*1.5),"Most of this plot's carbon lies below the reference depth — make sure your reporting says which number you are quoting. ",""))</f>
        <v/>
      </c>
      <c r="I9" s="18">
        <f>IF(ISNUMBER($G9),$G9,0)</f>
        <v/>
      </c>
      <c r="J9" s="18">
        <f>IF(AND(ISNUMBER($G9),$A9&lt;&gt;""),1,0)</f>
        <v/>
      </c>
    </row>
    <row r="10">
      <c r="A10" s="18">
        <f>IF(INDEX('1. Plot &amp; Site Log'!$A$5:$A$64,ROW()-4)="","",INDEX('1. Plot &amp; Site Log'!$A$5:$A$64,ROW()-4))</f>
        <v/>
      </c>
      <c r="B10" s="18">
        <f>IF($A10="","",INDEX('1. Plot &amp; Site Log'!$B$5:$B$64,MATCH($A10,'1. Plot &amp; Site Log'!$A$5:$A$64,0)))</f>
        <v/>
      </c>
      <c r="C10" s="18">
        <f>IF($A10="","",COUNTIFS('2. Core Log'!$B$5:$B$124,$A10))</f>
        <v/>
      </c>
      <c r="D10" s="18">
        <f>IF(OR($A10="",$C10=0),"",IFERROR(AVERAGEIFS('2. Core Log'!$R$5:$R$124,'2. Core Log'!$B$5:$B$124,$A10),""))</f>
        <v/>
      </c>
      <c r="E10" s="18">
        <f>IF(OR($A10="",$C10=0),"",IFERROR(AVERAGEIFS('2. Core Log'!$S$5:$S$124,'2. Core Log'!$B$5:$B$124,$A10),""))</f>
        <v/>
      </c>
      <c r="F10" s="14" t="n"/>
      <c r="G10" s="21">
        <f>IF($A10="","",IF(ISNUMBER($D10),$D10,0)+IF(ISNUMBER($F10),$F10,0))</f>
        <v/>
      </c>
      <c r="H10" s="18">
        <f>IF($A10="","",IF($C10=0,"No cores for this plot — it contributes nothing to the site mean. ","")&amp;IF(AND($C10&gt;0,$C10&lt;2),"Only one core in this plot. Bansal et al. recommend three or more per wetland. ","")&amp;IF(AND(ISNUMBER($D10),ISNUMBER($E10),$D10&gt;$E10*1.5),"Most of this plot's carbon lies below the reference depth — make sure your reporting says which number you are quoting. ",""))</f>
        <v/>
      </c>
      <c r="I10" s="18">
        <f>IF(ISNUMBER($G10),$G10,0)</f>
        <v/>
      </c>
      <c r="J10" s="18">
        <f>IF(AND(ISNUMBER($G10),$A10&lt;&gt;""),1,0)</f>
        <v/>
      </c>
    </row>
    <row r="11">
      <c r="A11" s="18">
        <f>IF(INDEX('1. Plot &amp; Site Log'!$A$5:$A$64,ROW()-4)="","",INDEX('1. Plot &amp; Site Log'!$A$5:$A$64,ROW()-4))</f>
        <v/>
      </c>
      <c r="B11" s="18">
        <f>IF($A11="","",INDEX('1. Plot &amp; Site Log'!$B$5:$B$64,MATCH($A11,'1. Plot &amp; Site Log'!$A$5:$A$64,0)))</f>
        <v/>
      </c>
      <c r="C11" s="18">
        <f>IF($A11="","",COUNTIFS('2. Core Log'!$B$5:$B$124,$A11))</f>
        <v/>
      </c>
      <c r="D11" s="18">
        <f>IF(OR($A11="",$C11=0),"",IFERROR(AVERAGEIFS('2. Core Log'!$R$5:$R$124,'2. Core Log'!$B$5:$B$124,$A11),""))</f>
        <v/>
      </c>
      <c r="E11" s="18">
        <f>IF(OR($A11="",$C11=0),"",IFERROR(AVERAGEIFS('2. Core Log'!$S$5:$S$124,'2. Core Log'!$B$5:$B$124,$A11),""))</f>
        <v/>
      </c>
      <c r="F11" s="14" t="n"/>
      <c r="G11" s="21">
        <f>IF($A11="","",IF(ISNUMBER($D11),$D11,0)+IF(ISNUMBER($F11),$F11,0))</f>
        <v/>
      </c>
      <c r="H11" s="18">
        <f>IF($A11="","",IF($C11=0,"No cores for this plot — it contributes nothing to the site mean. ","")&amp;IF(AND($C11&gt;0,$C11&lt;2),"Only one core in this plot. Bansal et al. recommend three or more per wetland. ","")&amp;IF(AND(ISNUMBER($D11),ISNUMBER($E11),$D11&gt;$E11*1.5),"Most of this plot's carbon lies below the reference depth — make sure your reporting says which number you are quoting. ",""))</f>
        <v/>
      </c>
      <c r="I11" s="18">
        <f>IF(ISNUMBER($G11),$G11,0)</f>
        <v/>
      </c>
      <c r="J11" s="18">
        <f>IF(AND(ISNUMBER($G11),$A11&lt;&gt;""),1,0)</f>
        <v/>
      </c>
    </row>
    <row r="12">
      <c r="A12" s="18">
        <f>IF(INDEX('1. Plot &amp; Site Log'!$A$5:$A$64,ROW()-4)="","",INDEX('1. Plot &amp; Site Log'!$A$5:$A$64,ROW()-4))</f>
        <v/>
      </c>
      <c r="B12" s="18">
        <f>IF($A12="","",INDEX('1. Plot &amp; Site Log'!$B$5:$B$64,MATCH($A12,'1. Plot &amp; Site Log'!$A$5:$A$64,0)))</f>
        <v/>
      </c>
      <c r="C12" s="18">
        <f>IF($A12="","",COUNTIFS('2. Core Log'!$B$5:$B$124,$A12))</f>
        <v/>
      </c>
      <c r="D12" s="18">
        <f>IF(OR($A12="",$C12=0),"",IFERROR(AVERAGEIFS('2. Core Log'!$R$5:$R$124,'2. Core Log'!$B$5:$B$124,$A12),""))</f>
        <v/>
      </c>
      <c r="E12" s="18">
        <f>IF(OR($A12="",$C12=0),"",IFERROR(AVERAGEIFS('2. Core Log'!$S$5:$S$124,'2. Core Log'!$B$5:$B$124,$A12),""))</f>
        <v/>
      </c>
      <c r="F12" s="14" t="n"/>
      <c r="G12" s="21">
        <f>IF($A12="","",IF(ISNUMBER($D12),$D12,0)+IF(ISNUMBER($F12),$F12,0))</f>
        <v/>
      </c>
      <c r="H12" s="18">
        <f>IF($A12="","",IF($C12=0,"No cores for this plot — it contributes nothing to the site mean. ","")&amp;IF(AND($C12&gt;0,$C12&lt;2),"Only one core in this plot. Bansal et al. recommend three or more per wetland. ","")&amp;IF(AND(ISNUMBER($D12),ISNUMBER($E12),$D12&gt;$E12*1.5),"Most of this plot's carbon lies below the reference depth — make sure your reporting says which number you are quoting. ",""))</f>
        <v/>
      </c>
      <c r="I12" s="18">
        <f>IF(ISNUMBER($G12),$G12,0)</f>
        <v/>
      </c>
      <c r="J12" s="18">
        <f>IF(AND(ISNUMBER($G12),$A12&lt;&gt;""),1,0)</f>
        <v/>
      </c>
    </row>
    <row r="13">
      <c r="A13" s="18">
        <f>IF(INDEX('1. Plot &amp; Site Log'!$A$5:$A$64,ROW()-4)="","",INDEX('1. Plot &amp; Site Log'!$A$5:$A$64,ROW()-4))</f>
        <v/>
      </c>
      <c r="B13" s="18">
        <f>IF($A13="","",INDEX('1. Plot &amp; Site Log'!$B$5:$B$64,MATCH($A13,'1. Plot &amp; Site Log'!$A$5:$A$64,0)))</f>
        <v/>
      </c>
      <c r="C13" s="18">
        <f>IF($A13="","",COUNTIFS('2. Core Log'!$B$5:$B$124,$A13))</f>
        <v/>
      </c>
      <c r="D13" s="18">
        <f>IF(OR($A13="",$C13=0),"",IFERROR(AVERAGEIFS('2. Core Log'!$R$5:$R$124,'2. Core Log'!$B$5:$B$124,$A13),""))</f>
        <v/>
      </c>
      <c r="E13" s="18">
        <f>IF(OR($A13="",$C13=0),"",IFERROR(AVERAGEIFS('2. Core Log'!$S$5:$S$124,'2. Core Log'!$B$5:$B$124,$A13),""))</f>
        <v/>
      </c>
      <c r="F13" s="14" t="n"/>
      <c r="G13" s="21">
        <f>IF($A13="","",IF(ISNUMBER($D13),$D13,0)+IF(ISNUMBER($F13),$F13,0))</f>
        <v/>
      </c>
      <c r="H13" s="18">
        <f>IF($A13="","",IF($C13=0,"No cores for this plot — it contributes nothing to the site mean. ","")&amp;IF(AND($C13&gt;0,$C13&lt;2),"Only one core in this plot. Bansal et al. recommend three or more per wetland. ","")&amp;IF(AND(ISNUMBER($D13),ISNUMBER($E13),$D13&gt;$E13*1.5),"Most of this plot's carbon lies below the reference depth — make sure your reporting says which number you are quoting. ",""))</f>
        <v/>
      </c>
      <c r="I13" s="18">
        <f>IF(ISNUMBER($G13),$G13,0)</f>
        <v/>
      </c>
      <c r="J13" s="18">
        <f>IF(AND(ISNUMBER($G13),$A13&lt;&gt;""),1,0)</f>
        <v/>
      </c>
    </row>
    <row r="14">
      <c r="A14" s="18">
        <f>IF(INDEX('1. Plot &amp; Site Log'!$A$5:$A$64,ROW()-4)="","",INDEX('1. Plot &amp; Site Log'!$A$5:$A$64,ROW()-4))</f>
        <v/>
      </c>
      <c r="B14" s="18">
        <f>IF($A14="","",INDEX('1. Plot &amp; Site Log'!$B$5:$B$64,MATCH($A14,'1. Plot &amp; Site Log'!$A$5:$A$64,0)))</f>
        <v/>
      </c>
      <c r="C14" s="18">
        <f>IF($A14="","",COUNTIFS('2. Core Log'!$B$5:$B$124,$A14))</f>
        <v/>
      </c>
      <c r="D14" s="18">
        <f>IF(OR($A14="",$C14=0),"",IFERROR(AVERAGEIFS('2. Core Log'!$R$5:$R$124,'2. Core Log'!$B$5:$B$124,$A14),""))</f>
        <v/>
      </c>
      <c r="E14" s="18">
        <f>IF(OR($A14="",$C14=0),"",IFERROR(AVERAGEIFS('2. Core Log'!$S$5:$S$124,'2. Core Log'!$B$5:$B$124,$A14),""))</f>
        <v/>
      </c>
      <c r="F14" s="14" t="n"/>
      <c r="G14" s="21">
        <f>IF($A14="","",IF(ISNUMBER($D14),$D14,0)+IF(ISNUMBER($F14),$F14,0))</f>
        <v/>
      </c>
      <c r="H14" s="18">
        <f>IF($A14="","",IF($C14=0,"No cores for this plot — it contributes nothing to the site mean. ","")&amp;IF(AND($C14&gt;0,$C14&lt;2),"Only one core in this plot. Bansal et al. recommend three or more per wetland. ","")&amp;IF(AND(ISNUMBER($D14),ISNUMBER($E14),$D14&gt;$E14*1.5),"Most of this plot's carbon lies below the reference depth — make sure your reporting says which number you are quoting. ",""))</f>
        <v/>
      </c>
      <c r="I14" s="18">
        <f>IF(ISNUMBER($G14),$G14,0)</f>
        <v/>
      </c>
      <c r="J14" s="18">
        <f>IF(AND(ISNUMBER($G14),$A14&lt;&gt;""),1,0)</f>
        <v/>
      </c>
    </row>
    <row r="15">
      <c r="A15" s="18">
        <f>IF(INDEX('1. Plot &amp; Site Log'!$A$5:$A$64,ROW()-4)="","",INDEX('1. Plot &amp; Site Log'!$A$5:$A$64,ROW()-4))</f>
        <v/>
      </c>
      <c r="B15" s="18">
        <f>IF($A15="","",INDEX('1. Plot &amp; Site Log'!$B$5:$B$64,MATCH($A15,'1. Plot &amp; Site Log'!$A$5:$A$64,0)))</f>
        <v/>
      </c>
      <c r="C15" s="18">
        <f>IF($A15="","",COUNTIFS('2. Core Log'!$B$5:$B$124,$A15))</f>
        <v/>
      </c>
      <c r="D15" s="18">
        <f>IF(OR($A15="",$C15=0),"",IFERROR(AVERAGEIFS('2. Core Log'!$R$5:$R$124,'2. Core Log'!$B$5:$B$124,$A15),""))</f>
        <v/>
      </c>
      <c r="E15" s="18">
        <f>IF(OR($A15="",$C15=0),"",IFERROR(AVERAGEIFS('2. Core Log'!$S$5:$S$124,'2. Core Log'!$B$5:$B$124,$A15),""))</f>
        <v/>
      </c>
      <c r="F15" s="14" t="n"/>
      <c r="G15" s="21">
        <f>IF($A15="","",IF(ISNUMBER($D15),$D15,0)+IF(ISNUMBER($F15),$F15,0))</f>
        <v/>
      </c>
      <c r="H15" s="18">
        <f>IF($A15="","",IF($C15=0,"No cores for this plot — it contributes nothing to the site mean. ","")&amp;IF(AND($C15&gt;0,$C15&lt;2),"Only one core in this plot. Bansal et al. recommend three or more per wetland. ","")&amp;IF(AND(ISNUMBER($D15),ISNUMBER($E15),$D15&gt;$E15*1.5),"Most of this plot's carbon lies below the reference depth — make sure your reporting says which number you are quoting. ",""))</f>
        <v/>
      </c>
      <c r="I15" s="18">
        <f>IF(ISNUMBER($G15),$G15,0)</f>
        <v/>
      </c>
      <c r="J15" s="18">
        <f>IF(AND(ISNUMBER($G15),$A15&lt;&gt;""),1,0)</f>
        <v/>
      </c>
    </row>
    <row r="16">
      <c r="A16" s="18">
        <f>IF(INDEX('1. Plot &amp; Site Log'!$A$5:$A$64,ROW()-4)="","",INDEX('1. Plot &amp; Site Log'!$A$5:$A$64,ROW()-4))</f>
        <v/>
      </c>
      <c r="B16" s="18">
        <f>IF($A16="","",INDEX('1. Plot &amp; Site Log'!$B$5:$B$64,MATCH($A16,'1. Plot &amp; Site Log'!$A$5:$A$64,0)))</f>
        <v/>
      </c>
      <c r="C16" s="18">
        <f>IF($A16="","",COUNTIFS('2. Core Log'!$B$5:$B$124,$A16))</f>
        <v/>
      </c>
      <c r="D16" s="18">
        <f>IF(OR($A16="",$C16=0),"",IFERROR(AVERAGEIFS('2. Core Log'!$R$5:$R$124,'2. Core Log'!$B$5:$B$124,$A16),""))</f>
        <v/>
      </c>
      <c r="E16" s="18">
        <f>IF(OR($A16="",$C16=0),"",IFERROR(AVERAGEIFS('2. Core Log'!$S$5:$S$124,'2. Core Log'!$B$5:$B$124,$A16),""))</f>
        <v/>
      </c>
      <c r="F16" s="14" t="n"/>
      <c r="G16" s="21">
        <f>IF($A16="","",IF(ISNUMBER($D16),$D16,0)+IF(ISNUMBER($F16),$F16,0))</f>
        <v/>
      </c>
      <c r="H16" s="18">
        <f>IF($A16="","",IF($C16=0,"No cores for this plot — it contributes nothing to the site mean. ","")&amp;IF(AND($C16&gt;0,$C16&lt;2),"Only one core in this plot. Bansal et al. recommend three or more per wetland. ","")&amp;IF(AND(ISNUMBER($D16),ISNUMBER($E16),$D16&gt;$E16*1.5),"Most of this plot's carbon lies below the reference depth — make sure your reporting says which number you are quoting. ",""))</f>
        <v/>
      </c>
      <c r="I16" s="18">
        <f>IF(ISNUMBER($G16),$G16,0)</f>
        <v/>
      </c>
      <c r="J16" s="18">
        <f>IF(AND(ISNUMBER($G16),$A16&lt;&gt;""),1,0)</f>
        <v/>
      </c>
    </row>
    <row r="17">
      <c r="A17" s="18">
        <f>IF(INDEX('1. Plot &amp; Site Log'!$A$5:$A$64,ROW()-4)="","",INDEX('1. Plot &amp; Site Log'!$A$5:$A$64,ROW()-4))</f>
        <v/>
      </c>
      <c r="B17" s="18">
        <f>IF($A17="","",INDEX('1. Plot &amp; Site Log'!$B$5:$B$64,MATCH($A17,'1. Plot &amp; Site Log'!$A$5:$A$64,0)))</f>
        <v/>
      </c>
      <c r="C17" s="18">
        <f>IF($A17="","",COUNTIFS('2. Core Log'!$B$5:$B$124,$A17))</f>
        <v/>
      </c>
      <c r="D17" s="18">
        <f>IF(OR($A17="",$C17=0),"",IFERROR(AVERAGEIFS('2. Core Log'!$R$5:$R$124,'2. Core Log'!$B$5:$B$124,$A17),""))</f>
        <v/>
      </c>
      <c r="E17" s="18">
        <f>IF(OR($A17="",$C17=0),"",IFERROR(AVERAGEIFS('2. Core Log'!$S$5:$S$124,'2. Core Log'!$B$5:$B$124,$A17),""))</f>
        <v/>
      </c>
      <c r="F17" s="14" t="n"/>
      <c r="G17" s="21">
        <f>IF($A17="","",IF(ISNUMBER($D17),$D17,0)+IF(ISNUMBER($F17),$F17,0))</f>
        <v/>
      </c>
      <c r="H17" s="18">
        <f>IF($A17="","",IF($C17=0,"No cores for this plot — it contributes nothing to the site mean. ","")&amp;IF(AND($C17&gt;0,$C17&lt;2),"Only one core in this plot. Bansal et al. recommend three or more per wetland. ","")&amp;IF(AND(ISNUMBER($D17),ISNUMBER($E17),$D17&gt;$E17*1.5),"Most of this plot's carbon lies below the reference depth — make sure your reporting says which number you are quoting. ",""))</f>
        <v/>
      </c>
      <c r="I17" s="18">
        <f>IF(ISNUMBER($G17),$G17,0)</f>
        <v/>
      </c>
      <c r="J17" s="18">
        <f>IF(AND(ISNUMBER($G17),$A17&lt;&gt;""),1,0)</f>
        <v/>
      </c>
    </row>
    <row r="18">
      <c r="A18" s="18">
        <f>IF(INDEX('1. Plot &amp; Site Log'!$A$5:$A$64,ROW()-4)="","",INDEX('1. Plot &amp; Site Log'!$A$5:$A$64,ROW()-4))</f>
        <v/>
      </c>
      <c r="B18" s="18">
        <f>IF($A18="","",INDEX('1. Plot &amp; Site Log'!$B$5:$B$64,MATCH($A18,'1. Plot &amp; Site Log'!$A$5:$A$64,0)))</f>
        <v/>
      </c>
      <c r="C18" s="18">
        <f>IF($A18="","",COUNTIFS('2. Core Log'!$B$5:$B$124,$A18))</f>
        <v/>
      </c>
      <c r="D18" s="18">
        <f>IF(OR($A18="",$C18=0),"",IFERROR(AVERAGEIFS('2. Core Log'!$R$5:$R$124,'2. Core Log'!$B$5:$B$124,$A18),""))</f>
        <v/>
      </c>
      <c r="E18" s="18">
        <f>IF(OR($A18="",$C18=0),"",IFERROR(AVERAGEIFS('2. Core Log'!$S$5:$S$124,'2. Core Log'!$B$5:$B$124,$A18),""))</f>
        <v/>
      </c>
      <c r="F18" s="14" t="n"/>
      <c r="G18" s="21">
        <f>IF($A18="","",IF(ISNUMBER($D18),$D18,0)+IF(ISNUMBER($F18),$F18,0))</f>
        <v/>
      </c>
      <c r="H18" s="18">
        <f>IF($A18="","",IF($C18=0,"No cores for this plot — it contributes nothing to the site mean. ","")&amp;IF(AND($C18&gt;0,$C18&lt;2),"Only one core in this plot. Bansal et al. recommend three or more per wetland. ","")&amp;IF(AND(ISNUMBER($D18),ISNUMBER($E18),$D18&gt;$E18*1.5),"Most of this plot's carbon lies below the reference depth — make sure your reporting says which number you are quoting. ",""))</f>
        <v/>
      </c>
      <c r="I18" s="18">
        <f>IF(ISNUMBER($G18),$G18,0)</f>
        <v/>
      </c>
      <c r="J18" s="18">
        <f>IF(AND(ISNUMBER($G18),$A18&lt;&gt;""),1,0)</f>
        <v/>
      </c>
    </row>
    <row r="19">
      <c r="A19" s="18">
        <f>IF(INDEX('1. Plot &amp; Site Log'!$A$5:$A$64,ROW()-4)="","",INDEX('1. Plot &amp; Site Log'!$A$5:$A$64,ROW()-4))</f>
        <v/>
      </c>
      <c r="B19" s="18">
        <f>IF($A19="","",INDEX('1. Plot &amp; Site Log'!$B$5:$B$64,MATCH($A19,'1. Plot &amp; Site Log'!$A$5:$A$64,0)))</f>
        <v/>
      </c>
      <c r="C19" s="18">
        <f>IF($A19="","",COUNTIFS('2. Core Log'!$B$5:$B$124,$A19))</f>
        <v/>
      </c>
      <c r="D19" s="18">
        <f>IF(OR($A19="",$C19=0),"",IFERROR(AVERAGEIFS('2. Core Log'!$R$5:$R$124,'2. Core Log'!$B$5:$B$124,$A19),""))</f>
        <v/>
      </c>
      <c r="E19" s="18">
        <f>IF(OR($A19="",$C19=0),"",IFERROR(AVERAGEIFS('2. Core Log'!$S$5:$S$124,'2. Core Log'!$B$5:$B$124,$A19),""))</f>
        <v/>
      </c>
      <c r="F19" s="14" t="n"/>
      <c r="G19" s="21">
        <f>IF($A19="","",IF(ISNUMBER($D19),$D19,0)+IF(ISNUMBER($F19),$F19,0))</f>
        <v/>
      </c>
      <c r="H19" s="18">
        <f>IF($A19="","",IF($C19=0,"No cores for this plot — it contributes nothing to the site mean. ","")&amp;IF(AND($C19&gt;0,$C19&lt;2),"Only one core in this plot. Bansal et al. recommend three or more per wetland. ","")&amp;IF(AND(ISNUMBER($D19),ISNUMBER($E19),$D19&gt;$E19*1.5),"Most of this plot's carbon lies below the reference depth — make sure your reporting says which number you are quoting. ",""))</f>
        <v/>
      </c>
      <c r="I19" s="18">
        <f>IF(ISNUMBER($G19),$G19,0)</f>
        <v/>
      </c>
      <c r="J19" s="18">
        <f>IF(AND(ISNUMBER($G19),$A19&lt;&gt;""),1,0)</f>
        <v/>
      </c>
    </row>
    <row r="20">
      <c r="A20" s="18">
        <f>IF(INDEX('1. Plot &amp; Site Log'!$A$5:$A$64,ROW()-4)="","",INDEX('1. Plot &amp; Site Log'!$A$5:$A$64,ROW()-4))</f>
        <v/>
      </c>
      <c r="B20" s="18">
        <f>IF($A20="","",INDEX('1. Plot &amp; Site Log'!$B$5:$B$64,MATCH($A20,'1. Plot &amp; Site Log'!$A$5:$A$64,0)))</f>
        <v/>
      </c>
      <c r="C20" s="18">
        <f>IF($A20="","",COUNTIFS('2. Core Log'!$B$5:$B$124,$A20))</f>
        <v/>
      </c>
      <c r="D20" s="18">
        <f>IF(OR($A20="",$C20=0),"",IFERROR(AVERAGEIFS('2. Core Log'!$R$5:$R$124,'2. Core Log'!$B$5:$B$124,$A20),""))</f>
        <v/>
      </c>
      <c r="E20" s="18">
        <f>IF(OR($A20="",$C20=0),"",IFERROR(AVERAGEIFS('2. Core Log'!$S$5:$S$124,'2. Core Log'!$B$5:$B$124,$A20),""))</f>
        <v/>
      </c>
      <c r="F20" s="14" t="n"/>
      <c r="G20" s="21">
        <f>IF($A20="","",IF(ISNUMBER($D20),$D20,0)+IF(ISNUMBER($F20),$F20,0))</f>
        <v/>
      </c>
      <c r="H20" s="18">
        <f>IF($A20="","",IF($C20=0,"No cores for this plot — it contributes nothing to the site mean. ","")&amp;IF(AND($C20&gt;0,$C20&lt;2),"Only one core in this plot. Bansal et al. recommend three or more per wetland. ","")&amp;IF(AND(ISNUMBER($D20),ISNUMBER($E20),$D20&gt;$E20*1.5),"Most of this plot's carbon lies below the reference depth — make sure your reporting says which number you are quoting. ",""))</f>
        <v/>
      </c>
      <c r="I20" s="18">
        <f>IF(ISNUMBER($G20),$G20,0)</f>
        <v/>
      </c>
      <c r="J20" s="18">
        <f>IF(AND(ISNUMBER($G20),$A20&lt;&gt;""),1,0)</f>
        <v/>
      </c>
    </row>
    <row r="21">
      <c r="A21" s="18">
        <f>IF(INDEX('1. Plot &amp; Site Log'!$A$5:$A$64,ROW()-4)="","",INDEX('1. Plot &amp; Site Log'!$A$5:$A$64,ROW()-4))</f>
        <v/>
      </c>
      <c r="B21" s="18">
        <f>IF($A21="","",INDEX('1. Plot &amp; Site Log'!$B$5:$B$64,MATCH($A21,'1. Plot &amp; Site Log'!$A$5:$A$64,0)))</f>
        <v/>
      </c>
      <c r="C21" s="18">
        <f>IF($A21="","",COUNTIFS('2. Core Log'!$B$5:$B$124,$A21))</f>
        <v/>
      </c>
      <c r="D21" s="18">
        <f>IF(OR($A21="",$C21=0),"",IFERROR(AVERAGEIFS('2. Core Log'!$R$5:$R$124,'2. Core Log'!$B$5:$B$124,$A21),""))</f>
        <v/>
      </c>
      <c r="E21" s="18">
        <f>IF(OR($A21="",$C21=0),"",IFERROR(AVERAGEIFS('2. Core Log'!$S$5:$S$124,'2. Core Log'!$B$5:$B$124,$A21),""))</f>
        <v/>
      </c>
      <c r="F21" s="14" t="n"/>
      <c r="G21" s="21">
        <f>IF($A21="","",IF(ISNUMBER($D21),$D21,0)+IF(ISNUMBER($F21),$F21,0))</f>
        <v/>
      </c>
      <c r="H21" s="18">
        <f>IF($A21="","",IF($C21=0,"No cores for this plot — it contributes nothing to the site mean. ","")&amp;IF(AND($C21&gt;0,$C21&lt;2),"Only one core in this plot. Bansal et al. recommend three or more per wetland. ","")&amp;IF(AND(ISNUMBER($D21),ISNUMBER($E21),$D21&gt;$E21*1.5),"Most of this plot's carbon lies below the reference depth — make sure your reporting says which number you are quoting. ",""))</f>
        <v/>
      </c>
      <c r="I21" s="18">
        <f>IF(ISNUMBER($G21),$G21,0)</f>
        <v/>
      </c>
      <c r="J21" s="18">
        <f>IF(AND(ISNUMBER($G21),$A21&lt;&gt;""),1,0)</f>
        <v/>
      </c>
    </row>
    <row r="22">
      <c r="A22" s="18">
        <f>IF(INDEX('1. Plot &amp; Site Log'!$A$5:$A$64,ROW()-4)="","",INDEX('1. Plot &amp; Site Log'!$A$5:$A$64,ROW()-4))</f>
        <v/>
      </c>
      <c r="B22" s="18">
        <f>IF($A22="","",INDEX('1. Plot &amp; Site Log'!$B$5:$B$64,MATCH($A22,'1. Plot &amp; Site Log'!$A$5:$A$64,0)))</f>
        <v/>
      </c>
      <c r="C22" s="18">
        <f>IF($A22="","",COUNTIFS('2. Core Log'!$B$5:$B$124,$A22))</f>
        <v/>
      </c>
      <c r="D22" s="18">
        <f>IF(OR($A22="",$C22=0),"",IFERROR(AVERAGEIFS('2. Core Log'!$R$5:$R$124,'2. Core Log'!$B$5:$B$124,$A22),""))</f>
        <v/>
      </c>
      <c r="E22" s="18">
        <f>IF(OR($A22="",$C22=0),"",IFERROR(AVERAGEIFS('2. Core Log'!$S$5:$S$124,'2. Core Log'!$B$5:$B$124,$A22),""))</f>
        <v/>
      </c>
      <c r="F22" s="14" t="n"/>
      <c r="G22" s="21">
        <f>IF($A22="","",IF(ISNUMBER($D22),$D22,0)+IF(ISNUMBER($F22),$F22,0))</f>
        <v/>
      </c>
      <c r="H22" s="18">
        <f>IF($A22="","",IF($C22=0,"No cores for this plot — it contributes nothing to the site mean. ","")&amp;IF(AND($C22&gt;0,$C22&lt;2),"Only one core in this plot. Bansal et al. recommend three or more per wetland. ","")&amp;IF(AND(ISNUMBER($D22),ISNUMBER($E22),$D22&gt;$E22*1.5),"Most of this plot's carbon lies below the reference depth — make sure your reporting says which number you are quoting. ",""))</f>
        <v/>
      </c>
      <c r="I22" s="18">
        <f>IF(ISNUMBER($G22),$G22,0)</f>
        <v/>
      </c>
      <c r="J22" s="18">
        <f>IF(AND(ISNUMBER($G22),$A22&lt;&gt;""),1,0)</f>
        <v/>
      </c>
    </row>
    <row r="23">
      <c r="A23" s="18">
        <f>IF(INDEX('1. Plot &amp; Site Log'!$A$5:$A$64,ROW()-4)="","",INDEX('1. Plot &amp; Site Log'!$A$5:$A$64,ROW()-4))</f>
        <v/>
      </c>
      <c r="B23" s="18">
        <f>IF($A23="","",INDEX('1. Plot &amp; Site Log'!$B$5:$B$64,MATCH($A23,'1. Plot &amp; Site Log'!$A$5:$A$64,0)))</f>
        <v/>
      </c>
      <c r="C23" s="18">
        <f>IF($A23="","",COUNTIFS('2. Core Log'!$B$5:$B$124,$A23))</f>
        <v/>
      </c>
      <c r="D23" s="18">
        <f>IF(OR($A23="",$C23=0),"",IFERROR(AVERAGEIFS('2. Core Log'!$R$5:$R$124,'2. Core Log'!$B$5:$B$124,$A23),""))</f>
        <v/>
      </c>
      <c r="E23" s="18">
        <f>IF(OR($A23="",$C23=0),"",IFERROR(AVERAGEIFS('2. Core Log'!$S$5:$S$124,'2. Core Log'!$B$5:$B$124,$A23),""))</f>
        <v/>
      </c>
      <c r="F23" s="14" t="n"/>
      <c r="G23" s="21">
        <f>IF($A23="","",IF(ISNUMBER($D23),$D23,0)+IF(ISNUMBER($F23),$F23,0))</f>
        <v/>
      </c>
      <c r="H23" s="18">
        <f>IF($A23="","",IF($C23=0,"No cores for this plot — it contributes nothing to the site mean. ","")&amp;IF(AND($C23&gt;0,$C23&lt;2),"Only one core in this plot. Bansal et al. recommend three or more per wetland. ","")&amp;IF(AND(ISNUMBER($D23),ISNUMBER($E23),$D23&gt;$E23*1.5),"Most of this plot's carbon lies below the reference depth — make sure your reporting says which number you are quoting. ",""))</f>
        <v/>
      </c>
      <c r="I23" s="18">
        <f>IF(ISNUMBER($G23),$G23,0)</f>
        <v/>
      </c>
      <c r="J23" s="18">
        <f>IF(AND(ISNUMBER($G23),$A23&lt;&gt;""),1,0)</f>
        <v/>
      </c>
    </row>
    <row r="24">
      <c r="A24" s="18">
        <f>IF(INDEX('1. Plot &amp; Site Log'!$A$5:$A$64,ROW()-4)="","",INDEX('1. Plot &amp; Site Log'!$A$5:$A$64,ROW()-4))</f>
        <v/>
      </c>
      <c r="B24" s="18">
        <f>IF($A24="","",INDEX('1. Plot &amp; Site Log'!$B$5:$B$64,MATCH($A24,'1. Plot &amp; Site Log'!$A$5:$A$64,0)))</f>
        <v/>
      </c>
      <c r="C24" s="18">
        <f>IF($A24="","",COUNTIFS('2. Core Log'!$B$5:$B$124,$A24))</f>
        <v/>
      </c>
      <c r="D24" s="18">
        <f>IF(OR($A24="",$C24=0),"",IFERROR(AVERAGEIFS('2. Core Log'!$R$5:$R$124,'2. Core Log'!$B$5:$B$124,$A24),""))</f>
        <v/>
      </c>
      <c r="E24" s="18">
        <f>IF(OR($A24="",$C24=0),"",IFERROR(AVERAGEIFS('2. Core Log'!$S$5:$S$124,'2. Core Log'!$B$5:$B$124,$A24),""))</f>
        <v/>
      </c>
      <c r="F24" s="14" t="n"/>
      <c r="G24" s="21">
        <f>IF($A24="","",IF(ISNUMBER($D24),$D24,0)+IF(ISNUMBER($F24),$F24,0))</f>
        <v/>
      </c>
      <c r="H24" s="18">
        <f>IF($A24="","",IF($C24=0,"No cores for this plot — it contributes nothing to the site mean. ","")&amp;IF(AND($C24&gt;0,$C24&lt;2),"Only one core in this plot. Bansal et al. recommend three or more per wetland. ","")&amp;IF(AND(ISNUMBER($D24),ISNUMBER($E24),$D24&gt;$E24*1.5),"Most of this plot's carbon lies below the reference depth — make sure your reporting says which number you are quoting. ",""))</f>
        <v/>
      </c>
      <c r="I24" s="18">
        <f>IF(ISNUMBER($G24),$G24,0)</f>
        <v/>
      </c>
      <c r="J24" s="18">
        <f>IF(AND(ISNUMBER($G24),$A24&lt;&gt;""),1,0)</f>
        <v/>
      </c>
    </row>
    <row r="25">
      <c r="A25" s="18">
        <f>IF(INDEX('1. Plot &amp; Site Log'!$A$5:$A$64,ROW()-4)="","",INDEX('1. Plot &amp; Site Log'!$A$5:$A$64,ROW()-4))</f>
        <v/>
      </c>
      <c r="B25" s="18">
        <f>IF($A25="","",INDEX('1. Plot &amp; Site Log'!$B$5:$B$64,MATCH($A25,'1. Plot &amp; Site Log'!$A$5:$A$64,0)))</f>
        <v/>
      </c>
      <c r="C25" s="18">
        <f>IF($A25="","",COUNTIFS('2. Core Log'!$B$5:$B$124,$A25))</f>
        <v/>
      </c>
      <c r="D25" s="18">
        <f>IF(OR($A25="",$C25=0),"",IFERROR(AVERAGEIFS('2. Core Log'!$R$5:$R$124,'2. Core Log'!$B$5:$B$124,$A25),""))</f>
        <v/>
      </c>
      <c r="E25" s="18">
        <f>IF(OR($A25="",$C25=0),"",IFERROR(AVERAGEIFS('2. Core Log'!$S$5:$S$124,'2. Core Log'!$B$5:$B$124,$A25),""))</f>
        <v/>
      </c>
      <c r="F25" s="14" t="n"/>
      <c r="G25" s="21">
        <f>IF($A25="","",IF(ISNUMBER($D25),$D25,0)+IF(ISNUMBER($F25),$F25,0))</f>
        <v/>
      </c>
      <c r="H25" s="18">
        <f>IF($A25="","",IF($C25=0,"No cores for this plot — it contributes nothing to the site mean. ","")&amp;IF(AND($C25&gt;0,$C25&lt;2),"Only one core in this plot. Bansal et al. recommend three or more per wetland. ","")&amp;IF(AND(ISNUMBER($D25),ISNUMBER($E25),$D25&gt;$E25*1.5),"Most of this plot's carbon lies below the reference depth — make sure your reporting says which number you are quoting. ",""))</f>
        <v/>
      </c>
      <c r="I25" s="18">
        <f>IF(ISNUMBER($G25),$G25,0)</f>
        <v/>
      </c>
      <c r="J25" s="18">
        <f>IF(AND(ISNUMBER($G25),$A25&lt;&gt;""),1,0)</f>
        <v/>
      </c>
    </row>
    <row r="26">
      <c r="A26" s="18">
        <f>IF(INDEX('1. Plot &amp; Site Log'!$A$5:$A$64,ROW()-4)="","",INDEX('1. Plot &amp; Site Log'!$A$5:$A$64,ROW()-4))</f>
        <v/>
      </c>
      <c r="B26" s="18">
        <f>IF($A26="","",INDEX('1. Plot &amp; Site Log'!$B$5:$B$64,MATCH($A26,'1. Plot &amp; Site Log'!$A$5:$A$64,0)))</f>
        <v/>
      </c>
      <c r="C26" s="18">
        <f>IF($A26="","",COUNTIFS('2. Core Log'!$B$5:$B$124,$A26))</f>
        <v/>
      </c>
      <c r="D26" s="18">
        <f>IF(OR($A26="",$C26=0),"",IFERROR(AVERAGEIFS('2. Core Log'!$R$5:$R$124,'2. Core Log'!$B$5:$B$124,$A26),""))</f>
        <v/>
      </c>
      <c r="E26" s="18">
        <f>IF(OR($A26="",$C26=0),"",IFERROR(AVERAGEIFS('2. Core Log'!$S$5:$S$124,'2. Core Log'!$B$5:$B$124,$A26),""))</f>
        <v/>
      </c>
      <c r="F26" s="14" t="n"/>
      <c r="G26" s="21">
        <f>IF($A26="","",IF(ISNUMBER($D26),$D26,0)+IF(ISNUMBER($F26),$F26,0))</f>
        <v/>
      </c>
      <c r="H26" s="18">
        <f>IF($A26="","",IF($C26=0,"No cores for this plot — it contributes nothing to the site mean. ","")&amp;IF(AND($C26&gt;0,$C26&lt;2),"Only one core in this plot. Bansal et al. recommend three or more per wetland. ","")&amp;IF(AND(ISNUMBER($D26),ISNUMBER($E26),$D26&gt;$E26*1.5),"Most of this plot's carbon lies below the reference depth — make sure your reporting says which number you are quoting. ",""))</f>
        <v/>
      </c>
      <c r="I26" s="18">
        <f>IF(ISNUMBER($G26),$G26,0)</f>
        <v/>
      </c>
      <c r="J26" s="18">
        <f>IF(AND(ISNUMBER($G26),$A26&lt;&gt;""),1,0)</f>
        <v/>
      </c>
    </row>
    <row r="27">
      <c r="A27" s="18">
        <f>IF(INDEX('1. Plot &amp; Site Log'!$A$5:$A$64,ROW()-4)="","",INDEX('1. Plot &amp; Site Log'!$A$5:$A$64,ROW()-4))</f>
        <v/>
      </c>
      <c r="B27" s="18">
        <f>IF($A27="","",INDEX('1. Plot &amp; Site Log'!$B$5:$B$64,MATCH($A27,'1. Plot &amp; Site Log'!$A$5:$A$64,0)))</f>
        <v/>
      </c>
      <c r="C27" s="18">
        <f>IF($A27="","",COUNTIFS('2. Core Log'!$B$5:$B$124,$A27))</f>
        <v/>
      </c>
      <c r="D27" s="18">
        <f>IF(OR($A27="",$C27=0),"",IFERROR(AVERAGEIFS('2. Core Log'!$R$5:$R$124,'2. Core Log'!$B$5:$B$124,$A27),""))</f>
        <v/>
      </c>
      <c r="E27" s="18">
        <f>IF(OR($A27="",$C27=0),"",IFERROR(AVERAGEIFS('2. Core Log'!$S$5:$S$124,'2. Core Log'!$B$5:$B$124,$A27),""))</f>
        <v/>
      </c>
      <c r="F27" s="14" t="n"/>
      <c r="G27" s="21">
        <f>IF($A27="","",IF(ISNUMBER($D27),$D27,0)+IF(ISNUMBER($F27),$F27,0))</f>
        <v/>
      </c>
      <c r="H27" s="18">
        <f>IF($A27="","",IF($C27=0,"No cores for this plot — it contributes nothing to the site mean. ","")&amp;IF(AND($C27&gt;0,$C27&lt;2),"Only one core in this plot. Bansal et al. recommend three or more per wetland. ","")&amp;IF(AND(ISNUMBER($D27),ISNUMBER($E27),$D27&gt;$E27*1.5),"Most of this plot's carbon lies below the reference depth — make sure your reporting says which number you are quoting. ",""))</f>
        <v/>
      </c>
      <c r="I27" s="18">
        <f>IF(ISNUMBER($G27),$G27,0)</f>
        <v/>
      </c>
      <c r="J27" s="18">
        <f>IF(AND(ISNUMBER($G27),$A27&lt;&gt;""),1,0)</f>
        <v/>
      </c>
    </row>
    <row r="28">
      <c r="A28" s="18">
        <f>IF(INDEX('1. Plot &amp; Site Log'!$A$5:$A$64,ROW()-4)="","",INDEX('1. Plot &amp; Site Log'!$A$5:$A$64,ROW()-4))</f>
        <v/>
      </c>
      <c r="B28" s="18">
        <f>IF($A28="","",INDEX('1. Plot &amp; Site Log'!$B$5:$B$64,MATCH($A28,'1. Plot &amp; Site Log'!$A$5:$A$64,0)))</f>
        <v/>
      </c>
      <c r="C28" s="18">
        <f>IF($A28="","",COUNTIFS('2. Core Log'!$B$5:$B$124,$A28))</f>
        <v/>
      </c>
      <c r="D28" s="18">
        <f>IF(OR($A28="",$C28=0),"",IFERROR(AVERAGEIFS('2. Core Log'!$R$5:$R$124,'2. Core Log'!$B$5:$B$124,$A28),""))</f>
        <v/>
      </c>
      <c r="E28" s="18">
        <f>IF(OR($A28="",$C28=0),"",IFERROR(AVERAGEIFS('2. Core Log'!$S$5:$S$124,'2. Core Log'!$B$5:$B$124,$A28),""))</f>
        <v/>
      </c>
      <c r="F28" s="14" t="n"/>
      <c r="G28" s="21">
        <f>IF($A28="","",IF(ISNUMBER($D28),$D28,0)+IF(ISNUMBER($F28),$F28,0))</f>
        <v/>
      </c>
      <c r="H28" s="18">
        <f>IF($A28="","",IF($C28=0,"No cores for this plot — it contributes nothing to the site mean. ","")&amp;IF(AND($C28&gt;0,$C28&lt;2),"Only one core in this plot. Bansal et al. recommend three or more per wetland. ","")&amp;IF(AND(ISNUMBER($D28),ISNUMBER($E28),$D28&gt;$E28*1.5),"Most of this plot's carbon lies below the reference depth — make sure your reporting says which number you are quoting. ",""))</f>
        <v/>
      </c>
      <c r="I28" s="18">
        <f>IF(ISNUMBER($G28),$G28,0)</f>
        <v/>
      </c>
      <c r="J28" s="18">
        <f>IF(AND(ISNUMBER($G28),$A28&lt;&gt;""),1,0)</f>
        <v/>
      </c>
    </row>
    <row r="29">
      <c r="A29" s="18">
        <f>IF(INDEX('1. Plot &amp; Site Log'!$A$5:$A$64,ROW()-4)="","",INDEX('1. Plot &amp; Site Log'!$A$5:$A$64,ROW()-4))</f>
        <v/>
      </c>
      <c r="B29" s="18">
        <f>IF($A29="","",INDEX('1. Plot &amp; Site Log'!$B$5:$B$64,MATCH($A29,'1. Plot &amp; Site Log'!$A$5:$A$64,0)))</f>
        <v/>
      </c>
      <c r="C29" s="18">
        <f>IF($A29="","",COUNTIFS('2. Core Log'!$B$5:$B$124,$A29))</f>
        <v/>
      </c>
      <c r="D29" s="18">
        <f>IF(OR($A29="",$C29=0),"",IFERROR(AVERAGEIFS('2. Core Log'!$R$5:$R$124,'2. Core Log'!$B$5:$B$124,$A29),""))</f>
        <v/>
      </c>
      <c r="E29" s="18">
        <f>IF(OR($A29="",$C29=0),"",IFERROR(AVERAGEIFS('2. Core Log'!$S$5:$S$124,'2. Core Log'!$B$5:$B$124,$A29),""))</f>
        <v/>
      </c>
      <c r="F29" s="14" t="n"/>
      <c r="G29" s="21">
        <f>IF($A29="","",IF(ISNUMBER($D29),$D29,0)+IF(ISNUMBER($F29),$F29,0))</f>
        <v/>
      </c>
      <c r="H29" s="18">
        <f>IF($A29="","",IF($C29=0,"No cores for this plot — it contributes nothing to the site mean. ","")&amp;IF(AND($C29&gt;0,$C29&lt;2),"Only one core in this plot. Bansal et al. recommend three or more per wetland. ","")&amp;IF(AND(ISNUMBER($D29),ISNUMBER($E29),$D29&gt;$E29*1.5),"Most of this plot's carbon lies below the reference depth — make sure your reporting says which number you are quoting. ",""))</f>
        <v/>
      </c>
      <c r="I29" s="18">
        <f>IF(ISNUMBER($G29),$G29,0)</f>
        <v/>
      </c>
      <c r="J29" s="18">
        <f>IF(AND(ISNUMBER($G29),$A29&lt;&gt;""),1,0)</f>
        <v/>
      </c>
    </row>
    <row r="30">
      <c r="A30" s="18">
        <f>IF(INDEX('1. Plot &amp; Site Log'!$A$5:$A$64,ROW()-4)="","",INDEX('1. Plot &amp; Site Log'!$A$5:$A$64,ROW()-4))</f>
        <v/>
      </c>
      <c r="B30" s="18">
        <f>IF($A30="","",INDEX('1. Plot &amp; Site Log'!$B$5:$B$64,MATCH($A30,'1. Plot &amp; Site Log'!$A$5:$A$64,0)))</f>
        <v/>
      </c>
      <c r="C30" s="18">
        <f>IF($A30="","",COUNTIFS('2. Core Log'!$B$5:$B$124,$A30))</f>
        <v/>
      </c>
      <c r="D30" s="18">
        <f>IF(OR($A30="",$C30=0),"",IFERROR(AVERAGEIFS('2. Core Log'!$R$5:$R$124,'2. Core Log'!$B$5:$B$124,$A30),""))</f>
        <v/>
      </c>
      <c r="E30" s="18">
        <f>IF(OR($A30="",$C30=0),"",IFERROR(AVERAGEIFS('2. Core Log'!$S$5:$S$124,'2. Core Log'!$B$5:$B$124,$A30),""))</f>
        <v/>
      </c>
      <c r="F30" s="14" t="n"/>
      <c r="G30" s="21">
        <f>IF($A30="","",IF(ISNUMBER($D30),$D30,0)+IF(ISNUMBER($F30),$F30,0))</f>
        <v/>
      </c>
      <c r="H30" s="18">
        <f>IF($A30="","",IF($C30=0,"No cores for this plot — it contributes nothing to the site mean. ","")&amp;IF(AND($C30&gt;0,$C30&lt;2),"Only one core in this plot. Bansal et al. recommend three or more per wetland. ","")&amp;IF(AND(ISNUMBER($D30),ISNUMBER($E30),$D30&gt;$E30*1.5),"Most of this plot's carbon lies below the reference depth — make sure your reporting says which number you are quoting. ",""))</f>
        <v/>
      </c>
      <c r="I30" s="18">
        <f>IF(ISNUMBER($G30),$G30,0)</f>
        <v/>
      </c>
      <c r="J30" s="18">
        <f>IF(AND(ISNUMBER($G30),$A30&lt;&gt;""),1,0)</f>
        <v/>
      </c>
    </row>
    <row r="31">
      <c r="A31" s="18">
        <f>IF(INDEX('1. Plot &amp; Site Log'!$A$5:$A$64,ROW()-4)="","",INDEX('1. Plot &amp; Site Log'!$A$5:$A$64,ROW()-4))</f>
        <v/>
      </c>
      <c r="B31" s="18">
        <f>IF($A31="","",INDEX('1. Plot &amp; Site Log'!$B$5:$B$64,MATCH($A31,'1. Plot &amp; Site Log'!$A$5:$A$64,0)))</f>
        <v/>
      </c>
      <c r="C31" s="18">
        <f>IF($A31="","",COUNTIFS('2. Core Log'!$B$5:$B$124,$A31))</f>
        <v/>
      </c>
      <c r="D31" s="18">
        <f>IF(OR($A31="",$C31=0),"",IFERROR(AVERAGEIFS('2. Core Log'!$R$5:$R$124,'2. Core Log'!$B$5:$B$124,$A31),""))</f>
        <v/>
      </c>
      <c r="E31" s="18">
        <f>IF(OR($A31="",$C31=0),"",IFERROR(AVERAGEIFS('2. Core Log'!$S$5:$S$124,'2. Core Log'!$B$5:$B$124,$A31),""))</f>
        <v/>
      </c>
      <c r="F31" s="14" t="n"/>
      <c r="G31" s="21">
        <f>IF($A31="","",IF(ISNUMBER($D31),$D31,0)+IF(ISNUMBER($F31),$F31,0))</f>
        <v/>
      </c>
      <c r="H31" s="18">
        <f>IF($A31="","",IF($C31=0,"No cores for this plot — it contributes nothing to the site mean. ","")&amp;IF(AND($C31&gt;0,$C31&lt;2),"Only one core in this plot. Bansal et al. recommend three or more per wetland. ","")&amp;IF(AND(ISNUMBER($D31),ISNUMBER($E31),$D31&gt;$E31*1.5),"Most of this plot's carbon lies below the reference depth — make sure your reporting says which number you are quoting. ",""))</f>
        <v/>
      </c>
      <c r="I31" s="18">
        <f>IF(ISNUMBER($G31),$G31,0)</f>
        <v/>
      </c>
      <c r="J31" s="18">
        <f>IF(AND(ISNUMBER($G31),$A31&lt;&gt;""),1,0)</f>
        <v/>
      </c>
    </row>
    <row r="32">
      <c r="A32" s="18">
        <f>IF(INDEX('1. Plot &amp; Site Log'!$A$5:$A$64,ROW()-4)="","",INDEX('1. Plot &amp; Site Log'!$A$5:$A$64,ROW()-4))</f>
        <v/>
      </c>
      <c r="B32" s="18">
        <f>IF($A32="","",INDEX('1. Plot &amp; Site Log'!$B$5:$B$64,MATCH($A32,'1. Plot &amp; Site Log'!$A$5:$A$64,0)))</f>
        <v/>
      </c>
      <c r="C32" s="18">
        <f>IF($A32="","",COUNTIFS('2. Core Log'!$B$5:$B$124,$A32))</f>
        <v/>
      </c>
      <c r="D32" s="18">
        <f>IF(OR($A32="",$C32=0),"",IFERROR(AVERAGEIFS('2. Core Log'!$R$5:$R$124,'2. Core Log'!$B$5:$B$124,$A32),""))</f>
        <v/>
      </c>
      <c r="E32" s="18">
        <f>IF(OR($A32="",$C32=0),"",IFERROR(AVERAGEIFS('2. Core Log'!$S$5:$S$124,'2. Core Log'!$B$5:$B$124,$A32),""))</f>
        <v/>
      </c>
      <c r="F32" s="14" t="n"/>
      <c r="G32" s="21">
        <f>IF($A32="","",IF(ISNUMBER($D32),$D32,0)+IF(ISNUMBER($F32),$F32,0))</f>
        <v/>
      </c>
      <c r="H32" s="18">
        <f>IF($A32="","",IF($C32=0,"No cores for this plot — it contributes nothing to the site mean. ","")&amp;IF(AND($C32&gt;0,$C32&lt;2),"Only one core in this plot. Bansal et al. recommend three or more per wetland. ","")&amp;IF(AND(ISNUMBER($D32),ISNUMBER($E32),$D32&gt;$E32*1.5),"Most of this plot's carbon lies below the reference depth — make sure your reporting says which number you are quoting. ",""))</f>
        <v/>
      </c>
      <c r="I32" s="18">
        <f>IF(ISNUMBER($G32),$G32,0)</f>
        <v/>
      </c>
      <c r="J32" s="18">
        <f>IF(AND(ISNUMBER($G32),$A32&lt;&gt;""),1,0)</f>
        <v/>
      </c>
    </row>
    <row r="33">
      <c r="A33" s="18">
        <f>IF(INDEX('1. Plot &amp; Site Log'!$A$5:$A$64,ROW()-4)="","",INDEX('1. Plot &amp; Site Log'!$A$5:$A$64,ROW()-4))</f>
        <v/>
      </c>
      <c r="B33" s="18">
        <f>IF($A33="","",INDEX('1. Plot &amp; Site Log'!$B$5:$B$64,MATCH($A33,'1. Plot &amp; Site Log'!$A$5:$A$64,0)))</f>
        <v/>
      </c>
      <c r="C33" s="18">
        <f>IF($A33="","",COUNTIFS('2. Core Log'!$B$5:$B$124,$A33))</f>
        <v/>
      </c>
      <c r="D33" s="18">
        <f>IF(OR($A33="",$C33=0),"",IFERROR(AVERAGEIFS('2. Core Log'!$R$5:$R$124,'2. Core Log'!$B$5:$B$124,$A33),""))</f>
        <v/>
      </c>
      <c r="E33" s="18">
        <f>IF(OR($A33="",$C33=0),"",IFERROR(AVERAGEIFS('2. Core Log'!$S$5:$S$124,'2. Core Log'!$B$5:$B$124,$A33),""))</f>
        <v/>
      </c>
      <c r="F33" s="14" t="n"/>
      <c r="G33" s="21">
        <f>IF($A33="","",IF(ISNUMBER($D33),$D33,0)+IF(ISNUMBER($F33),$F33,0))</f>
        <v/>
      </c>
      <c r="H33" s="18">
        <f>IF($A33="","",IF($C33=0,"No cores for this plot — it contributes nothing to the site mean. ","")&amp;IF(AND($C33&gt;0,$C33&lt;2),"Only one core in this plot. Bansal et al. recommend three or more per wetland. ","")&amp;IF(AND(ISNUMBER($D33),ISNUMBER($E33),$D33&gt;$E33*1.5),"Most of this plot's carbon lies below the reference depth — make sure your reporting says which number you are quoting. ",""))</f>
        <v/>
      </c>
      <c r="I33" s="18">
        <f>IF(ISNUMBER($G33),$G33,0)</f>
        <v/>
      </c>
      <c r="J33" s="18">
        <f>IF(AND(ISNUMBER($G33),$A33&lt;&gt;""),1,0)</f>
        <v/>
      </c>
    </row>
    <row r="34">
      <c r="A34" s="18">
        <f>IF(INDEX('1. Plot &amp; Site Log'!$A$5:$A$64,ROW()-4)="","",INDEX('1. Plot &amp; Site Log'!$A$5:$A$64,ROW()-4))</f>
        <v/>
      </c>
      <c r="B34" s="18">
        <f>IF($A34="","",INDEX('1. Plot &amp; Site Log'!$B$5:$B$64,MATCH($A34,'1. Plot &amp; Site Log'!$A$5:$A$64,0)))</f>
        <v/>
      </c>
      <c r="C34" s="18">
        <f>IF($A34="","",COUNTIFS('2. Core Log'!$B$5:$B$124,$A34))</f>
        <v/>
      </c>
      <c r="D34" s="18">
        <f>IF(OR($A34="",$C34=0),"",IFERROR(AVERAGEIFS('2. Core Log'!$R$5:$R$124,'2. Core Log'!$B$5:$B$124,$A34),""))</f>
        <v/>
      </c>
      <c r="E34" s="18">
        <f>IF(OR($A34="",$C34=0),"",IFERROR(AVERAGEIFS('2. Core Log'!$S$5:$S$124,'2. Core Log'!$B$5:$B$124,$A34),""))</f>
        <v/>
      </c>
      <c r="F34" s="14" t="n"/>
      <c r="G34" s="21">
        <f>IF($A34="","",IF(ISNUMBER($D34),$D34,0)+IF(ISNUMBER($F34),$F34,0))</f>
        <v/>
      </c>
      <c r="H34" s="18">
        <f>IF($A34="","",IF($C34=0,"No cores for this plot — it contributes nothing to the site mean. ","")&amp;IF(AND($C34&gt;0,$C34&lt;2),"Only one core in this plot. Bansal et al. recommend three or more per wetland. ","")&amp;IF(AND(ISNUMBER($D34),ISNUMBER($E34),$D34&gt;$E34*1.5),"Most of this plot's carbon lies below the reference depth — make sure your reporting says which number you are quoting. ",""))</f>
        <v/>
      </c>
      <c r="I34" s="18">
        <f>IF(ISNUMBER($G34),$G34,0)</f>
        <v/>
      </c>
      <c r="J34" s="18">
        <f>IF(AND(ISNUMBER($G34),$A34&lt;&gt;""),1,0)</f>
        <v/>
      </c>
    </row>
    <row r="35">
      <c r="A35" s="18">
        <f>IF(INDEX('1. Plot &amp; Site Log'!$A$5:$A$64,ROW()-4)="","",INDEX('1. Plot &amp; Site Log'!$A$5:$A$64,ROW()-4))</f>
        <v/>
      </c>
      <c r="B35" s="18">
        <f>IF($A35="","",INDEX('1. Plot &amp; Site Log'!$B$5:$B$64,MATCH($A35,'1. Plot &amp; Site Log'!$A$5:$A$64,0)))</f>
        <v/>
      </c>
      <c r="C35" s="18">
        <f>IF($A35="","",COUNTIFS('2. Core Log'!$B$5:$B$124,$A35))</f>
        <v/>
      </c>
      <c r="D35" s="18">
        <f>IF(OR($A35="",$C35=0),"",IFERROR(AVERAGEIFS('2. Core Log'!$R$5:$R$124,'2. Core Log'!$B$5:$B$124,$A35),""))</f>
        <v/>
      </c>
      <c r="E35" s="18">
        <f>IF(OR($A35="",$C35=0),"",IFERROR(AVERAGEIFS('2. Core Log'!$S$5:$S$124,'2. Core Log'!$B$5:$B$124,$A35),""))</f>
        <v/>
      </c>
      <c r="F35" s="14" t="n"/>
      <c r="G35" s="21">
        <f>IF($A35="","",IF(ISNUMBER($D35),$D35,0)+IF(ISNUMBER($F35),$F35,0))</f>
        <v/>
      </c>
      <c r="H35" s="18">
        <f>IF($A35="","",IF($C35=0,"No cores for this plot — it contributes nothing to the site mean. ","")&amp;IF(AND($C35&gt;0,$C35&lt;2),"Only one core in this plot. Bansal et al. recommend three or more per wetland. ","")&amp;IF(AND(ISNUMBER($D35),ISNUMBER($E35),$D35&gt;$E35*1.5),"Most of this plot's carbon lies below the reference depth — make sure your reporting says which number you are quoting. ",""))</f>
        <v/>
      </c>
      <c r="I35" s="18">
        <f>IF(ISNUMBER($G35),$G35,0)</f>
        <v/>
      </c>
      <c r="J35" s="18">
        <f>IF(AND(ISNUMBER($G35),$A35&lt;&gt;""),1,0)</f>
        <v/>
      </c>
    </row>
    <row r="36">
      <c r="A36" s="18">
        <f>IF(INDEX('1. Plot &amp; Site Log'!$A$5:$A$64,ROW()-4)="","",INDEX('1. Plot &amp; Site Log'!$A$5:$A$64,ROW()-4))</f>
        <v/>
      </c>
      <c r="B36" s="18">
        <f>IF($A36="","",INDEX('1. Plot &amp; Site Log'!$B$5:$B$64,MATCH($A36,'1. Plot &amp; Site Log'!$A$5:$A$64,0)))</f>
        <v/>
      </c>
      <c r="C36" s="18">
        <f>IF($A36="","",COUNTIFS('2. Core Log'!$B$5:$B$124,$A36))</f>
        <v/>
      </c>
      <c r="D36" s="18">
        <f>IF(OR($A36="",$C36=0),"",IFERROR(AVERAGEIFS('2. Core Log'!$R$5:$R$124,'2. Core Log'!$B$5:$B$124,$A36),""))</f>
        <v/>
      </c>
      <c r="E36" s="18">
        <f>IF(OR($A36="",$C36=0),"",IFERROR(AVERAGEIFS('2. Core Log'!$S$5:$S$124,'2. Core Log'!$B$5:$B$124,$A36),""))</f>
        <v/>
      </c>
      <c r="F36" s="14" t="n"/>
      <c r="G36" s="21">
        <f>IF($A36="","",IF(ISNUMBER($D36),$D36,0)+IF(ISNUMBER($F36),$F36,0))</f>
        <v/>
      </c>
      <c r="H36" s="18">
        <f>IF($A36="","",IF($C36=0,"No cores for this plot — it contributes nothing to the site mean. ","")&amp;IF(AND($C36&gt;0,$C36&lt;2),"Only one core in this plot. Bansal et al. recommend three or more per wetland. ","")&amp;IF(AND(ISNUMBER($D36),ISNUMBER($E36),$D36&gt;$E36*1.5),"Most of this plot's carbon lies below the reference depth — make sure your reporting says which number you are quoting. ",""))</f>
        <v/>
      </c>
      <c r="I36" s="18">
        <f>IF(ISNUMBER($G36),$G36,0)</f>
        <v/>
      </c>
      <c r="J36" s="18">
        <f>IF(AND(ISNUMBER($G36),$A36&lt;&gt;""),1,0)</f>
        <v/>
      </c>
    </row>
    <row r="37">
      <c r="A37" s="18">
        <f>IF(INDEX('1. Plot &amp; Site Log'!$A$5:$A$64,ROW()-4)="","",INDEX('1. Plot &amp; Site Log'!$A$5:$A$64,ROW()-4))</f>
        <v/>
      </c>
      <c r="B37" s="18">
        <f>IF($A37="","",INDEX('1. Plot &amp; Site Log'!$B$5:$B$64,MATCH($A37,'1. Plot &amp; Site Log'!$A$5:$A$64,0)))</f>
        <v/>
      </c>
      <c r="C37" s="18">
        <f>IF($A37="","",COUNTIFS('2. Core Log'!$B$5:$B$124,$A37))</f>
        <v/>
      </c>
      <c r="D37" s="18">
        <f>IF(OR($A37="",$C37=0),"",IFERROR(AVERAGEIFS('2. Core Log'!$R$5:$R$124,'2. Core Log'!$B$5:$B$124,$A37),""))</f>
        <v/>
      </c>
      <c r="E37" s="18">
        <f>IF(OR($A37="",$C37=0),"",IFERROR(AVERAGEIFS('2. Core Log'!$S$5:$S$124,'2. Core Log'!$B$5:$B$124,$A37),""))</f>
        <v/>
      </c>
      <c r="F37" s="14" t="n"/>
      <c r="G37" s="21">
        <f>IF($A37="","",IF(ISNUMBER($D37),$D37,0)+IF(ISNUMBER($F37),$F37,0))</f>
        <v/>
      </c>
      <c r="H37" s="18">
        <f>IF($A37="","",IF($C37=0,"No cores for this plot — it contributes nothing to the site mean. ","")&amp;IF(AND($C37&gt;0,$C37&lt;2),"Only one core in this plot. Bansal et al. recommend three or more per wetland. ","")&amp;IF(AND(ISNUMBER($D37),ISNUMBER($E37),$D37&gt;$E37*1.5),"Most of this plot's carbon lies below the reference depth — make sure your reporting says which number you are quoting. ",""))</f>
        <v/>
      </c>
      <c r="I37" s="18">
        <f>IF(ISNUMBER($G37),$G37,0)</f>
        <v/>
      </c>
      <c r="J37" s="18">
        <f>IF(AND(ISNUMBER($G37),$A37&lt;&gt;""),1,0)</f>
        <v/>
      </c>
    </row>
    <row r="38">
      <c r="A38" s="18">
        <f>IF(INDEX('1. Plot &amp; Site Log'!$A$5:$A$64,ROW()-4)="","",INDEX('1. Plot &amp; Site Log'!$A$5:$A$64,ROW()-4))</f>
        <v/>
      </c>
      <c r="B38" s="18">
        <f>IF($A38="","",INDEX('1. Plot &amp; Site Log'!$B$5:$B$64,MATCH($A38,'1. Plot &amp; Site Log'!$A$5:$A$64,0)))</f>
        <v/>
      </c>
      <c r="C38" s="18">
        <f>IF($A38="","",COUNTIFS('2. Core Log'!$B$5:$B$124,$A38))</f>
        <v/>
      </c>
      <c r="D38" s="18">
        <f>IF(OR($A38="",$C38=0),"",IFERROR(AVERAGEIFS('2. Core Log'!$R$5:$R$124,'2. Core Log'!$B$5:$B$124,$A38),""))</f>
        <v/>
      </c>
      <c r="E38" s="18">
        <f>IF(OR($A38="",$C38=0),"",IFERROR(AVERAGEIFS('2. Core Log'!$S$5:$S$124,'2. Core Log'!$B$5:$B$124,$A38),""))</f>
        <v/>
      </c>
      <c r="F38" s="14" t="n"/>
      <c r="G38" s="21">
        <f>IF($A38="","",IF(ISNUMBER($D38),$D38,0)+IF(ISNUMBER($F38),$F38,0))</f>
        <v/>
      </c>
      <c r="H38" s="18">
        <f>IF($A38="","",IF($C38=0,"No cores for this plot — it contributes nothing to the site mean. ","")&amp;IF(AND($C38&gt;0,$C38&lt;2),"Only one core in this plot. Bansal et al. recommend three or more per wetland. ","")&amp;IF(AND(ISNUMBER($D38),ISNUMBER($E38),$D38&gt;$E38*1.5),"Most of this plot's carbon lies below the reference depth — make sure your reporting says which number you are quoting. ",""))</f>
        <v/>
      </c>
      <c r="I38" s="18">
        <f>IF(ISNUMBER($G38),$G38,0)</f>
        <v/>
      </c>
      <c r="J38" s="18">
        <f>IF(AND(ISNUMBER($G38),$A38&lt;&gt;""),1,0)</f>
        <v/>
      </c>
    </row>
    <row r="39">
      <c r="A39" s="18">
        <f>IF(INDEX('1. Plot &amp; Site Log'!$A$5:$A$64,ROW()-4)="","",INDEX('1. Plot &amp; Site Log'!$A$5:$A$64,ROW()-4))</f>
        <v/>
      </c>
      <c r="B39" s="18">
        <f>IF($A39="","",INDEX('1. Plot &amp; Site Log'!$B$5:$B$64,MATCH($A39,'1. Plot &amp; Site Log'!$A$5:$A$64,0)))</f>
        <v/>
      </c>
      <c r="C39" s="18">
        <f>IF($A39="","",COUNTIFS('2. Core Log'!$B$5:$B$124,$A39))</f>
        <v/>
      </c>
      <c r="D39" s="18">
        <f>IF(OR($A39="",$C39=0),"",IFERROR(AVERAGEIFS('2. Core Log'!$R$5:$R$124,'2. Core Log'!$B$5:$B$124,$A39),""))</f>
        <v/>
      </c>
      <c r="E39" s="18">
        <f>IF(OR($A39="",$C39=0),"",IFERROR(AVERAGEIFS('2. Core Log'!$S$5:$S$124,'2. Core Log'!$B$5:$B$124,$A39),""))</f>
        <v/>
      </c>
      <c r="F39" s="14" t="n"/>
      <c r="G39" s="21">
        <f>IF($A39="","",IF(ISNUMBER($D39),$D39,0)+IF(ISNUMBER($F39),$F39,0))</f>
        <v/>
      </c>
      <c r="H39" s="18">
        <f>IF($A39="","",IF($C39=0,"No cores for this plot — it contributes nothing to the site mean. ","")&amp;IF(AND($C39&gt;0,$C39&lt;2),"Only one core in this plot. Bansal et al. recommend three or more per wetland. ","")&amp;IF(AND(ISNUMBER($D39),ISNUMBER($E39),$D39&gt;$E39*1.5),"Most of this plot's carbon lies below the reference depth — make sure your reporting says which number you are quoting. ",""))</f>
        <v/>
      </c>
      <c r="I39" s="18">
        <f>IF(ISNUMBER($G39),$G39,0)</f>
        <v/>
      </c>
      <c r="J39" s="18">
        <f>IF(AND(ISNUMBER($G39),$A39&lt;&gt;""),1,0)</f>
        <v/>
      </c>
    </row>
    <row r="40">
      <c r="A40" s="18">
        <f>IF(INDEX('1. Plot &amp; Site Log'!$A$5:$A$64,ROW()-4)="","",INDEX('1. Plot &amp; Site Log'!$A$5:$A$64,ROW()-4))</f>
        <v/>
      </c>
      <c r="B40" s="18">
        <f>IF($A40="","",INDEX('1. Plot &amp; Site Log'!$B$5:$B$64,MATCH($A40,'1. Plot &amp; Site Log'!$A$5:$A$64,0)))</f>
        <v/>
      </c>
      <c r="C40" s="18">
        <f>IF($A40="","",COUNTIFS('2. Core Log'!$B$5:$B$124,$A40))</f>
        <v/>
      </c>
      <c r="D40" s="18">
        <f>IF(OR($A40="",$C40=0),"",IFERROR(AVERAGEIFS('2. Core Log'!$R$5:$R$124,'2. Core Log'!$B$5:$B$124,$A40),""))</f>
        <v/>
      </c>
      <c r="E40" s="18">
        <f>IF(OR($A40="",$C40=0),"",IFERROR(AVERAGEIFS('2. Core Log'!$S$5:$S$124,'2. Core Log'!$B$5:$B$124,$A40),""))</f>
        <v/>
      </c>
      <c r="F40" s="14" t="n"/>
      <c r="G40" s="21">
        <f>IF($A40="","",IF(ISNUMBER($D40),$D40,0)+IF(ISNUMBER($F40),$F40,0))</f>
        <v/>
      </c>
      <c r="H40" s="18">
        <f>IF($A40="","",IF($C40=0,"No cores for this plot — it contributes nothing to the site mean. ","")&amp;IF(AND($C40&gt;0,$C40&lt;2),"Only one core in this plot. Bansal et al. recommend three or more per wetland. ","")&amp;IF(AND(ISNUMBER($D40),ISNUMBER($E40),$D40&gt;$E40*1.5),"Most of this plot's carbon lies below the reference depth — make sure your reporting says which number you are quoting. ",""))</f>
        <v/>
      </c>
      <c r="I40" s="18">
        <f>IF(ISNUMBER($G40),$G40,0)</f>
        <v/>
      </c>
      <c r="J40" s="18">
        <f>IF(AND(ISNUMBER($G40),$A40&lt;&gt;""),1,0)</f>
        <v/>
      </c>
    </row>
    <row r="41">
      <c r="A41" s="18">
        <f>IF(INDEX('1. Plot &amp; Site Log'!$A$5:$A$64,ROW()-4)="","",INDEX('1. Plot &amp; Site Log'!$A$5:$A$64,ROW()-4))</f>
        <v/>
      </c>
      <c r="B41" s="18">
        <f>IF($A41="","",INDEX('1. Plot &amp; Site Log'!$B$5:$B$64,MATCH($A41,'1. Plot &amp; Site Log'!$A$5:$A$64,0)))</f>
        <v/>
      </c>
      <c r="C41" s="18">
        <f>IF($A41="","",COUNTIFS('2. Core Log'!$B$5:$B$124,$A41))</f>
        <v/>
      </c>
      <c r="D41" s="18">
        <f>IF(OR($A41="",$C41=0),"",IFERROR(AVERAGEIFS('2. Core Log'!$R$5:$R$124,'2. Core Log'!$B$5:$B$124,$A41),""))</f>
        <v/>
      </c>
      <c r="E41" s="18">
        <f>IF(OR($A41="",$C41=0),"",IFERROR(AVERAGEIFS('2. Core Log'!$S$5:$S$124,'2. Core Log'!$B$5:$B$124,$A41),""))</f>
        <v/>
      </c>
      <c r="F41" s="14" t="n"/>
      <c r="G41" s="21">
        <f>IF($A41="","",IF(ISNUMBER($D41),$D41,0)+IF(ISNUMBER($F41),$F41,0))</f>
        <v/>
      </c>
      <c r="H41" s="18">
        <f>IF($A41="","",IF($C41=0,"No cores for this plot — it contributes nothing to the site mean. ","")&amp;IF(AND($C41&gt;0,$C41&lt;2),"Only one core in this plot. Bansal et al. recommend three or more per wetland. ","")&amp;IF(AND(ISNUMBER($D41),ISNUMBER($E41),$D41&gt;$E41*1.5),"Most of this plot's carbon lies below the reference depth — make sure your reporting says which number you are quoting. ",""))</f>
        <v/>
      </c>
      <c r="I41" s="18">
        <f>IF(ISNUMBER($G41),$G41,0)</f>
        <v/>
      </c>
      <c r="J41" s="18">
        <f>IF(AND(ISNUMBER($G41),$A41&lt;&gt;""),1,0)</f>
        <v/>
      </c>
    </row>
    <row r="42">
      <c r="A42" s="18">
        <f>IF(INDEX('1. Plot &amp; Site Log'!$A$5:$A$64,ROW()-4)="","",INDEX('1. Plot &amp; Site Log'!$A$5:$A$64,ROW()-4))</f>
        <v/>
      </c>
      <c r="B42" s="18">
        <f>IF($A42="","",INDEX('1. Plot &amp; Site Log'!$B$5:$B$64,MATCH($A42,'1. Plot &amp; Site Log'!$A$5:$A$64,0)))</f>
        <v/>
      </c>
      <c r="C42" s="18">
        <f>IF($A42="","",COUNTIFS('2. Core Log'!$B$5:$B$124,$A42))</f>
        <v/>
      </c>
      <c r="D42" s="18">
        <f>IF(OR($A42="",$C42=0),"",IFERROR(AVERAGEIFS('2. Core Log'!$R$5:$R$124,'2. Core Log'!$B$5:$B$124,$A42),""))</f>
        <v/>
      </c>
      <c r="E42" s="18">
        <f>IF(OR($A42="",$C42=0),"",IFERROR(AVERAGEIFS('2. Core Log'!$S$5:$S$124,'2. Core Log'!$B$5:$B$124,$A42),""))</f>
        <v/>
      </c>
      <c r="F42" s="14" t="n"/>
      <c r="G42" s="21">
        <f>IF($A42="","",IF(ISNUMBER($D42),$D42,0)+IF(ISNUMBER($F42),$F42,0))</f>
        <v/>
      </c>
      <c r="H42" s="18">
        <f>IF($A42="","",IF($C42=0,"No cores for this plot — it contributes nothing to the site mean. ","")&amp;IF(AND($C42&gt;0,$C42&lt;2),"Only one core in this plot. Bansal et al. recommend three or more per wetland. ","")&amp;IF(AND(ISNUMBER($D42),ISNUMBER($E42),$D42&gt;$E42*1.5),"Most of this plot's carbon lies below the reference depth — make sure your reporting says which number you are quoting. ",""))</f>
        <v/>
      </c>
      <c r="I42" s="18">
        <f>IF(ISNUMBER($G42),$G42,0)</f>
        <v/>
      </c>
      <c r="J42" s="18">
        <f>IF(AND(ISNUMBER($G42),$A42&lt;&gt;""),1,0)</f>
        <v/>
      </c>
    </row>
    <row r="43">
      <c r="A43" s="18">
        <f>IF(INDEX('1. Plot &amp; Site Log'!$A$5:$A$64,ROW()-4)="","",INDEX('1. Plot &amp; Site Log'!$A$5:$A$64,ROW()-4))</f>
        <v/>
      </c>
      <c r="B43" s="18">
        <f>IF($A43="","",INDEX('1. Plot &amp; Site Log'!$B$5:$B$64,MATCH($A43,'1. Plot &amp; Site Log'!$A$5:$A$64,0)))</f>
        <v/>
      </c>
      <c r="C43" s="18">
        <f>IF($A43="","",COUNTIFS('2. Core Log'!$B$5:$B$124,$A43))</f>
        <v/>
      </c>
      <c r="D43" s="18">
        <f>IF(OR($A43="",$C43=0),"",IFERROR(AVERAGEIFS('2. Core Log'!$R$5:$R$124,'2. Core Log'!$B$5:$B$124,$A43),""))</f>
        <v/>
      </c>
      <c r="E43" s="18">
        <f>IF(OR($A43="",$C43=0),"",IFERROR(AVERAGEIFS('2. Core Log'!$S$5:$S$124,'2. Core Log'!$B$5:$B$124,$A43),""))</f>
        <v/>
      </c>
      <c r="F43" s="14" t="n"/>
      <c r="G43" s="21">
        <f>IF($A43="","",IF(ISNUMBER($D43),$D43,0)+IF(ISNUMBER($F43),$F43,0))</f>
        <v/>
      </c>
      <c r="H43" s="18">
        <f>IF($A43="","",IF($C43=0,"No cores for this plot — it contributes nothing to the site mean. ","")&amp;IF(AND($C43&gt;0,$C43&lt;2),"Only one core in this plot. Bansal et al. recommend three or more per wetland. ","")&amp;IF(AND(ISNUMBER($D43),ISNUMBER($E43),$D43&gt;$E43*1.5),"Most of this plot's carbon lies below the reference depth — make sure your reporting says which number you are quoting. ",""))</f>
        <v/>
      </c>
      <c r="I43" s="18">
        <f>IF(ISNUMBER($G43),$G43,0)</f>
        <v/>
      </c>
      <c r="J43" s="18">
        <f>IF(AND(ISNUMBER($G43),$A43&lt;&gt;""),1,0)</f>
        <v/>
      </c>
    </row>
    <row r="44">
      <c r="A44" s="18">
        <f>IF(INDEX('1. Plot &amp; Site Log'!$A$5:$A$64,ROW()-4)="","",INDEX('1. Plot &amp; Site Log'!$A$5:$A$64,ROW()-4))</f>
        <v/>
      </c>
      <c r="B44" s="18">
        <f>IF($A44="","",INDEX('1. Plot &amp; Site Log'!$B$5:$B$64,MATCH($A44,'1. Plot &amp; Site Log'!$A$5:$A$64,0)))</f>
        <v/>
      </c>
      <c r="C44" s="18">
        <f>IF($A44="","",COUNTIFS('2. Core Log'!$B$5:$B$124,$A44))</f>
        <v/>
      </c>
      <c r="D44" s="18">
        <f>IF(OR($A44="",$C44=0),"",IFERROR(AVERAGEIFS('2. Core Log'!$R$5:$R$124,'2. Core Log'!$B$5:$B$124,$A44),""))</f>
        <v/>
      </c>
      <c r="E44" s="18">
        <f>IF(OR($A44="",$C44=0),"",IFERROR(AVERAGEIFS('2. Core Log'!$S$5:$S$124,'2. Core Log'!$B$5:$B$124,$A44),""))</f>
        <v/>
      </c>
      <c r="F44" s="14" t="n"/>
      <c r="G44" s="21">
        <f>IF($A44="","",IF(ISNUMBER($D44),$D44,0)+IF(ISNUMBER($F44),$F44,0))</f>
        <v/>
      </c>
      <c r="H44" s="18">
        <f>IF($A44="","",IF($C44=0,"No cores for this plot — it contributes nothing to the site mean. ","")&amp;IF(AND($C44&gt;0,$C44&lt;2),"Only one core in this plot. Bansal et al. recommend three or more per wetland. ","")&amp;IF(AND(ISNUMBER($D44),ISNUMBER($E44),$D44&gt;$E44*1.5),"Most of this plot's carbon lies below the reference depth — make sure your reporting says which number you are quoting. ",""))</f>
        <v/>
      </c>
      <c r="I44" s="18">
        <f>IF(ISNUMBER($G44),$G44,0)</f>
        <v/>
      </c>
      <c r="J44" s="18">
        <f>IF(AND(ISNUMBER($G44),$A44&lt;&gt;""),1,0)</f>
        <v/>
      </c>
    </row>
    <row r="45">
      <c r="A45" s="18">
        <f>IF(INDEX('1. Plot &amp; Site Log'!$A$5:$A$64,ROW()-4)="","",INDEX('1. Plot &amp; Site Log'!$A$5:$A$64,ROW()-4))</f>
        <v/>
      </c>
      <c r="B45" s="18">
        <f>IF($A45="","",INDEX('1. Plot &amp; Site Log'!$B$5:$B$64,MATCH($A45,'1. Plot &amp; Site Log'!$A$5:$A$64,0)))</f>
        <v/>
      </c>
      <c r="C45" s="18">
        <f>IF($A45="","",COUNTIFS('2. Core Log'!$B$5:$B$124,$A45))</f>
        <v/>
      </c>
      <c r="D45" s="18">
        <f>IF(OR($A45="",$C45=0),"",IFERROR(AVERAGEIFS('2. Core Log'!$R$5:$R$124,'2. Core Log'!$B$5:$B$124,$A45),""))</f>
        <v/>
      </c>
      <c r="E45" s="18">
        <f>IF(OR($A45="",$C45=0),"",IFERROR(AVERAGEIFS('2. Core Log'!$S$5:$S$124,'2. Core Log'!$B$5:$B$124,$A45),""))</f>
        <v/>
      </c>
      <c r="F45" s="14" t="n"/>
      <c r="G45" s="21">
        <f>IF($A45="","",IF(ISNUMBER($D45),$D45,0)+IF(ISNUMBER($F45),$F45,0))</f>
        <v/>
      </c>
      <c r="H45" s="18">
        <f>IF($A45="","",IF($C45=0,"No cores for this plot — it contributes nothing to the site mean. ","")&amp;IF(AND($C45&gt;0,$C45&lt;2),"Only one core in this plot. Bansal et al. recommend three or more per wetland. ","")&amp;IF(AND(ISNUMBER($D45),ISNUMBER($E45),$D45&gt;$E45*1.5),"Most of this plot's carbon lies below the reference depth — make sure your reporting says which number you are quoting. ",""))</f>
        <v/>
      </c>
      <c r="I45" s="18">
        <f>IF(ISNUMBER($G45),$G45,0)</f>
        <v/>
      </c>
      <c r="J45" s="18">
        <f>IF(AND(ISNUMBER($G45),$A45&lt;&gt;""),1,0)</f>
        <v/>
      </c>
    </row>
    <row r="46">
      <c r="A46" s="18">
        <f>IF(INDEX('1. Plot &amp; Site Log'!$A$5:$A$64,ROW()-4)="","",INDEX('1. Plot &amp; Site Log'!$A$5:$A$64,ROW()-4))</f>
        <v/>
      </c>
      <c r="B46" s="18">
        <f>IF($A46="","",INDEX('1. Plot &amp; Site Log'!$B$5:$B$64,MATCH($A46,'1. Plot &amp; Site Log'!$A$5:$A$64,0)))</f>
        <v/>
      </c>
      <c r="C46" s="18">
        <f>IF($A46="","",COUNTIFS('2. Core Log'!$B$5:$B$124,$A46))</f>
        <v/>
      </c>
      <c r="D46" s="18">
        <f>IF(OR($A46="",$C46=0),"",IFERROR(AVERAGEIFS('2. Core Log'!$R$5:$R$124,'2. Core Log'!$B$5:$B$124,$A46),""))</f>
        <v/>
      </c>
      <c r="E46" s="18">
        <f>IF(OR($A46="",$C46=0),"",IFERROR(AVERAGEIFS('2. Core Log'!$S$5:$S$124,'2. Core Log'!$B$5:$B$124,$A46),""))</f>
        <v/>
      </c>
      <c r="F46" s="14" t="n"/>
      <c r="G46" s="21">
        <f>IF($A46="","",IF(ISNUMBER($D46),$D46,0)+IF(ISNUMBER($F46),$F46,0))</f>
        <v/>
      </c>
      <c r="H46" s="18">
        <f>IF($A46="","",IF($C46=0,"No cores for this plot — it contributes nothing to the site mean. ","")&amp;IF(AND($C46&gt;0,$C46&lt;2),"Only one core in this plot. Bansal et al. recommend three or more per wetland. ","")&amp;IF(AND(ISNUMBER($D46),ISNUMBER($E46),$D46&gt;$E46*1.5),"Most of this plot's carbon lies below the reference depth — make sure your reporting says which number you are quoting. ",""))</f>
        <v/>
      </c>
      <c r="I46" s="18">
        <f>IF(ISNUMBER($G46),$G46,0)</f>
        <v/>
      </c>
      <c r="J46" s="18">
        <f>IF(AND(ISNUMBER($G46),$A46&lt;&gt;""),1,0)</f>
        <v/>
      </c>
    </row>
    <row r="47">
      <c r="A47" s="18">
        <f>IF(INDEX('1. Plot &amp; Site Log'!$A$5:$A$64,ROW()-4)="","",INDEX('1. Plot &amp; Site Log'!$A$5:$A$64,ROW()-4))</f>
        <v/>
      </c>
      <c r="B47" s="18">
        <f>IF($A47="","",INDEX('1. Plot &amp; Site Log'!$B$5:$B$64,MATCH($A47,'1. Plot &amp; Site Log'!$A$5:$A$64,0)))</f>
        <v/>
      </c>
      <c r="C47" s="18">
        <f>IF($A47="","",COUNTIFS('2. Core Log'!$B$5:$B$124,$A47))</f>
        <v/>
      </c>
      <c r="D47" s="18">
        <f>IF(OR($A47="",$C47=0),"",IFERROR(AVERAGEIFS('2. Core Log'!$R$5:$R$124,'2. Core Log'!$B$5:$B$124,$A47),""))</f>
        <v/>
      </c>
      <c r="E47" s="18">
        <f>IF(OR($A47="",$C47=0),"",IFERROR(AVERAGEIFS('2. Core Log'!$S$5:$S$124,'2. Core Log'!$B$5:$B$124,$A47),""))</f>
        <v/>
      </c>
      <c r="F47" s="14" t="n"/>
      <c r="G47" s="21">
        <f>IF($A47="","",IF(ISNUMBER($D47),$D47,0)+IF(ISNUMBER($F47),$F47,0))</f>
        <v/>
      </c>
      <c r="H47" s="18">
        <f>IF($A47="","",IF($C47=0,"No cores for this plot — it contributes nothing to the site mean. ","")&amp;IF(AND($C47&gt;0,$C47&lt;2),"Only one core in this plot. Bansal et al. recommend three or more per wetland. ","")&amp;IF(AND(ISNUMBER($D47),ISNUMBER($E47),$D47&gt;$E47*1.5),"Most of this plot's carbon lies below the reference depth — make sure your reporting says which number you are quoting. ",""))</f>
        <v/>
      </c>
      <c r="I47" s="18">
        <f>IF(ISNUMBER($G47),$G47,0)</f>
        <v/>
      </c>
      <c r="J47" s="18">
        <f>IF(AND(ISNUMBER($G47),$A47&lt;&gt;""),1,0)</f>
        <v/>
      </c>
    </row>
    <row r="48">
      <c r="A48" s="18">
        <f>IF(INDEX('1. Plot &amp; Site Log'!$A$5:$A$64,ROW()-4)="","",INDEX('1. Plot &amp; Site Log'!$A$5:$A$64,ROW()-4))</f>
        <v/>
      </c>
      <c r="B48" s="18">
        <f>IF($A48="","",INDEX('1. Plot &amp; Site Log'!$B$5:$B$64,MATCH($A48,'1. Plot &amp; Site Log'!$A$5:$A$64,0)))</f>
        <v/>
      </c>
      <c r="C48" s="18">
        <f>IF($A48="","",COUNTIFS('2. Core Log'!$B$5:$B$124,$A48))</f>
        <v/>
      </c>
      <c r="D48" s="18">
        <f>IF(OR($A48="",$C48=0),"",IFERROR(AVERAGEIFS('2. Core Log'!$R$5:$R$124,'2. Core Log'!$B$5:$B$124,$A48),""))</f>
        <v/>
      </c>
      <c r="E48" s="18">
        <f>IF(OR($A48="",$C48=0),"",IFERROR(AVERAGEIFS('2. Core Log'!$S$5:$S$124,'2. Core Log'!$B$5:$B$124,$A48),""))</f>
        <v/>
      </c>
      <c r="F48" s="14" t="n"/>
      <c r="G48" s="21">
        <f>IF($A48="","",IF(ISNUMBER($D48),$D48,0)+IF(ISNUMBER($F48),$F48,0))</f>
        <v/>
      </c>
      <c r="H48" s="18">
        <f>IF($A48="","",IF($C48=0,"No cores for this plot — it contributes nothing to the site mean. ","")&amp;IF(AND($C48&gt;0,$C48&lt;2),"Only one core in this plot. Bansal et al. recommend three or more per wetland. ","")&amp;IF(AND(ISNUMBER($D48),ISNUMBER($E48),$D48&gt;$E48*1.5),"Most of this plot's carbon lies below the reference depth — make sure your reporting says which number you are quoting. ",""))</f>
        <v/>
      </c>
      <c r="I48" s="18">
        <f>IF(ISNUMBER($G48),$G48,0)</f>
        <v/>
      </c>
      <c r="J48" s="18">
        <f>IF(AND(ISNUMBER($G48),$A48&lt;&gt;""),1,0)</f>
        <v/>
      </c>
    </row>
    <row r="49">
      <c r="A49" s="18">
        <f>IF(INDEX('1. Plot &amp; Site Log'!$A$5:$A$64,ROW()-4)="","",INDEX('1. Plot &amp; Site Log'!$A$5:$A$64,ROW()-4))</f>
        <v/>
      </c>
      <c r="B49" s="18">
        <f>IF($A49="","",INDEX('1. Plot &amp; Site Log'!$B$5:$B$64,MATCH($A49,'1. Plot &amp; Site Log'!$A$5:$A$64,0)))</f>
        <v/>
      </c>
      <c r="C49" s="18">
        <f>IF($A49="","",COUNTIFS('2. Core Log'!$B$5:$B$124,$A49))</f>
        <v/>
      </c>
      <c r="D49" s="18">
        <f>IF(OR($A49="",$C49=0),"",IFERROR(AVERAGEIFS('2. Core Log'!$R$5:$R$124,'2. Core Log'!$B$5:$B$124,$A49),""))</f>
        <v/>
      </c>
      <c r="E49" s="18">
        <f>IF(OR($A49="",$C49=0),"",IFERROR(AVERAGEIFS('2. Core Log'!$S$5:$S$124,'2. Core Log'!$B$5:$B$124,$A49),""))</f>
        <v/>
      </c>
      <c r="F49" s="14" t="n"/>
      <c r="G49" s="21">
        <f>IF($A49="","",IF(ISNUMBER($D49),$D49,0)+IF(ISNUMBER($F49),$F49,0))</f>
        <v/>
      </c>
      <c r="H49" s="18">
        <f>IF($A49="","",IF($C49=0,"No cores for this plot — it contributes nothing to the site mean. ","")&amp;IF(AND($C49&gt;0,$C49&lt;2),"Only one core in this plot. Bansal et al. recommend three or more per wetland. ","")&amp;IF(AND(ISNUMBER($D49),ISNUMBER($E49),$D49&gt;$E49*1.5),"Most of this plot's carbon lies below the reference depth — make sure your reporting says which number you are quoting. ",""))</f>
        <v/>
      </c>
      <c r="I49" s="18">
        <f>IF(ISNUMBER($G49),$G49,0)</f>
        <v/>
      </c>
      <c r="J49" s="18">
        <f>IF(AND(ISNUMBER($G49),$A49&lt;&gt;""),1,0)</f>
        <v/>
      </c>
    </row>
    <row r="50">
      <c r="A50" s="18">
        <f>IF(INDEX('1. Plot &amp; Site Log'!$A$5:$A$64,ROW()-4)="","",INDEX('1. Plot &amp; Site Log'!$A$5:$A$64,ROW()-4))</f>
        <v/>
      </c>
      <c r="B50" s="18">
        <f>IF($A50="","",INDEX('1. Plot &amp; Site Log'!$B$5:$B$64,MATCH($A50,'1. Plot &amp; Site Log'!$A$5:$A$64,0)))</f>
        <v/>
      </c>
      <c r="C50" s="18">
        <f>IF($A50="","",COUNTIFS('2. Core Log'!$B$5:$B$124,$A50))</f>
        <v/>
      </c>
      <c r="D50" s="18">
        <f>IF(OR($A50="",$C50=0),"",IFERROR(AVERAGEIFS('2. Core Log'!$R$5:$R$124,'2. Core Log'!$B$5:$B$124,$A50),""))</f>
        <v/>
      </c>
      <c r="E50" s="18">
        <f>IF(OR($A50="",$C50=0),"",IFERROR(AVERAGEIFS('2. Core Log'!$S$5:$S$124,'2. Core Log'!$B$5:$B$124,$A50),""))</f>
        <v/>
      </c>
      <c r="F50" s="14" t="n"/>
      <c r="G50" s="21">
        <f>IF($A50="","",IF(ISNUMBER($D50),$D50,0)+IF(ISNUMBER($F50),$F50,0))</f>
        <v/>
      </c>
      <c r="H50" s="18">
        <f>IF($A50="","",IF($C50=0,"No cores for this plot — it contributes nothing to the site mean. ","")&amp;IF(AND($C50&gt;0,$C50&lt;2),"Only one core in this plot. Bansal et al. recommend three or more per wetland. ","")&amp;IF(AND(ISNUMBER($D50),ISNUMBER($E50),$D50&gt;$E50*1.5),"Most of this plot's carbon lies below the reference depth — make sure your reporting says which number you are quoting. ",""))</f>
        <v/>
      </c>
      <c r="I50" s="18">
        <f>IF(ISNUMBER($G50),$G50,0)</f>
        <v/>
      </c>
      <c r="J50" s="18">
        <f>IF(AND(ISNUMBER($G50),$A50&lt;&gt;""),1,0)</f>
        <v/>
      </c>
    </row>
    <row r="51">
      <c r="A51" s="18">
        <f>IF(INDEX('1. Plot &amp; Site Log'!$A$5:$A$64,ROW()-4)="","",INDEX('1. Plot &amp; Site Log'!$A$5:$A$64,ROW()-4))</f>
        <v/>
      </c>
      <c r="B51" s="18">
        <f>IF($A51="","",INDEX('1. Plot &amp; Site Log'!$B$5:$B$64,MATCH($A51,'1. Plot &amp; Site Log'!$A$5:$A$64,0)))</f>
        <v/>
      </c>
      <c r="C51" s="18">
        <f>IF($A51="","",COUNTIFS('2. Core Log'!$B$5:$B$124,$A51))</f>
        <v/>
      </c>
      <c r="D51" s="18">
        <f>IF(OR($A51="",$C51=0),"",IFERROR(AVERAGEIFS('2. Core Log'!$R$5:$R$124,'2. Core Log'!$B$5:$B$124,$A51),""))</f>
        <v/>
      </c>
      <c r="E51" s="18">
        <f>IF(OR($A51="",$C51=0),"",IFERROR(AVERAGEIFS('2. Core Log'!$S$5:$S$124,'2. Core Log'!$B$5:$B$124,$A51),""))</f>
        <v/>
      </c>
      <c r="F51" s="14" t="n"/>
      <c r="G51" s="21">
        <f>IF($A51="","",IF(ISNUMBER($D51),$D51,0)+IF(ISNUMBER($F51),$F51,0))</f>
        <v/>
      </c>
      <c r="H51" s="18">
        <f>IF($A51="","",IF($C51=0,"No cores for this plot — it contributes nothing to the site mean. ","")&amp;IF(AND($C51&gt;0,$C51&lt;2),"Only one core in this plot. Bansal et al. recommend three or more per wetland. ","")&amp;IF(AND(ISNUMBER($D51),ISNUMBER($E51),$D51&gt;$E51*1.5),"Most of this plot's carbon lies below the reference depth — make sure your reporting says which number you are quoting. ",""))</f>
        <v/>
      </c>
      <c r="I51" s="18">
        <f>IF(ISNUMBER($G51),$G51,0)</f>
        <v/>
      </c>
      <c r="J51" s="18">
        <f>IF(AND(ISNUMBER($G51),$A51&lt;&gt;""),1,0)</f>
        <v/>
      </c>
    </row>
    <row r="52">
      <c r="A52" s="18">
        <f>IF(INDEX('1. Plot &amp; Site Log'!$A$5:$A$64,ROW()-4)="","",INDEX('1. Plot &amp; Site Log'!$A$5:$A$64,ROW()-4))</f>
        <v/>
      </c>
      <c r="B52" s="18">
        <f>IF($A52="","",INDEX('1. Plot &amp; Site Log'!$B$5:$B$64,MATCH($A52,'1. Plot &amp; Site Log'!$A$5:$A$64,0)))</f>
        <v/>
      </c>
      <c r="C52" s="18">
        <f>IF($A52="","",COUNTIFS('2. Core Log'!$B$5:$B$124,$A52))</f>
        <v/>
      </c>
      <c r="D52" s="18">
        <f>IF(OR($A52="",$C52=0),"",IFERROR(AVERAGEIFS('2. Core Log'!$R$5:$R$124,'2. Core Log'!$B$5:$B$124,$A52),""))</f>
        <v/>
      </c>
      <c r="E52" s="18">
        <f>IF(OR($A52="",$C52=0),"",IFERROR(AVERAGEIFS('2. Core Log'!$S$5:$S$124,'2. Core Log'!$B$5:$B$124,$A52),""))</f>
        <v/>
      </c>
      <c r="F52" s="14" t="n"/>
      <c r="G52" s="21">
        <f>IF($A52="","",IF(ISNUMBER($D52),$D52,0)+IF(ISNUMBER($F52),$F52,0))</f>
        <v/>
      </c>
      <c r="H52" s="18">
        <f>IF($A52="","",IF($C52=0,"No cores for this plot — it contributes nothing to the site mean. ","")&amp;IF(AND($C52&gt;0,$C52&lt;2),"Only one core in this plot. Bansal et al. recommend three or more per wetland. ","")&amp;IF(AND(ISNUMBER($D52),ISNUMBER($E52),$D52&gt;$E52*1.5),"Most of this plot's carbon lies below the reference depth — make sure your reporting says which number you are quoting. ",""))</f>
        <v/>
      </c>
      <c r="I52" s="18">
        <f>IF(ISNUMBER($G52),$G52,0)</f>
        <v/>
      </c>
      <c r="J52" s="18">
        <f>IF(AND(ISNUMBER($G52),$A52&lt;&gt;""),1,0)</f>
        <v/>
      </c>
    </row>
    <row r="53">
      <c r="A53" s="18">
        <f>IF(INDEX('1. Plot &amp; Site Log'!$A$5:$A$64,ROW()-4)="","",INDEX('1. Plot &amp; Site Log'!$A$5:$A$64,ROW()-4))</f>
        <v/>
      </c>
      <c r="B53" s="18">
        <f>IF($A53="","",INDEX('1. Plot &amp; Site Log'!$B$5:$B$64,MATCH($A53,'1. Plot &amp; Site Log'!$A$5:$A$64,0)))</f>
        <v/>
      </c>
      <c r="C53" s="18">
        <f>IF($A53="","",COUNTIFS('2. Core Log'!$B$5:$B$124,$A53))</f>
        <v/>
      </c>
      <c r="D53" s="18">
        <f>IF(OR($A53="",$C53=0),"",IFERROR(AVERAGEIFS('2. Core Log'!$R$5:$R$124,'2. Core Log'!$B$5:$B$124,$A53),""))</f>
        <v/>
      </c>
      <c r="E53" s="18">
        <f>IF(OR($A53="",$C53=0),"",IFERROR(AVERAGEIFS('2. Core Log'!$S$5:$S$124,'2. Core Log'!$B$5:$B$124,$A53),""))</f>
        <v/>
      </c>
      <c r="F53" s="14" t="n"/>
      <c r="G53" s="21">
        <f>IF($A53="","",IF(ISNUMBER($D53),$D53,0)+IF(ISNUMBER($F53),$F53,0))</f>
        <v/>
      </c>
      <c r="H53" s="18">
        <f>IF($A53="","",IF($C53=0,"No cores for this plot — it contributes nothing to the site mean. ","")&amp;IF(AND($C53&gt;0,$C53&lt;2),"Only one core in this plot. Bansal et al. recommend three or more per wetland. ","")&amp;IF(AND(ISNUMBER($D53),ISNUMBER($E53),$D53&gt;$E53*1.5),"Most of this plot's carbon lies below the reference depth — make sure your reporting says which number you are quoting. ",""))</f>
        <v/>
      </c>
      <c r="I53" s="18">
        <f>IF(ISNUMBER($G53),$G53,0)</f>
        <v/>
      </c>
      <c r="J53" s="18">
        <f>IF(AND(ISNUMBER($G53),$A53&lt;&gt;""),1,0)</f>
        <v/>
      </c>
    </row>
    <row r="54">
      <c r="A54" s="18">
        <f>IF(INDEX('1. Plot &amp; Site Log'!$A$5:$A$64,ROW()-4)="","",INDEX('1. Plot &amp; Site Log'!$A$5:$A$64,ROW()-4))</f>
        <v/>
      </c>
      <c r="B54" s="18">
        <f>IF($A54="","",INDEX('1. Plot &amp; Site Log'!$B$5:$B$64,MATCH($A54,'1. Plot &amp; Site Log'!$A$5:$A$64,0)))</f>
        <v/>
      </c>
      <c r="C54" s="18">
        <f>IF($A54="","",COUNTIFS('2. Core Log'!$B$5:$B$124,$A54))</f>
        <v/>
      </c>
      <c r="D54" s="18">
        <f>IF(OR($A54="",$C54=0),"",IFERROR(AVERAGEIFS('2. Core Log'!$R$5:$R$124,'2. Core Log'!$B$5:$B$124,$A54),""))</f>
        <v/>
      </c>
      <c r="E54" s="18">
        <f>IF(OR($A54="",$C54=0),"",IFERROR(AVERAGEIFS('2. Core Log'!$S$5:$S$124,'2. Core Log'!$B$5:$B$124,$A54),""))</f>
        <v/>
      </c>
      <c r="F54" s="14" t="n"/>
      <c r="G54" s="21">
        <f>IF($A54="","",IF(ISNUMBER($D54),$D54,0)+IF(ISNUMBER($F54),$F54,0))</f>
        <v/>
      </c>
      <c r="H54" s="18">
        <f>IF($A54="","",IF($C54=0,"No cores for this plot — it contributes nothing to the site mean. ","")&amp;IF(AND($C54&gt;0,$C54&lt;2),"Only one core in this plot. Bansal et al. recommend three or more per wetland. ","")&amp;IF(AND(ISNUMBER($D54),ISNUMBER($E54),$D54&gt;$E54*1.5),"Most of this plot's carbon lies below the reference depth — make sure your reporting says which number you are quoting. ",""))</f>
        <v/>
      </c>
      <c r="I54" s="18">
        <f>IF(ISNUMBER($G54),$G54,0)</f>
        <v/>
      </c>
      <c r="J54" s="18">
        <f>IF(AND(ISNUMBER($G54),$A54&lt;&gt;""),1,0)</f>
        <v/>
      </c>
    </row>
    <row r="55">
      <c r="A55" s="18">
        <f>IF(INDEX('1. Plot &amp; Site Log'!$A$5:$A$64,ROW()-4)="","",INDEX('1. Plot &amp; Site Log'!$A$5:$A$64,ROW()-4))</f>
        <v/>
      </c>
      <c r="B55" s="18">
        <f>IF($A55="","",INDEX('1. Plot &amp; Site Log'!$B$5:$B$64,MATCH($A55,'1. Plot &amp; Site Log'!$A$5:$A$64,0)))</f>
        <v/>
      </c>
      <c r="C55" s="18">
        <f>IF($A55="","",COUNTIFS('2. Core Log'!$B$5:$B$124,$A55))</f>
        <v/>
      </c>
      <c r="D55" s="18">
        <f>IF(OR($A55="",$C55=0),"",IFERROR(AVERAGEIFS('2. Core Log'!$R$5:$R$124,'2. Core Log'!$B$5:$B$124,$A55),""))</f>
        <v/>
      </c>
      <c r="E55" s="18">
        <f>IF(OR($A55="",$C55=0),"",IFERROR(AVERAGEIFS('2. Core Log'!$S$5:$S$124,'2. Core Log'!$B$5:$B$124,$A55),""))</f>
        <v/>
      </c>
      <c r="F55" s="14" t="n"/>
      <c r="G55" s="21">
        <f>IF($A55="","",IF(ISNUMBER($D55),$D55,0)+IF(ISNUMBER($F55),$F55,0))</f>
        <v/>
      </c>
      <c r="H55" s="18">
        <f>IF($A55="","",IF($C55=0,"No cores for this plot — it contributes nothing to the site mean. ","")&amp;IF(AND($C55&gt;0,$C55&lt;2),"Only one core in this plot. Bansal et al. recommend three or more per wetland. ","")&amp;IF(AND(ISNUMBER($D55),ISNUMBER($E55),$D55&gt;$E55*1.5),"Most of this plot's carbon lies below the reference depth — make sure your reporting says which number you are quoting. ",""))</f>
        <v/>
      </c>
      <c r="I55" s="18">
        <f>IF(ISNUMBER($G55),$G55,0)</f>
        <v/>
      </c>
      <c r="J55" s="18">
        <f>IF(AND(ISNUMBER($G55),$A55&lt;&gt;""),1,0)</f>
        <v/>
      </c>
    </row>
    <row r="56">
      <c r="A56" s="18">
        <f>IF(INDEX('1. Plot &amp; Site Log'!$A$5:$A$64,ROW()-4)="","",INDEX('1. Plot &amp; Site Log'!$A$5:$A$64,ROW()-4))</f>
        <v/>
      </c>
      <c r="B56" s="18">
        <f>IF($A56="","",INDEX('1. Plot &amp; Site Log'!$B$5:$B$64,MATCH($A56,'1. Plot &amp; Site Log'!$A$5:$A$64,0)))</f>
        <v/>
      </c>
      <c r="C56" s="18">
        <f>IF($A56="","",COUNTIFS('2. Core Log'!$B$5:$B$124,$A56))</f>
        <v/>
      </c>
      <c r="D56" s="18">
        <f>IF(OR($A56="",$C56=0),"",IFERROR(AVERAGEIFS('2. Core Log'!$R$5:$R$124,'2. Core Log'!$B$5:$B$124,$A56),""))</f>
        <v/>
      </c>
      <c r="E56" s="18">
        <f>IF(OR($A56="",$C56=0),"",IFERROR(AVERAGEIFS('2. Core Log'!$S$5:$S$124,'2. Core Log'!$B$5:$B$124,$A56),""))</f>
        <v/>
      </c>
      <c r="F56" s="14" t="n"/>
      <c r="G56" s="21">
        <f>IF($A56="","",IF(ISNUMBER($D56),$D56,0)+IF(ISNUMBER($F56),$F56,0))</f>
        <v/>
      </c>
      <c r="H56" s="18">
        <f>IF($A56="","",IF($C56=0,"No cores for this plot — it contributes nothing to the site mean. ","")&amp;IF(AND($C56&gt;0,$C56&lt;2),"Only one core in this plot. Bansal et al. recommend three or more per wetland. ","")&amp;IF(AND(ISNUMBER($D56),ISNUMBER($E56),$D56&gt;$E56*1.5),"Most of this plot's carbon lies below the reference depth — make sure your reporting says which number you are quoting. ",""))</f>
        <v/>
      </c>
      <c r="I56" s="18">
        <f>IF(ISNUMBER($G56),$G56,0)</f>
        <v/>
      </c>
      <c r="J56" s="18">
        <f>IF(AND(ISNUMBER($G56),$A56&lt;&gt;""),1,0)</f>
        <v/>
      </c>
    </row>
    <row r="57">
      <c r="A57" s="18">
        <f>IF(INDEX('1. Plot &amp; Site Log'!$A$5:$A$64,ROW()-4)="","",INDEX('1. Plot &amp; Site Log'!$A$5:$A$64,ROW()-4))</f>
        <v/>
      </c>
      <c r="B57" s="18">
        <f>IF($A57="","",INDEX('1. Plot &amp; Site Log'!$B$5:$B$64,MATCH($A57,'1. Plot &amp; Site Log'!$A$5:$A$64,0)))</f>
        <v/>
      </c>
      <c r="C57" s="18">
        <f>IF($A57="","",COUNTIFS('2. Core Log'!$B$5:$B$124,$A57))</f>
        <v/>
      </c>
      <c r="D57" s="18">
        <f>IF(OR($A57="",$C57=0),"",IFERROR(AVERAGEIFS('2. Core Log'!$R$5:$R$124,'2. Core Log'!$B$5:$B$124,$A57),""))</f>
        <v/>
      </c>
      <c r="E57" s="18">
        <f>IF(OR($A57="",$C57=0),"",IFERROR(AVERAGEIFS('2. Core Log'!$S$5:$S$124,'2. Core Log'!$B$5:$B$124,$A57),""))</f>
        <v/>
      </c>
      <c r="F57" s="14" t="n"/>
      <c r="G57" s="21">
        <f>IF($A57="","",IF(ISNUMBER($D57),$D57,0)+IF(ISNUMBER($F57),$F57,0))</f>
        <v/>
      </c>
      <c r="H57" s="18">
        <f>IF($A57="","",IF($C57=0,"No cores for this plot — it contributes nothing to the site mean. ","")&amp;IF(AND($C57&gt;0,$C57&lt;2),"Only one core in this plot. Bansal et al. recommend three or more per wetland. ","")&amp;IF(AND(ISNUMBER($D57),ISNUMBER($E57),$D57&gt;$E57*1.5),"Most of this plot's carbon lies below the reference depth — make sure your reporting says which number you are quoting. ",""))</f>
        <v/>
      </c>
      <c r="I57" s="18">
        <f>IF(ISNUMBER($G57),$G57,0)</f>
        <v/>
      </c>
      <c r="J57" s="18">
        <f>IF(AND(ISNUMBER($G57),$A57&lt;&gt;""),1,0)</f>
        <v/>
      </c>
    </row>
    <row r="58">
      <c r="A58" s="18">
        <f>IF(INDEX('1. Plot &amp; Site Log'!$A$5:$A$64,ROW()-4)="","",INDEX('1. Plot &amp; Site Log'!$A$5:$A$64,ROW()-4))</f>
        <v/>
      </c>
      <c r="B58" s="18">
        <f>IF($A58="","",INDEX('1. Plot &amp; Site Log'!$B$5:$B$64,MATCH($A58,'1. Plot &amp; Site Log'!$A$5:$A$64,0)))</f>
        <v/>
      </c>
      <c r="C58" s="18">
        <f>IF($A58="","",COUNTIFS('2. Core Log'!$B$5:$B$124,$A58))</f>
        <v/>
      </c>
      <c r="D58" s="18">
        <f>IF(OR($A58="",$C58=0),"",IFERROR(AVERAGEIFS('2. Core Log'!$R$5:$R$124,'2. Core Log'!$B$5:$B$124,$A58),""))</f>
        <v/>
      </c>
      <c r="E58" s="18">
        <f>IF(OR($A58="",$C58=0),"",IFERROR(AVERAGEIFS('2. Core Log'!$S$5:$S$124,'2. Core Log'!$B$5:$B$124,$A58),""))</f>
        <v/>
      </c>
      <c r="F58" s="14" t="n"/>
      <c r="G58" s="21">
        <f>IF($A58="","",IF(ISNUMBER($D58),$D58,0)+IF(ISNUMBER($F58),$F58,0))</f>
        <v/>
      </c>
      <c r="H58" s="18">
        <f>IF($A58="","",IF($C58=0,"No cores for this plot — it contributes nothing to the site mean. ","")&amp;IF(AND($C58&gt;0,$C58&lt;2),"Only one core in this plot. Bansal et al. recommend three or more per wetland. ","")&amp;IF(AND(ISNUMBER($D58),ISNUMBER($E58),$D58&gt;$E58*1.5),"Most of this plot's carbon lies below the reference depth — make sure your reporting says which number you are quoting. ",""))</f>
        <v/>
      </c>
      <c r="I58" s="18">
        <f>IF(ISNUMBER($G58),$G58,0)</f>
        <v/>
      </c>
      <c r="J58" s="18">
        <f>IF(AND(ISNUMBER($G58),$A58&lt;&gt;""),1,0)</f>
        <v/>
      </c>
    </row>
    <row r="59">
      <c r="A59" s="18">
        <f>IF(INDEX('1. Plot &amp; Site Log'!$A$5:$A$64,ROW()-4)="","",INDEX('1. Plot &amp; Site Log'!$A$5:$A$64,ROW()-4))</f>
        <v/>
      </c>
      <c r="B59" s="18">
        <f>IF($A59="","",INDEX('1. Plot &amp; Site Log'!$B$5:$B$64,MATCH($A59,'1. Plot &amp; Site Log'!$A$5:$A$64,0)))</f>
        <v/>
      </c>
      <c r="C59" s="18">
        <f>IF($A59="","",COUNTIFS('2. Core Log'!$B$5:$B$124,$A59))</f>
        <v/>
      </c>
      <c r="D59" s="18">
        <f>IF(OR($A59="",$C59=0),"",IFERROR(AVERAGEIFS('2. Core Log'!$R$5:$R$124,'2. Core Log'!$B$5:$B$124,$A59),""))</f>
        <v/>
      </c>
      <c r="E59" s="18">
        <f>IF(OR($A59="",$C59=0),"",IFERROR(AVERAGEIFS('2. Core Log'!$S$5:$S$124,'2. Core Log'!$B$5:$B$124,$A59),""))</f>
        <v/>
      </c>
      <c r="F59" s="14" t="n"/>
      <c r="G59" s="21">
        <f>IF($A59="","",IF(ISNUMBER($D59),$D59,0)+IF(ISNUMBER($F59),$F59,0))</f>
        <v/>
      </c>
      <c r="H59" s="18">
        <f>IF($A59="","",IF($C59=0,"No cores for this plot — it contributes nothing to the site mean. ","")&amp;IF(AND($C59&gt;0,$C59&lt;2),"Only one core in this plot. Bansal et al. recommend three or more per wetland. ","")&amp;IF(AND(ISNUMBER($D59),ISNUMBER($E59),$D59&gt;$E59*1.5),"Most of this plot's carbon lies below the reference depth — make sure your reporting says which number you are quoting. ",""))</f>
        <v/>
      </c>
      <c r="I59" s="18">
        <f>IF(ISNUMBER($G59),$G59,0)</f>
        <v/>
      </c>
      <c r="J59" s="18">
        <f>IF(AND(ISNUMBER($G59),$A59&lt;&gt;""),1,0)</f>
        <v/>
      </c>
    </row>
    <row r="60">
      <c r="A60" s="18">
        <f>IF(INDEX('1. Plot &amp; Site Log'!$A$5:$A$64,ROW()-4)="","",INDEX('1. Plot &amp; Site Log'!$A$5:$A$64,ROW()-4))</f>
        <v/>
      </c>
      <c r="B60" s="18">
        <f>IF($A60="","",INDEX('1. Plot &amp; Site Log'!$B$5:$B$64,MATCH($A60,'1. Plot &amp; Site Log'!$A$5:$A$64,0)))</f>
        <v/>
      </c>
      <c r="C60" s="18">
        <f>IF($A60="","",COUNTIFS('2. Core Log'!$B$5:$B$124,$A60))</f>
        <v/>
      </c>
      <c r="D60" s="18">
        <f>IF(OR($A60="",$C60=0),"",IFERROR(AVERAGEIFS('2. Core Log'!$R$5:$R$124,'2. Core Log'!$B$5:$B$124,$A60),""))</f>
        <v/>
      </c>
      <c r="E60" s="18">
        <f>IF(OR($A60="",$C60=0),"",IFERROR(AVERAGEIFS('2. Core Log'!$S$5:$S$124,'2. Core Log'!$B$5:$B$124,$A60),""))</f>
        <v/>
      </c>
      <c r="F60" s="14" t="n"/>
      <c r="G60" s="21">
        <f>IF($A60="","",IF(ISNUMBER($D60),$D60,0)+IF(ISNUMBER($F60),$F60,0))</f>
        <v/>
      </c>
      <c r="H60" s="18">
        <f>IF($A60="","",IF($C60=0,"No cores for this plot — it contributes nothing to the site mean. ","")&amp;IF(AND($C60&gt;0,$C60&lt;2),"Only one core in this plot. Bansal et al. recommend three or more per wetland. ","")&amp;IF(AND(ISNUMBER($D60),ISNUMBER($E60),$D60&gt;$E60*1.5),"Most of this plot's carbon lies below the reference depth — make sure your reporting says which number you are quoting. ",""))</f>
        <v/>
      </c>
      <c r="I60" s="18">
        <f>IF(ISNUMBER($G60),$G60,0)</f>
        <v/>
      </c>
      <c r="J60" s="18">
        <f>IF(AND(ISNUMBER($G60),$A60&lt;&gt;""),1,0)</f>
        <v/>
      </c>
    </row>
    <row r="61">
      <c r="A61" s="18">
        <f>IF(INDEX('1. Plot &amp; Site Log'!$A$5:$A$64,ROW()-4)="","",INDEX('1. Plot &amp; Site Log'!$A$5:$A$64,ROW()-4))</f>
        <v/>
      </c>
      <c r="B61" s="18">
        <f>IF($A61="","",INDEX('1. Plot &amp; Site Log'!$B$5:$B$64,MATCH($A61,'1. Plot &amp; Site Log'!$A$5:$A$64,0)))</f>
        <v/>
      </c>
      <c r="C61" s="18">
        <f>IF($A61="","",COUNTIFS('2. Core Log'!$B$5:$B$124,$A61))</f>
        <v/>
      </c>
      <c r="D61" s="18">
        <f>IF(OR($A61="",$C61=0),"",IFERROR(AVERAGEIFS('2. Core Log'!$R$5:$R$124,'2. Core Log'!$B$5:$B$124,$A61),""))</f>
        <v/>
      </c>
      <c r="E61" s="18">
        <f>IF(OR($A61="",$C61=0),"",IFERROR(AVERAGEIFS('2. Core Log'!$S$5:$S$124,'2. Core Log'!$B$5:$B$124,$A61),""))</f>
        <v/>
      </c>
      <c r="F61" s="14" t="n"/>
      <c r="G61" s="21">
        <f>IF($A61="","",IF(ISNUMBER($D61),$D61,0)+IF(ISNUMBER($F61),$F61,0))</f>
        <v/>
      </c>
      <c r="H61" s="18">
        <f>IF($A61="","",IF($C61=0,"No cores for this plot — it contributes nothing to the site mean. ","")&amp;IF(AND($C61&gt;0,$C61&lt;2),"Only one core in this plot. Bansal et al. recommend three or more per wetland. ","")&amp;IF(AND(ISNUMBER($D61),ISNUMBER($E61),$D61&gt;$E61*1.5),"Most of this plot's carbon lies below the reference depth — make sure your reporting says which number you are quoting. ",""))</f>
        <v/>
      </c>
      <c r="I61" s="18">
        <f>IF(ISNUMBER($G61),$G61,0)</f>
        <v/>
      </c>
      <c r="J61" s="18">
        <f>IF(AND(ISNUMBER($G61),$A61&lt;&gt;""),1,0)</f>
        <v/>
      </c>
    </row>
    <row r="62">
      <c r="A62" s="18">
        <f>IF(INDEX('1. Plot &amp; Site Log'!$A$5:$A$64,ROW()-4)="","",INDEX('1. Plot &amp; Site Log'!$A$5:$A$64,ROW()-4))</f>
        <v/>
      </c>
      <c r="B62" s="18">
        <f>IF($A62="","",INDEX('1. Plot &amp; Site Log'!$B$5:$B$64,MATCH($A62,'1. Plot &amp; Site Log'!$A$5:$A$64,0)))</f>
        <v/>
      </c>
      <c r="C62" s="18">
        <f>IF($A62="","",COUNTIFS('2. Core Log'!$B$5:$B$124,$A62))</f>
        <v/>
      </c>
      <c r="D62" s="18">
        <f>IF(OR($A62="",$C62=0),"",IFERROR(AVERAGEIFS('2. Core Log'!$R$5:$R$124,'2. Core Log'!$B$5:$B$124,$A62),""))</f>
        <v/>
      </c>
      <c r="E62" s="18">
        <f>IF(OR($A62="",$C62=0),"",IFERROR(AVERAGEIFS('2. Core Log'!$S$5:$S$124,'2. Core Log'!$B$5:$B$124,$A62),""))</f>
        <v/>
      </c>
      <c r="F62" s="14" t="n"/>
      <c r="G62" s="21">
        <f>IF($A62="","",IF(ISNUMBER($D62),$D62,0)+IF(ISNUMBER($F62),$F62,0))</f>
        <v/>
      </c>
      <c r="H62" s="18">
        <f>IF($A62="","",IF($C62=0,"No cores for this plot — it contributes nothing to the site mean. ","")&amp;IF(AND($C62&gt;0,$C62&lt;2),"Only one core in this plot. Bansal et al. recommend three or more per wetland. ","")&amp;IF(AND(ISNUMBER($D62),ISNUMBER($E62),$D62&gt;$E62*1.5),"Most of this plot's carbon lies below the reference depth — make sure your reporting says which number you are quoting. ",""))</f>
        <v/>
      </c>
      <c r="I62" s="18">
        <f>IF(ISNUMBER($G62),$G62,0)</f>
        <v/>
      </c>
      <c r="J62" s="18">
        <f>IF(AND(ISNUMBER($G62),$A62&lt;&gt;""),1,0)</f>
        <v/>
      </c>
    </row>
    <row r="63">
      <c r="A63" s="18">
        <f>IF(INDEX('1. Plot &amp; Site Log'!$A$5:$A$64,ROW()-4)="","",INDEX('1. Plot &amp; Site Log'!$A$5:$A$64,ROW()-4))</f>
        <v/>
      </c>
      <c r="B63" s="18">
        <f>IF($A63="","",INDEX('1. Plot &amp; Site Log'!$B$5:$B$64,MATCH($A63,'1. Plot &amp; Site Log'!$A$5:$A$64,0)))</f>
        <v/>
      </c>
      <c r="C63" s="18">
        <f>IF($A63="","",COUNTIFS('2. Core Log'!$B$5:$B$124,$A63))</f>
        <v/>
      </c>
      <c r="D63" s="18">
        <f>IF(OR($A63="",$C63=0),"",IFERROR(AVERAGEIFS('2. Core Log'!$R$5:$R$124,'2. Core Log'!$B$5:$B$124,$A63),""))</f>
        <v/>
      </c>
      <c r="E63" s="18">
        <f>IF(OR($A63="",$C63=0),"",IFERROR(AVERAGEIFS('2. Core Log'!$S$5:$S$124,'2. Core Log'!$B$5:$B$124,$A63),""))</f>
        <v/>
      </c>
      <c r="F63" s="14" t="n"/>
      <c r="G63" s="21">
        <f>IF($A63="","",IF(ISNUMBER($D63),$D63,0)+IF(ISNUMBER($F63),$F63,0))</f>
        <v/>
      </c>
      <c r="H63" s="18">
        <f>IF($A63="","",IF($C63=0,"No cores for this plot — it contributes nothing to the site mean. ","")&amp;IF(AND($C63&gt;0,$C63&lt;2),"Only one core in this plot. Bansal et al. recommend three or more per wetland. ","")&amp;IF(AND(ISNUMBER($D63),ISNUMBER($E63),$D63&gt;$E63*1.5),"Most of this plot's carbon lies below the reference depth — make sure your reporting says which number you are quoting. ",""))</f>
        <v/>
      </c>
      <c r="I63" s="18">
        <f>IF(ISNUMBER($G63),$G63,0)</f>
        <v/>
      </c>
      <c r="J63" s="18">
        <f>IF(AND(ISNUMBER($G63),$A63&lt;&gt;""),1,0)</f>
        <v/>
      </c>
    </row>
    <row r="64">
      <c r="A64" s="18">
        <f>IF(INDEX('1. Plot &amp; Site Log'!$A$5:$A$64,ROW()-4)="","",INDEX('1. Plot &amp; Site Log'!$A$5:$A$64,ROW()-4))</f>
        <v/>
      </c>
      <c r="B64" s="18">
        <f>IF($A64="","",INDEX('1. Plot &amp; Site Log'!$B$5:$B$64,MATCH($A64,'1. Plot &amp; Site Log'!$A$5:$A$64,0)))</f>
        <v/>
      </c>
      <c r="C64" s="18">
        <f>IF($A64="","",COUNTIFS('2. Core Log'!$B$5:$B$124,$A64))</f>
        <v/>
      </c>
      <c r="D64" s="18">
        <f>IF(OR($A64="",$C64=0),"",IFERROR(AVERAGEIFS('2. Core Log'!$R$5:$R$124,'2. Core Log'!$B$5:$B$124,$A64),""))</f>
        <v/>
      </c>
      <c r="E64" s="18">
        <f>IF(OR($A64="",$C64=0),"",IFERROR(AVERAGEIFS('2. Core Log'!$S$5:$S$124,'2. Core Log'!$B$5:$B$124,$A64),""))</f>
        <v/>
      </c>
      <c r="F64" s="14" t="n"/>
      <c r="G64" s="21">
        <f>IF($A64="","",IF(ISNUMBER($D64),$D64,0)+IF(ISNUMBER($F64),$F64,0))</f>
        <v/>
      </c>
      <c r="H64" s="18">
        <f>IF($A64="","",IF($C64=0,"No cores for this plot — it contributes nothing to the site mean. ","")&amp;IF(AND($C64&gt;0,$C64&lt;2),"Only one core in this plot. Bansal et al. recommend three or more per wetland. ","")&amp;IF(AND(ISNUMBER($D64),ISNUMBER($E64),$D64&gt;$E64*1.5),"Most of this plot's carbon lies below the reference depth — make sure your reporting says which number you are quoting. ",""))</f>
        <v/>
      </c>
      <c r="I64" s="18">
        <f>IF(ISNUMBER($G64),$G64,0)</f>
        <v/>
      </c>
      <c r="J64" s="18">
        <f>IF(AND(ISNUMBER($G64),$A64&lt;&gt;""),1,0)</f>
        <v/>
      </c>
    </row>
  </sheetData>
  <mergeCells count="1"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8" customWidth="1" min="3" max="3"/>
    <col width="14" customWidth="1" min="4" max="4"/>
    <col width="11" customWidth="1" min="5" max="5"/>
    <col width="12" customWidth="1" min="6" max="6"/>
    <col width="11" customWidth="1" min="7" max="7"/>
    <col width="15" customWidth="1" min="8" max="8"/>
    <col width="13" customWidth="1" min="9" max="9"/>
    <col width="12" customWidth="1" min="10" max="10"/>
    <col width="22" customWidth="1" min="11" max="11"/>
    <col width="15" customWidth="1" min="12" max="12"/>
    <col width="14" customWidth="1" min="13" max="13"/>
    <col width="42" customWidth="1" min="14" max="14"/>
  </cols>
  <sheetData>
    <row r="1">
      <c r="A1" s="10" t="inlineStr">
        <is>
          <t>SITE SUMMARY</t>
        </is>
      </c>
    </row>
    <row r="2" ht="32" customHeight="1">
      <c r="A2" s="15" t="inlineStr">
        <is>
          <t>Type a Site ID and its area; everything else calculates. This is where the loop from Part 2 closes: the precision you asked for when you sized the campaign is checked against the precision you achieved. Totals are on the FULL-PROFILE basis.</t>
        </is>
      </c>
    </row>
    <row r="4" ht="42" customHeight="1">
      <c r="A4" s="16" t="inlineStr">
        <is>
          <t>Site ID</t>
        </is>
      </c>
      <c r="B4" s="16" t="inlineStr">
        <is>
          <t>Site area (m²)</t>
        </is>
      </c>
      <c r="C4" s="16" t="inlineStr">
        <is>
          <t>Plots</t>
        </is>
      </c>
      <c r="D4" s="16" t="inlineStr">
        <is>
          <t>Mean (kg C/m²)</t>
        </is>
      </c>
      <c r="E4" s="16" t="inlineStr">
        <is>
          <t>SD</t>
        </is>
      </c>
      <c r="F4" s="16" t="inlineStr">
        <is>
          <t>Standard error</t>
        </is>
      </c>
      <c r="G4" s="16" t="inlineStr">
        <is>
          <t>t (two-sided)</t>
        </is>
      </c>
      <c r="H4" s="16" t="inlineStr">
        <is>
          <t>± half-width (kg C/m²)</t>
        </is>
      </c>
      <c r="I4" s="16" t="inlineStr">
        <is>
          <t>Achieved margin</t>
        </is>
      </c>
      <c r="J4" s="16" t="inlineStr">
        <is>
          <t>Target margin</t>
        </is>
      </c>
      <c r="K4" s="16" t="inlineStr">
        <is>
          <t>Precision</t>
        </is>
      </c>
      <c r="L4" s="16" t="inlineStr">
        <is>
          <t>Total carbon (kg C)</t>
        </is>
      </c>
      <c r="M4" s="16" t="inlineStr">
        <is>
          <t>Total (t CO₂e)</t>
        </is>
      </c>
      <c r="N4" s="16" t="inlineStr">
        <is>
          <t>QC flags</t>
        </is>
      </c>
    </row>
    <row r="5">
      <c r="A5" s="14" t="n"/>
      <c r="B5" s="14" t="n"/>
      <c r="C5" s="18">
        <f>IF($A5="","",SUMIFS('5. Plot Summary'!$J$5:$J$64,'5. Plot Summary'!$B$5:$B$64,$A5))</f>
        <v/>
      </c>
      <c r="D5" s="18">
        <f>IF(OR($A5="",NOT(ISNUMBER($C5)),$C5=0),"",SUMIFS('5. Plot Summary'!$I$5:$I$64,'5. Plot Summary'!$B$5:$B$64,$A5)/$C5)</f>
        <v/>
      </c>
      <c r="E5" s="18">
        <f>IF(OR($A5="",NOT(ISNUMBER($C5)),$C5&lt;2),"",SQRT(SUMPRODUCT(('5. Plot Summary'!$B$5:$B$64=$A5)*'5. Plot Summary'!$J$5:$J$64*('5. Plot Summary'!$I$5:$I$64-$D5)^2)/($C5-1)))</f>
        <v/>
      </c>
      <c r="F5" s="18">
        <f>IF(OR(NOT(ISNUMBER($E5)),NOT(ISNUMBER($C5)),$C5&lt;2),"",$E5/SQRT($C5))</f>
        <v/>
      </c>
      <c r="G5" s="18">
        <f>IF(OR($A5="",NOT(ISNUMBER($C5)),$C5&lt;2),"",TINV(1-TARGET_CONFIDENCE,$C5-1))</f>
        <v/>
      </c>
      <c r="H5" s="18">
        <f>IF(OR(NOT(ISNUMBER($F5)),NOT(ISNUMBER($G5))),"",$G5*$F5)</f>
        <v/>
      </c>
      <c r="I5" s="18">
        <f>IF(OR(NOT(ISNUMBER($H5)),NOT(ISNUMBER($D5)),$D5=0),"",$H5/$D5)</f>
        <v/>
      </c>
      <c r="J5" s="18">
        <f>IF($A5="","",TARGET_MARGIN)</f>
        <v/>
      </c>
      <c r="K5" s="18">
        <f>IF(NOT(ISNUMBER($I5)),IF($A5="","","Cannot be assessed — at least 2 plots are needed for an interval."),IF($I5&lt;=$J5,"MET: ±"&amp;TEXT($I5,"0%")&amp;" at "&amp;TEXT(TARGET_CONFIDENCE,"0%")&amp;" confidence","NOT MET: ±"&amp;TEXT($I5,"0%")&amp;" against a ±"&amp;TEXT($J5,"0%")&amp;" target"))</f>
        <v/>
      </c>
      <c r="L5" s="18">
        <f>IF(OR($A5="",NOT(ISNUMBER($B5)),NOT(ISNUMBER($D5))),"",$D5*$B5)</f>
        <v/>
      </c>
      <c r="M5" s="18">
        <f>IF(NOT(ISNUMBER($L5)),"",$L5*CO2E_FACTOR/1000)</f>
        <v/>
      </c>
      <c r="N5" s="18">
        <f>IF($A5="","",IF($C5=0,"No plots carry this Site ID — check it matches the Plot &amp; Site Log. ","")&amp;IF(AND($C5&gt;0,$C5&lt;2),"Only one plot: a mean can be reported but never an uncertainty. ","")&amp;IF($B5="","No site area, so no total carbon. ","")&amp;IF(AND(ISNUMBER($I5),$I5&gt;$J5),"Wider than planned. Peatland carbon varies more than forest carbon does, largely through depth — more cores, or stratifying by microform and depth, would tighten it. ",""))</f>
        <v/>
      </c>
    </row>
    <row r="6">
      <c r="A6" s="14" t="n"/>
      <c r="B6" s="14" t="n"/>
      <c r="C6" s="18">
        <f>IF($A6="","",SUMIFS('5. Plot Summary'!$J$5:$J$64,'5. Plot Summary'!$B$5:$B$64,$A6))</f>
        <v/>
      </c>
      <c r="D6" s="18">
        <f>IF(OR($A6="",NOT(ISNUMBER($C6)),$C6=0),"",SUMIFS('5. Plot Summary'!$I$5:$I$64,'5. Plot Summary'!$B$5:$B$64,$A6)/$C6)</f>
        <v/>
      </c>
      <c r="E6" s="18">
        <f>IF(OR($A6="",NOT(ISNUMBER($C6)),$C6&lt;2),"",SQRT(SUMPRODUCT(('5. Plot Summary'!$B$5:$B$64=$A6)*'5. Plot Summary'!$J$5:$J$64*('5. Plot Summary'!$I$5:$I$64-$D6)^2)/($C6-1)))</f>
        <v/>
      </c>
      <c r="F6" s="18">
        <f>IF(OR(NOT(ISNUMBER($E6)),NOT(ISNUMBER($C6)),$C6&lt;2),"",$E6/SQRT($C6))</f>
        <v/>
      </c>
      <c r="G6" s="18">
        <f>IF(OR($A6="",NOT(ISNUMBER($C6)),$C6&lt;2),"",TINV(1-TARGET_CONFIDENCE,$C6-1))</f>
        <v/>
      </c>
      <c r="H6" s="18">
        <f>IF(OR(NOT(ISNUMBER($F6)),NOT(ISNUMBER($G6))),"",$G6*$F6)</f>
        <v/>
      </c>
      <c r="I6" s="18">
        <f>IF(OR(NOT(ISNUMBER($H6)),NOT(ISNUMBER($D6)),$D6=0),"",$H6/$D6)</f>
        <v/>
      </c>
      <c r="J6" s="18">
        <f>IF($A6="","",TARGET_MARGIN)</f>
        <v/>
      </c>
      <c r="K6" s="18">
        <f>IF(NOT(ISNUMBER($I6)),IF($A6="","","Cannot be assessed — at least 2 plots are needed for an interval."),IF($I6&lt;=$J6,"MET: ±"&amp;TEXT($I6,"0%")&amp;" at "&amp;TEXT(TARGET_CONFIDENCE,"0%")&amp;" confidence","NOT MET: ±"&amp;TEXT($I6,"0%")&amp;" against a ±"&amp;TEXT($J6,"0%")&amp;" target"))</f>
        <v/>
      </c>
      <c r="L6" s="18">
        <f>IF(OR($A6="",NOT(ISNUMBER($B6)),NOT(ISNUMBER($D6))),"",$D6*$B6)</f>
        <v/>
      </c>
      <c r="M6" s="18">
        <f>IF(NOT(ISNUMBER($L6)),"",$L6*CO2E_FACTOR/1000)</f>
        <v/>
      </c>
      <c r="N6" s="18">
        <f>IF($A6="","",IF($C6=0,"No plots carry this Site ID — check it matches the Plot &amp; Site Log. ","")&amp;IF(AND($C6&gt;0,$C6&lt;2),"Only one plot: a mean can be reported but never an uncertainty. ","")&amp;IF($B6="","No site area, so no total carbon. ","")&amp;IF(AND(ISNUMBER($I6),$I6&gt;$J6),"Wider than planned. Peatland carbon varies more than forest carbon does, largely through depth — more cores, or stratifying by microform and depth, would tighten it. ",""))</f>
        <v/>
      </c>
    </row>
    <row r="7">
      <c r="A7" s="14" t="n"/>
      <c r="B7" s="14" t="n"/>
      <c r="C7" s="18">
        <f>IF($A7="","",SUMIFS('5. Plot Summary'!$J$5:$J$64,'5. Plot Summary'!$B$5:$B$64,$A7))</f>
        <v/>
      </c>
      <c r="D7" s="18">
        <f>IF(OR($A7="",NOT(ISNUMBER($C7)),$C7=0),"",SUMIFS('5. Plot Summary'!$I$5:$I$64,'5. Plot Summary'!$B$5:$B$64,$A7)/$C7)</f>
        <v/>
      </c>
      <c r="E7" s="18">
        <f>IF(OR($A7="",NOT(ISNUMBER($C7)),$C7&lt;2),"",SQRT(SUMPRODUCT(('5. Plot Summary'!$B$5:$B$64=$A7)*'5. Plot Summary'!$J$5:$J$64*('5. Plot Summary'!$I$5:$I$64-$D7)^2)/($C7-1)))</f>
        <v/>
      </c>
      <c r="F7" s="18">
        <f>IF(OR(NOT(ISNUMBER($E7)),NOT(ISNUMBER($C7)),$C7&lt;2),"",$E7/SQRT($C7))</f>
        <v/>
      </c>
      <c r="G7" s="18">
        <f>IF(OR($A7="",NOT(ISNUMBER($C7)),$C7&lt;2),"",TINV(1-TARGET_CONFIDENCE,$C7-1))</f>
        <v/>
      </c>
      <c r="H7" s="18">
        <f>IF(OR(NOT(ISNUMBER($F7)),NOT(ISNUMBER($G7))),"",$G7*$F7)</f>
        <v/>
      </c>
      <c r="I7" s="18">
        <f>IF(OR(NOT(ISNUMBER($H7)),NOT(ISNUMBER($D7)),$D7=0),"",$H7/$D7)</f>
        <v/>
      </c>
      <c r="J7" s="18">
        <f>IF($A7="","",TARGET_MARGIN)</f>
        <v/>
      </c>
      <c r="K7" s="18">
        <f>IF(NOT(ISNUMBER($I7)),IF($A7="","","Cannot be assessed — at least 2 plots are needed for an interval."),IF($I7&lt;=$J7,"MET: ±"&amp;TEXT($I7,"0%")&amp;" at "&amp;TEXT(TARGET_CONFIDENCE,"0%")&amp;" confidence","NOT MET: ±"&amp;TEXT($I7,"0%")&amp;" against a ±"&amp;TEXT($J7,"0%")&amp;" target"))</f>
        <v/>
      </c>
      <c r="L7" s="18">
        <f>IF(OR($A7="",NOT(ISNUMBER($B7)),NOT(ISNUMBER($D7))),"",$D7*$B7)</f>
        <v/>
      </c>
      <c r="M7" s="18">
        <f>IF(NOT(ISNUMBER($L7)),"",$L7*CO2E_FACTOR/1000)</f>
        <v/>
      </c>
      <c r="N7" s="18">
        <f>IF($A7="","",IF($C7=0,"No plots carry this Site ID — check it matches the Plot &amp; Site Log. ","")&amp;IF(AND($C7&gt;0,$C7&lt;2),"Only one plot: a mean can be reported but never an uncertainty. ","")&amp;IF($B7="","No site area, so no total carbon. ","")&amp;IF(AND(ISNUMBER($I7),$I7&gt;$J7),"Wider than planned. Peatland carbon varies more than forest carbon does, largely through depth — more cores, or stratifying by microform and depth, would tighten it. ",""))</f>
        <v/>
      </c>
    </row>
    <row r="8">
      <c r="A8" s="14" t="n"/>
      <c r="B8" s="14" t="n"/>
      <c r="C8" s="18">
        <f>IF($A8="","",SUMIFS('5. Plot Summary'!$J$5:$J$64,'5. Plot Summary'!$B$5:$B$64,$A8))</f>
        <v/>
      </c>
      <c r="D8" s="18">
        <f>IF(OR($A8="",NOT(ISNUMBER($C8)),$C8=0),"",SUMIFS('5. Plot Summary'!$I$5:$I$64,'5. Plot Summary'!$B$5:$B$64,$A8)/$C8)</f>
        <v/>
      </c>
      <c r="E8" s="18">
        <f>IF(OR($A8="",NOT(ISNUMBER($C8)),$C8&lt;2),"",SQRT(SUMPRODUCT(('5. Plot Summary'!$B$5:$B$64=$A8)*'5. Plot Summary'!$J$5:$J$64*('5. Plot Summary'!$I$5:$I$64-$D8)^2)/($C8-1)))</f>
        <v/>
      </c>
      <c r="F8" s="18">
        <f>IF(OR(NOT(ISNUMBER($E8)),NOT(ISNUMBER($C8)),$C8&lt;2),"",$E8/SQRT($C8))</f>
        <v/>
      </c>
      <c r="G8" s="18">
        <f>IF(OR($A8="",NOT(ISNUMBER($C8)),$C8&lt;2),"",TINV(1-TARGET_CONFIDENCE,$C8-1))</f>
        <v/>
      </c>
      <c r="H8" s="18">
        <f>IF(OR(NOT(ISNUMBER($F8)),NOT(ISNUMBER($G8))),"",$G8*$F8)</f>
        <v/>
      </c>
      <c r="I8" s="18">
        <f>IF(OR(NOT(ISNUMBER($H8)),NOT(ISNUMBER($D8)),$D8=0),"",$H8/$D8)</f>
        <v/>
      </c>
      <c r="J8" s="18">
        <f>IF($A8="","",TARGET_MARGIN)</f>
        <v/>
      </c>
      <c r="K8" s="18">
        <f>IF(NOT(ISNUMBER($I8)),IF($A8="","","Cannot be assessed — at least 2 plots are needed for an interval."),IF($I8&lt;=$J8,"MET: ±"&amp;TEXT($I8,"0%")&amp;" at "&amp;TEXT(TARGET_CONFIDENCE,"0%")&amp;" confidence","NOT MET: ±"&amp;TEXT($I8,"0%")&amp;" against a ±"&amp;TEXT($J8,"0%")&amp;" target"))</f>
        <v/>
      </c>
      <c r="L8" s="18">
        <f>IF(OR($A8="",NOT(ISNUMBER($B8)),NOT(ISNUMBER($D8))),"",$D8*$B8)</f>
        <v/>
      </c>
      <c r="M8" s="18">
        <f>IF(NOT(ISNUMBER($L8)),"",$L8*CO2E_FACTOR/1000)</f>
        <v/>
      </c>
      <c r="N8" s="18">
        <f>IF($A8="","",IF($C8=0,"No plots carry this Site ID — check it matches the Plot &amp; Site Log. ","")&amp;IF(AND($C8&gt;0,$C8&lt;2),"Only one plot: a mean can be reported but never an uncertainty. ","")&amp;IF($B8="","No site area, so no total carbon. ","")&amp;IF(AND(ISNUMBER($I8),$I8&gt;$J8),"Wider than planned. Peatland carbon varies more than forest carbon does, largely through depth — more cores, or stratifying by microform and depth, would tighten it. ",""))</f>
        <v/>
      </c>
    </row>
    <row r="9">
      <c r="A9" s="14" t="n"/>
      <c r="B9" s="14" t="n"/>
      <c r="C9" s="18">
        <f>IF($A9="","",SUMIFS('5. Plot Summary'!$J$5:$J$64,'5. Plot Summary'!$B$5:$B$64,$A9))</f>
        <v/>
      </c>
      <c r="D9" s="18">
        <f>IF(OR($A9="",NOT(ISNUMBER($C9)),$C9=0),"",SUMIFS('5. Plot Summary'!$I$5:$I$64,'5. Plot Summary'!$B$5:$B$64,$A9)/$C9)</f>
        <v/>
      </c>
      <c r="E9" s="18">
        <f>IF(OR($A9="",NOT(ISNUMBER($C9)),$C9&lt;2),"",SQRT(SUMPRODUCT(('5. Plot Summary'!$B$5:$B$64=$A9)*'5. Plot Summary'!$J$5:$J$64*('5. Plot Summary'!$I$5:$I$64-$D9)^2)/($C9-1)))</f>
        <v/>
      </c>
      <c r="F9" s="18">
        <f>IF(OR(NOT(ISNUMBER($E9)),NOT(ISNUMBER($C9)),$C9&lt;2),"",$E9/SQRT($C9))</f>
        <v/>
      </c>
      <c r="G9" s="18">
        <f>IF(OR($A9="",NOT(ISNUMBER($C9)),$C9&lt;2),"",TINV(1-TARGET_CONFIDENCE,$C9-1))</f>
        <v/>
      </c>
      <c r="H9" s="18">
        <f>IF(OR(NOT(ISNUMBER($F9)),NOT(ISNUMBER($G9))),"",$G9*$F9)</f>
        <v/>
      </c>
      <c r="I9" s="18">
        <f>IF(OR(NOT(ISNUMBER($H9)),NOT(ISNUMBER($D9)),$D9=0),"",$H9/$D9)</f>
        <v/>
      </c>
      <c r="J9" s="18">
        <f>IF($A9="","",TARGET_MARGIN)</f>
        <v/>
      </c>
      <c r="K9" s="18">
        <f>IF(NOT(ISNUMBER($I9)),IF($A9="","","Cannot be assessed — at least 2 plots are needed for an interval."),IF($I9&lt;=$J9,"MET: ±"&amp;TEXT($I9,"0%")&amp;" at "&amp;TEXT(TARGET_CONFIDENCE,"0%")&amp;" confidence","NOT MET: ±"&amp;TEXT($I9,"0%")&amp;" against a ±"&amp;TEXT($J9,"0%")&amp;" target"))</f>
        <v/>
      </c>
      <c r="L9" s="18">
        <f>IF(OR($A9="",NOT(ISNUMBER($B9)),NOT(ISNUMBER($D9))),"",$D9*$B9)</f>
        <v/>
      </c>
      <c r="M9" s="18">
        <f>IF(NOT(ISNUMBER($L9)),"",$L9*CO2E_FACTOR/1000)</f>
        <v/>
      </c>
      <c r="N9" s="18">
        <f>IF($A9="","",IF($C9=0,"No plots carry this Site ID — check it matches the Plot &amp; Site Log. ","")&amp;IF(AND($C9&gt;0,$C9&lt;2),"Only one plot: a mean can be reported but never an uncertainty. ","")&amp;IF($B9="","No site area, so no total carbon. ","")&amp;IF(AND(ISNUMBER($I9),$I9&gt;$J9),"Wider than planned. Peatland carbon varies more than forest carbon does, largely through depth — more cores, or stratifying by microform and depth, would tighten it. ",""))</f>
        <v/>
      </c>
    </row>
    <row r="10">
      <c r="A10" s="14" t="n"/>
      <c r="B10" s="14" t="n"/>
      <c r="C10" s="18">
        <f>IF($A10="","",SUMIFS('5. Plot Summary'!$J$5:$J$64,'5. Plot Summary'!$B$5:$B$64,$A10))</f>
        <v/>
      </c>
      <c r="D10" s="18">
        <f>IF(OR($A10="",NOT(ISNUMBER($C10)),$C10=0),"",SUMIFS('5. Plot Summary'!$I$5:$I$64,'5. Plot Summary'!$B$5:$B$64,$A10)/$C10)</f>
        <v/>
      </c>
      <c r="E10" s="18">
        <f>IF(OR($A10="",NOT(ISNUMBER($C10)),$C10&lt;2),"",SQRT(SUMPRODUCT(('5. Plot Summary'!$B$5:$B$64=$A10)*'5. Plot Summary'!$J$5:$J$64*('5. Plot Summary'!$I$5:$I$64-$D10)^2)/($C10-1)))</f>
        <v/>
      </c>
      <c r="F10" s="18">
        <f>IF(OR(NOT(ISNUMBER($E10)),NOT(ISNUMBER($C10)),$C10&lt;2),"",$E10/SQRT($C10))</f>
        <v/>
      </c>
      <c r="G10" s="18">
        <f>IF(OR($A10="",NOT(ISNUMBER($C10)),$C10&lt;2),"",TINV(1-TARGET_CONFIDENCE,$C10-1))</f>
        <v/>
      </c>
      <c r="H10" s="18">
        <f>IF(OR(NOT(ISNUMBER($F10)),NOT(ISNUMBER($G10))),"",$G10*$F10)</f>
        <v/>
      </c>
      <c r="I10" s="18">
        <f>IF(OR(NOT(ISNUMBER($H10)),NOT(ISNUMBER($D10)),$D10=0),"",$H10/$D10)</f>
        <v/>
      </c>
      <c r="J10" s="18">
        <f>IF($A10="","",TARGET_MARGIN)</f>
        <v/>
      </c>
      <c r="K10" s="18">
        <f>IF(NOT(ISNUMBER($I10)),IF($A10="","","Cannot be assessed — at least 2 plots are needed for an interval."),IF($I10&lt;=$J10,"MET: ±"&amp;TEXT($I10,"0%")&amp;" at "&amp;TEXT(TARGET_CONFIDENCE,"0%")&amp;" confidence","NOT MET: ±"&amp;TEXT($I10,"0%")&amp;" against a ±"&amp;TEXT($J10,"0%")&amp;" target"))</f>
        <v/>
      </c>
      <c r="L10" s="18">
        <f>IF(OR($A10="",NOT(ISNUMBER($B10)),NOT(ISNUMBER($D10))),"",$D10*$B10)</f>
        <v/>
      </c>
      <c r="M10" s="18">
        <f>IF(NOT(ISNUMBER($L10)),"",$L10*CO2E_FACTOR/1000)</f>
        <v/>
      </c>
      <c r="N10" s="18">
        <f>IF($A10="","",IF($C10=0,"No plots carry this Site ID — check it matches the Plot &amp; Site Log. ","")&amp;IF(AND($C10&gt;0,$C10&lt;2),"Only one plot: a mean can be reported but never an uncertainty. ","")&amp;IF($B10="","No site area, so no total carbon. ","")&amp;IF(AND(ISNUMBER($I10),$I10&gt;$J10),"Wider than planned. Peatland carbon varies more than forest carbon does, largely through depth — more cores, or stratifying by microform and depth, would tighten it. ",""))</f>
        <v/>
      </c>
    </row>
    <row r="11">
      <c r="A11" s="14" t="n"/>
      <c r="B11" s="14" t="n"/>
      <c r="C11" s="18">
        <f>IF($A11="","",SUMIFS('5. Plot Summary'!$J$5:$J$64,'5. Plot Summary'!$B$5:$B$64,$A11))</f>
        <v/>
      </c>
      <c r="D11" s="18">
        <f>IF(OR($A11="",NOT(ISNUMBER($C11)),$C11=0),"",SUMIFS('5. Plot Summary'!$I$5:$I$64,'5. Plot Summary'!$B$5:$B$64,$A11)/$C11)</f>
        <v/>
      </c>
      <c r="E11" s="18">
        <f>IF(OR($A11="",NOT(ISNUMBER($C11)),$C11&lt;2),"",SQRT(SUMPRODUCT(('5. Plot Summary'!$B$5:$B$64=$A11)*'5. Plot Summary'!$J$5:$J$64*('5. Plot Summary'!$I$5:$I$64-$D11)^2)/($C11-1)))</f>
        <v/>
      </c>
      <c r="F11" s="18">
        <f>IF(OR(NOT(ISNUMBER($E11)),NOT(ISNUMBER($C11)),$C11&lt;2),"",$E11/SQRT($C11))</f>
        <v/>
      </c>
      <c r="G11" s="18">
        <f>IF(OR($A11="",NOT(ISNUMBER($C11)),$C11&lt;2),"",TINV(1-TARGET_CONFIDENCE,$C11-1))</f>
        <v/>
      </c>
      <c r="H11" s="18">
        <f>IF(OR(NOT(ISNUMBER($F11)),NOT(ISNUMBER($G11))),"",$G11*$F11)</f>
        <v/>
      </c>
      <c r="I11" s="18">
        <f>IF(OR(NOT(ISNUMBER($H11)),NOT(ISNUMBER($D11)),$D11=0),"",$H11/$D11)</f>
        <v/>
      </c>
      <c r="J11" s="18">
        <f>IF($A11="","",TARGET_MARGIN)</f>
        <v/>
      </c>
      <c r="K11" s="18">
        <f>IF(NOT(ISNUMBER($I11)),IF($A11="","","Cannot be assessed — at least 2 plots are needed for an interval."),IF($I11&lt;=$J11,"MET: ±"&amp;TEXT($I11,"0%")&amp;" at "&amp;TEXT(TARGET_CONFIDENCE,"0%")&amp;" confidence","NOT MET: ±"&amp;TEXT($I11,"0%")&amp;" against a ±"&amp;TEXT($J11,"0%")&amp;" target"))</f>
        <v/>
      </c>
      <c r="L11" s="18">
        <f>IF(OR($A11="",NOT(ISNUMBER($B11)),NOT(ISNUMBER($D11))),"",$D11*$B11)</f>
        <v/>
      </c>
      <c r="M11" s="18">
        <f>IF(NOT(ISNUMBER($L11)),"",$L11*CO2E_FACTOR/1000)</f>
        <v/>
      </c>
      <c r="N11" s="18">
        <f>IF($A11="","",IF($C11=0,"No plots carry this Site ID — check it matches the Plot &amp; Site Log. ","")&amp;IF(AND($C11&gt;0,$C11&lt;2),"Only one plot: a mean can be reported but never an uncertainty. ","")&amp;IF($B11="","No site area, so no total carbon. ","")&amp;IF(AND(ISNUMBER($I11),$I11&gt;$J11),"Wider than planned. Peatland carbon varies more than forest carbon does, largely through depth — more cores, or stratifying by microform and depth, would tighten it. ",""))</f>
        <v/>
      </c>
    </row>
    <row r="12">
      <c r="A12" s="14" t="n"/>
      <c r="B12" s="14" t="n"/>
      <c r="C12" s="18">
        <f>IF($A12="","",SUMIFS('5. Plot Summary'!$J$5:$J$64,'5. Plot Summary'!$B$5:$B$64,$A12))</f>
        <v/>
      </c>
      <c r="D12" s="18">
        <f>IF(OR($A12="",NOT(ISNUMBER($C12)),$C12=0),"",SUMIFS('5. Plot Summary'!$I$5:$I$64,'5. Plot Summary'!$B$5:$B$64,$A12)/$C12)</f>
        <v/>
      </c>
      <c r="E12" s="18">
        <f>IF(OR($A12="",NOT(ISNUMBER($C12)),$C12&lt;2),"",SQRT(SUMPRODUCT(('5. Plot Summary'!$B$5:$B$64=$A12)*'5. Plot Summary'!$J$5:$J$64*('5. Plot Summary'!$I$5:$I$64-$D12)^2)/($C12-1)))</f>
        <v/>
      </c>
      <c r="F12" s="18">
        <f>IF(OR(NOT(ISNUMBER($E12)),NOT(ISNUMBER($C12)),$C12&lt;2),"",$E12/SQRT($C12))</f>
        <v/>
      </c>
      <c r="G12" s="18">
        <f>IF(OR($A12="",NOT(ISNUMBER($C12)),$C12&lt;2),"",TINV(1-TARGET_CONFIDENCE,$C12-1))</f>
        <v/>
      </c>
      <c r="H12" s="18">
        <f>IF(OR(NOT(ISNUMBER($F12)),NOT(ISNUMBER($G12))),"",$G12*$F12)</f>
        <v/>
      </c>
      <c r="I12" s="18">
        <f>IF(OR(NOT(ISNUMBER($H12)),NOT(ISNUMBER($D12)),$D12=0),"",$H12/$D12)</f>
        <v/>
      </c>
      <c r="J12" s="18">
        <f>IF($A12="","",TARGET_MARGIN)</f>
        <v/>
      </c>
      <c r="K12" s="18">
        <f>IF(NOT(ISNUMBER($I12)),IF($A12="","","Cannot be assessed — at least 2 plots are needed for an interval."),IF($I12&lt;=$J12,"MET: ±"&amp;TEXT($I12,"0%")&amp;" at "&amp;TEXT(TARGET_CONFIDENCE,"0%")&amp;" confidence","NOT MET: ±"&amp;TEXT($I12,"0%")&amp;" against a ±"&amp;TEXT($J12,"0%")&amp;" target"))</f>
        <v/>
      </c>
      <c r="L12" s="18">
        <f>IF(OR($A12="",NOT(ISNUMBER($B12)),NOT(ISNUMBER($D12))),"",$D12*$B12)</f>
        <v/>
      </c>
      <c r="M12" s="18">
        <f>IF(NOT(ISNUMBER($L12)),"",$L12*CO2E_FACTOR/1000)</f>
        <v/>
      </c>
      <c r="N12" s="18">
        <f>IF($A12="","",IF($C12=0,"No plots carry this Site ID — check it matches the Plot &amp; Site Log. ","")&amp;IF(AND($C12&gt;0,$C12&lt;2),"Only one plot: a mean can be reported but never an uncertainty. ","")&amp;IF($B12="","No site area, so no total carbon. ","")&amp;IF(AND(ISNUMBER($I12),$I12&gt;$J12),"Wider than planned. Peatland carbon varies more than forest carbon does, largely through depth — more cores, or stratifying by microform and depth, would tighten it. ",""))</f>
        <v/>
      </c>
    </row>
    <row r="13">
      <c r="A13" s="14" t="n"/>
      <c r="B13" s="14" t="n"/>
      <c r="C13" s="18">
        <f>IF($A13="","",SUMIFS('5. Plot Summary'!$J$5:$J$64,'5. Plot Summary'!$B$5:$B$64,$A13))</f>
        <v/>
      </c>
      <c r="D13" s="18">
        <f>IF(OR($A13="",NOT(ISNUMBER($C13)),$C13=0),"",SUMIFS('5. Plot Summary'!$I$5:$I$64,'5. Plot Summary'!$B$5:$B$64,$A13)/$C13)</f>
        <v/>
      </c>
      <c r="E13" s="18">
        <f>IF(OR($A13="",NOT(ISNUMBER($C13)),$C13&lt;2),"",SQRT(SUMPRODUCT(('5. Plot Summary'!$B$5:$B$64=$A13)*'5. Plot Summary'!$J$5:$J$64*('5. Plot Summary'!$I$5:$I$64-$D13)^2)/($C13-1)))</f>
        <v/>
      </c>
      <c r="F13" s="18">
        <f>IF(OR(NOT(ISNUMBER($E13)),NOT(ISNUMBER($C13)),$C13&lt;2),"",$E13/SQRT($C13))</f>
        <v/>
      </c>
      <c r="G13" s="18">
        <f>IF(OR($A13="",NOT(ISNUMBER($C13)),$C13&lt;2),"",TINV(1-TARGET_CONFIDENCE,$C13-1))</f>
        <v/>
      </c>
      <c r="H13" s="18">
        <f>IF(OR(NOT(ISNUMBER($F13)),NOT(ISNUMBER($G13))),"",$G13*$F13)</f>
        <v/>
      </c>
      <c r="I13" s="18">
        <f>IF(OR(NOT(ISNUMBER($H13)),NOT(ISNUMBER($D13)),$D13=0),"",$H13/$D13)</f>
        <v/>
      </c>
      <c r="J13" s="18">
        <f>IF($A13="","",TARGET_MARGIN)</f>
        <v/>
      </c>
      <c r="K13" s="18">
        <f>IF(NOT(ISNUMBER($I13)),IF($A13="","","Cannot be assessed — at least 2 plots are needed for an interval."),IF($I13&lt;=$J13,"MET: ±"&amp;TEXT($I13,"0%")&amp;" at "&amp;TEXT(TARGET_CONFIDENCE,"0%")&amp;" confidence","NOT MET: ±"&amp;TEXT($I13,"0%")&amp;" against a ±"&amp;TEXT($J13,"0%")&amp;" target"))</f>
        <v/>
      </c>
      <c r="L13" s="18">
        <f>IF(OR($A13="",NOT(ISNUMBER($B13)),NOT(ISNUMBER($D13))),"",$D13*$B13)</f>
        <v/>
      </c>
      <c r="M13" s="18">
        <f>IF(NOT(ISNUMBER($L13)),"",$L13*CO2E_FACTOR/1000)</f>
        <v/>
      </c>
      <c r="N13" s="18">
        <f>IF($A13="","",IF($C13=0,"No plots carry this Site ID — check it matches the Plot &amp; Site Log. ","")&amp;IF(AND($C13&gt;0,$C13&lt;2),"Only one plot: a mean can be reported but never an uncertainty. ","")&amp;IF($B13="","No site area, so no total carbon. ","")&amp;IF(AND(ISNUMBER($I13),$I13&gt;$J13),"Wider than planned. Peatland carbon varies more than forest carbon does, largely through depth — more cores, or stratifying by microform and depth, would tighten it. ",""))</f>
        <v/>
      </c>
    </row>
    <row r="14">
      <c r="A14" s="14" t="n"/>
      <c r="B14" s="14" t="n"/>
      <c r="C14" s="18">
        <f>IF($A14="","",SUMIFS('5. Plot Summary'!$J$5:$J$64,'5. Plot Summary'!$B$5:$B$64,$A14))</f>
        <v/>
      </c>
      <c r="D14" s="18">
        <f>IF(OR($A14="",NOT(ISNUMBER($C14)),$C14=0),"",SUMIFS('5. Plot Summary'!$I$5:$I$64,'5. Plot Summary'!$B$5:$B$64,$A14)/$C14)</f>
        <v/>
      </c>
      <c r="E14" s="18">
        <f>IF(OR($A14="",NOT(ISNUMBER($C14)),$C14&lt;2),"",SQRT(SUMPRODUCT(('5. Plot Summary'!$B$5:$B$64=$A14)*'5. Plot Summary'!$J$5:$J$64*('5. Plot Summary'!$I$5:$I$64-$D14)^2)/($C14-1)))</f>
        <v/>
      </c>
      <c r="F14" s="18">
        <f>IF(OR(NOT(ISNUMBER($E14)),NOT(ISNUMBER($C14)),$C14&lt;2),"",$E14/SQRT($C14))</f>
        <v/>
      </c>
      <c r="G14" s="18">
        <f>IF(OR($A14="",NOT(ISNUMBER($C14)),$C14&lt;2),"",TINV(1-TARGET_CONFIDENCE,$C14-1))</f>
        <v/>
      </c>
      <c r="H14" s="18">
        <f>IF(OR(NOT(ISNUMBER($F14)),NOT(ISNUMBER($G14))),"",$G14*$F14)</f>
        <v/>
      </c>
      <c r="I14" s="18">
        <f>IF(OR(NOT(ISNUMBER($H14)),NOT(ISNUMBER($D14)),$D14=0),"",$H14/$D14)</f>
        <v/>
      </c>
      <c r="J14" s="18">
        <f>IF($A14="","",TARGET_MARGIN)</f>
        <v/>
      </c>
      <c r="K14" s="18">
        <f>IF(NOT(ISNUMBER($I14)),IF($A14="","","Cannot be assessed — at least 2 plots are needed for an interval."),IF($I14&lt;=$J14,"MET: ±"&amp;TEXT($I14,"0%")&amp;" at "&amp;TEXT(TARGET_CONFIDENCE,"0%")&amp;" confidence","NOT MET: ±"&amp;TEXT($I14,"0%")&amp;" against a ±"&amp;TEXT($J14,"0%")&amp;" target"))</f>
        <v/>
      </c>
      <c r="L14" s="18">
        <f>IF(OR($A14="",NOT(ISNUMBER($B14)),NOT(ISNUMBER($D14))),"",$D14*$B14)</f>
        <v/>
      </c>
      <c r="M14" s="18">
        <f>IF(NOT(ISNUMBER($L14)),"",$L14*CO2E_FACTOR/1000)</f>
        <v/>
      </c>
      <c r="N14" s="18">
        <f>IF($A14="","",IF($C14=0,"No plots carry this Site ID — check it matches the Plot &amp; Site Log. ","")&amp;IF(AND($C14&gt;0,$C14&lt;2),"Only one plot: a mean can be reported but never an uncertainty. ","")&amp;IF($B14="","No site area, so no total carbon. ","")&amp;IF(AND(ISNUMBER($I14),$I14&gt;$J14),"Wider than planned. Peatland carbon varies more than forest carbon does, largely through depth — more cores, or stratifying by microform and depth, would tighten it. ",""))</f>
        <v/>
      </c>
    </row>
    <row r="15">
      <c r="A15" s="14" t="n"/>
      <c r="B15" s="14" t="n"/>
      <c r="C15" s="18">
        <f>IF($A15="","",SUMIFS('5. Plot Summary'!$J$5:$J$64,'5. Plot Summary'!$B$5:$B$64,$A15))</f>
        <v/>
      </c>
      <c r="D15" s="18">
        <f>IF(OR($A15="",NOT(ISNUMBER($C15)),$C15=0),"",SUMIFS('5. Plot Summary'!$I$5:$I$64,'5. Plot Summary'!$B$5:$B$64,$A15)/$C15)</f>
        <v/>
      </c>
      <c r="E15" s="18">
        <f>IF(OR($A15="",NOT(ISNUMBER($C15)),$C15&lt;2),"",SQRT(SUMPRODUCT(('5. Plot Summary'!$B$5:$B$64=$A15)*'5. Plot Summary'!$J$5:$J$64*('5. Plot Summary'!$I$5:$I$64-$D15)^2)/($C15-1)))</f>
        <v/>
      </c>
      <c r="F15" s="18">
        <f>IF(OR(NOT(ISNUMBER($E15)),NOT(ISNUMBER($C15)),$C15&lt;2),"",$E15/SQRT($C15))</f>
        <v/>
      </c>
      <c r="G15" s="18">
        <f>IF(OR($A15="",NOT(ISNUMBER($C15)),$C15&lt;2),"",TINV(1-TARGET_CONFIDENCE,$C15-1))</f>
        <v/>
      </c>
      <c r="H15" s="18">
        <f>IF(OR(NOT(ISNUMBER($F15)),NOT(ISNUMBER($G15))),"",$G15*$F15)</f>
        <v/>
      </c>
      <c r="I15" s="18">
        <f>IF(OR(NOT(ISNUMBER($H15)),NOT(ISNUMBER($D15)),$D15=0),"",$H15/$D15)</f>
        <v/>
      </c>
      <c r="J15" s="18">
        <f>IF($A15="","",TARGET_MARGIN)</f>
        <v/>
      </c>
      <c r="K15" s="18">
        <f>IF(NOT(ISNUMBER($I15)),IF($A15="","","Cannot be assessed — at least 2 plots are needed for an interval."),IF($I15&lt;=$J15,"MET: ±"&amp;TEXT($I15,"0%")&amp;" at "&amp;TEXT(TARGET_CONFIDENCE,"0%")&amp;" confidence","NOT MET: ±"&amp;TEXT($I15,"0%")&amp;" against a ±"&amp;TEXT($J15,"0%")&amp;" target"))</f>
        <v/>
      </c>
      <c r="L15" s="18">
        <f>IF(OR($A15="",NOT(ISNUMBER($B15)),NOT(ISNUMBER($D15))),"",$D15*$B15)</f>
        <v/>
      </c>
      <c r="M15" s="18">
        <f>IF(NOT(ISNUMBER($L15)),"",$L15*CO2E_FACTOR/1000)</f>
        <v/>
      </c>
      <c r="N15" s="18">
        <f>IF($A15="","",IF($C15=0,"No plots carry this Site ID — check it matches the Plot &amp; Site Log. ","")&amp;IF(AND($C15&gt;0,$C15&lt;2),"Only one plot: a mean can be reported but never an uncertainty. ","")&amp;IF($B15="","No site area, so no total carbon. ","")&amp;IF(AND(ISNUMBER($I15),$I15&gt;$J15),"Wider than planned. Peatland carbon varies more than forest carbon does, largely through depth — more cores, or stratifying by microform and depth, would tighten it. ",""))</f>
        <v/>
      </c>
    </row>
    <row r="16">
      <c r="A16" s="14" t="n"/>
      <c r="B16" s="14" t="n"/>
      <c r="C16" s="18">
        <f>IF($A16="","",SUMIFS('5. Plot Summary'!$J$5:$J$64,'5. Plot Summary'!$B$5:$B$64,$A16))</f>
        <v/>
      </c>
      <c r="D16" s="18">
        <f>IF(OR($A16="",NOT(ISNUMBER($C16)),$C16=0),"",SUMIFS('5. Plot Summary'!$I$5:$I$64,'5. Plot Summary'!$B$5:$B$64,$A16)/$C16)</f>
        <v/>
      </c>
      <c r="E16" s="18">
        <f>IF(OR($A16="",NOT(ISNUMBER($C16)),$C16&lt;2),"",SQRT(SUMPRODUCT(('5. Plot Summary'!$B$5:$B$64=$A16)*'5. Plot Summary'!$J$5:$J$64*('5. Plot Summary'!$I$5:$I$64-$D16)^2)/($C16-1)))</f>
        <v/>
      </c>
      <c r="F16" s="18">
        <f>IF(OR(NOT(ISNUMBER($E16)),NOT(ISNUMBER($C16)),$C16&lt;2),"",$E16/SQRT($C16))</f>
        <v/>
      </c>
      <c r="G16" s="18">
        <f>IF(OR($A16="",NOT(ISNUMBER($C16)),$C16&lt;2),"",TINV(1-TARGET_CONFIDENCE,$C16-1))</f>
        <v/>
      </c>
      <c r="H16" s="18">
        <f>IF(OR(NOT(ISNUMBER($F16)),NOT(ISNUMBER($G16))),"",$G16*$F16)</f>
        <v/>
      </c>
      <c r="I16" s="18">
        <f>IF(OR(NOT(ISNUMBER($H16)),NOT(ISNUMBER($D16)),$D16=0),"",$H16/$D16)</f>
        <v/>
      </c>
      <c r="J16" s="18">
        <f>IF($A16="","",TARGET_MARGIN)</f>
        <v/>
      </c>
      <c r="K16" s="18">
        <f>IF(NOT(ISNUMBER($I16)),IF($A16="","","Cannot be assessed — at least 2 plots are needed for an interval."),IF($I16&lt;=$J16,"MET: ±"&amp;TEXT($I16,"0%")&amp;" at "&amp;TEXT(TARGET_CONFIDENCE,"0%")&amp;" confidence","NOT MET: ±"&amp;TEXT($I16,"0%")&amp;" against a ±"&amp;TEXT($J16,"0%")&amp;" target"))</f>
        <v/>
      </c>
      <c r="L16" s="18">
        <f>IF(OR($A16="",NOT(ISNUMBER($B16)),NOT(ISNUMBER($D16))),"",$D16*$B16)</f>
        <v/>
      </c>
      <c r="M16" s="18">
        <f>IF(NOT(ISNUMBER($L16)),"",$L16*CO2E_FACTOR/1000)</f>
        <v/>
      </c>
      <c r="N16" s="18">
        <f>IF($A16="","",IF($C16=0,"No plots carry this Site ID — check it matches the Plot &amp; Site Log. ","")&amp;IF(AND($C16&gt;0,$C16&lt;2),"Only one plot: a mean can be reported but never an uncertainty. ","")&amp;IF($B16="","No site area, so no total carbon. ","")&amp;IF(AND(ISNUMBER($I16),$I16&gt;$J16),"Wider than planned. Peatland carbon varies more than forest carbon does, largely through depth — more cores, or stratifying by microform and depth, would tighten it. ",""))</f>
        <v/>
      </c>
    </row>
    <row r="17">
      <c r="A17" s="14" t="n"/>
      <c r="B17" s="14" t="n"/>
      <c r="C17" s="18">
        <f>IF($A17="","",SUMIFS('5. Plot Summary'!$J$5:$J$64,'5. Plot Summary'!$B$5:$B$64,$A17))</f>
        <v/>
      </c>
      <c r="D17" s="18">
        <f>IF(OR($A17="",NOT(ISNUMBER($C17)),$C17=0),"",SUMIFS('5. Plot Summary'!$I$5:$I$64,'5. Plot Summary'!$B$5:$B$64,$A17)/$C17)</f>
        <v/>
      </c>
      <c r="E17" s="18">
        <f>IF(OR($A17="",NOT(ISNUMBER($C17)),$C17&lt;2),"",SQRT(SUMPRODUCT(('5. Plot Summary'!$B$5:$B$64=$A17)*'5. Plot Summary'!$J$5:$J$64*('5. Plot Summary'!$I$5:$I$64-$D17)^2)/($C17-1)))</f>
        <v/>
      </c>
      <c r="F17" s="18">
        <f>IF(OR(NOT(ISNUMBER($E17)),NOT(ISNUMBER($C17)),$C17&lt;2),"",$E17/SQRT($C17))</f>
        <v/>
      </c>
      <c r="G17" s="18">
        <f>IF(OR($A17="",NOT(ISNUMBER($C17)),$C17&lt;2),"",TINV(1-TARGET_CONFIDENCE,$C17-1))</f>
        <v/>
      </c>
      <c r="H17" s="18">
        <f>IF(OR(NOT(ISNUMBER($F17)),NOT(ISNUMBER($G17))),"",$G17*$F17)</f>
        <v/>
      </c>
      <c r="I17" s="18">
        <f>IF(OR(NOT(ISNUMBER($H17)),NOT(ISNUMBER($D17)),$D17=0),"",$H17/$D17)</f>
        <v/>
      </c>
      <c r="J17" s="18">
        <f>IF($A17="","",TARGET_MARGIN)</f>
        <v/>
      </c>
      <c r="K17" s="18">
        <f>IF(NOT(ISNUMBER($I17)),IF($A17="","","Cannot be assessed — at least 2 plots are needed for an interval."),IF($I17&lt;=$J17,"MET: ±"&amp;TEXT($I17,"0%")&amp;" at "&amp;TEXT(TARGET_CONFIDENCE,"0%")&amp;" confidence","NOT MET: ±"&amp;TEXT($I17,"0%")&amp;" against a ±"&amp;TEXT($J17,"0%")&amp;" target"))</f>
        <v/>
      </c>
      <c r="L17" s="18">
        <f>IF(OR($A17="",NOT(ISNUMBER($B17)),NOT(ISNUMBER($D17))),"",$D17*$B17)</f>
        <v/>
      </c>
      <c r="M17" s="18">
        <f>IF(NOT(ISNUMBER($L17)),"",$L17*CO2E_FACTOR/1000)</f>
        <v/>
      </c>
      <c r="N17" s="18">
        <f>IF($A17="","",IF($C17=0,"No plots carry this Site ID — check it matches the Plot &amp; Site Log. ","")&amp;IF(AND($C17&gt;0,$C17&lt;2),"Only one plot: a mean can be reported but never an uncertainty. ","")&amp;IF($B17="","No site area, so no total carbon. ","")&amp;IF(AND(ISNUMBER($I17),$I17&gt;$J17),"Wider than planned. Peatland carbon varies more than forest carbon does, largely through depth — more cores, or stratifying by microform and depth, would tighten it. ",""))</f>
        <v/>
      </c>
    </row>
    <row r="18">
      <c r="A18" s="14" t="n"/>
      <c r="B18" s="14" t="n"/>
      <c r="C18" s="18">
        <f>IF($A18="","",SUMIFS('5. Plot Summary'!$J$5:$J$64,'5. Plot Summary'!$B$5:$B$64,$A18))</f>
        <v/>
      </c>
      <c r="D18" s="18">
        <f>IF(OR($A18="",NOT(ISNUMBER($C18)),$C18=0),"",SUMIFS('5. Plot Summary'!$I$5:$I$64,'5. Plot Summary'!$B$5:$B$64,$A18)/$C18)</f>
        <v/>
      </c>
      <c r="E18" s="18">
        <f>IF(OR($A18="",NOT(ISNUMBER($C18)),$C18&lt;2),"",SQRT(SUMPRODUCT(('5. Plot Summary'!$B$5:$B$64=$A18)*'5. Plot Summary'!$J$5:$J$64*('5. Plot Summary'!$I$5:$I$64-$D18)^2)/($C18-1)))</f>
        <v/>
      </c>
      <c r="F18" s="18">
        <f>IF(OR(NOT(ISNUMBER($E18)),NOT(ISNUMBER($C18)),$C18&lt;2),"",$E18/SQRT($C18))</f>
        <v/>
      </c>
      <c r="G18" s="18">
        <f>IF(OR($A18="",NOT(ISNUMBER($C18)),$C18&lt;2),"",TINV(1-TARGET_CONFIDENCE,$C18-1))</f>
        <v/>
      </c>
      <c r="H18" s="18">
        <f>IF(OR(NOT(ISNUMBER($F18)),NOT(ISNUMBER($G18))),"",$G18*$F18)</f>
        <v/>
      </c>
      <c r="I18" s="18">
        <f>IF(OR(NOT(ISNUMBER($H18)),NOT(ISNUMBER($D18)),$D18=0),"",$H18/$D18)</f>
        <v/>
      </c>
      <c r="J18" s="18">
        <f>IF($A18="","",TARGET_MARGIN)</f>
        <v/>
      </c>
      <c r="K18" s="18">
        <f>IF(NOT(ISNUMBER($I18)),IF($A18="","","Cannot be assessed — at least 2 plots are needed for an interval."),IF($I18&lt;=$J18,"MET: ±"&amp;TEXT($I18,"0%")&amp;" at "&amp;TEXT(TARGET_CONFIDENCE,"0%")&amp;" confidence","NOT MET: ±"&amp;TEXT($I18,"0%")&amp;" against a ±"&amp;TEXT($J18,"0%")&amp;" target"))</f>
        <v/>
      </c>
      <c r="L18" s="18">
        <f>IF(OR($A18="",NOT(ISNUMBER($B18)),NOT(ISNUMBER($D18))),"",$D18*$B18)</f>
        <v/>
      </c>
      <c r="M18" s="18">
        <f>IF(NOT(ISNUMBER($L18)),"",$L18*CO2E_FACTOR/1000)</f>
        <v/>
      </c>
      <c r="N18" s="18">
        <f>IF($A18="","",IF($C18=0,"No plots carry this Site ID — check it matches the Plot &amp; Site Log. ","")&amp;IF(AND($C18&gt;0,$C18&lt;2),"Only one plot: a mean can be reported but never an uncertainty. ","")&amp;IF($B18="","No site area, so no total carbon. ","")&amp;IF(AND(ISNUMBER($I18),$I18&gt;$J18),"Wider than planned. Peatland carbon varies more than forest carbon does, largely through depth — more cores, or stratifying by microform and depth, would tighten it. ",""))</f>
        <v/>
      </c>
    </row>
    <row r="21" ht="20" customHeight="1">
      <c r="A21" s="20" t="inlineStr">
        <is>
          <t xml:space="preserve">  STUDY AREA — all sites combined, weighted by area</t>
        </is>
      </c>
    </row>
    <row r="22">
      <c r="A22" s="4" t="inlineStr">
        <is>
          <t>Total area (m²)</t>
        </is>
      </c>
      <c r="B22" s="22">
        <f>IF(SUM($B$5:$B$18)=0,"",SUM($B$5:$B$18))</f>
        <v/>
      </c>
    </row>
    <row r="23">
      <c r="A23" s="4" t="inlineStr">
        <is>
          <t>Total carbon (kg C)</t>
        </is>
      </c>
      <c r="B23" s="22">
        <f>IF(SUM($L$5:$L$18)=0,"",SUM($L$5:$L$18))</f>
        <v/>
      </c>
    </row>
    <row r="24">
      <c r="A24" s="4" t="inlineStr">
        <is>
          <t>Area-weighted mean (kg C/m²)</t>
        </is>
      </c>
      <c r="B24" s="22">
        <f>IF(OR($B$22="",$B$23=""),"",$B$23/$B$22)</f>
        <v/>
      </c>
    </row>
    <row r="25">
      <c r="A25" s="4" t="inlineStr">
        <is>
          <t>Total (t CO₂e)</t>
        </is>
      </c>
      <c r="B25" s="22">
        <f>IF($B$23="","",$B$23*CO2E_FACTOR/1000)</f>
        <v/>
      </c>
    </row>
    <row r="27">
      <c r="A27" s="4" t="inlineStr">
        <is>
          <t>Basis: FULL PROFILE, to the mineral contact.</t>
        </is>
      </c>
    </row>
    <row r="28">
      <c r="A28" s="4" t="inlineStr">
        <is>
          <t>Reference depth reported alongside:</t>
        </is>
      </c>
      <c r="B28" s="3">
        <f>REFERENCE_DEPTH_CM&amp;" cm"</f>
        <v/>
      </c>
    </row>
    <row r="29" ht="30" customHeight="1">
      <c r="A29" s="15" t="inlineStr">
        <is>
          <t>Note: the study-area mean weights each site by its area, which is right when sites differ in size. It does NOT propagate the per-site uncertainties into a study-area interval — that needs the stratified estimator described in Part 4.</t>
        </is>
      </c>
    </row>
  </sheetData>
  <mergeCells count="3">
    <mergeCell ref="A29:K29"/>
    <mergeCell ref="A21:N21"/>
    <mergeCell ref="A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88" customWidth="1" min="3" max="3"/>
  </cols>
  <sheetData>
    <row r="1">
      <c r="A1" s="10" t="inlineStr">
        <is>
          <t>SETTINGS</t>
        </is>
      </c>
    </row>
    <row r="2">
      <c r="A2" s="11" t="inlineStr">
        <is>
          <t>Everything the calculator assumes lives here. Change it once and every sheet follows.</t>
        </is>
      </c>
    </row>
    <row r="4">
      <c r="A4" s="12" t="inlineStr">
        <is>
          <t>Parameter</t>
        </is>
      </c>
      <c r="B4" s="12" t="inlineStr">
        <is>
          <t>Value</t>
        </is>
      </c>
      <c r="C4" s="12" t="inlineStr">
        <is>
          <t>What it does</t>
        </is>
      </c>
    </row>
    <row r="5" ht="32" customHeight="1">
      <c r="A5" s="13" t="inlineStr">
        <is>
          <t>CARBON_FRACTION_OM</t>
        </is>
      </c>
      <c r="B5" s="14" t="n">
        <v>0.5</v>
      </c>
      <c r="C5" s="2" t="inlineStr">
        <is>
          <t>Fraction of peat organic matter that is carbon, used to convert LOI550 to %C. The peat guide's value. See 'R1. Reference' — published factors run 0.21–0.58 and local calibration against CHN is recommended.</t>
        </is>
      </c>
    </row>
    <row r="6" ht="32" customHeight="1">
      <c r="A6" s="13" t="inlineStr">
        <is>
          <t>OM_FACTOR_IS_LOCAL</t>
        </is>
      </c>
      <c r="B6" s="14" t="inlineStr">
        <is>
          <t>No</t>
        </is>
      </c>
      <c r="C6" s="2" t="inlineStr">
        <is>
          <t>Set to Yes once you have calibrated the factor above against elemental analysis on a subset of your own samples. Leaving it No raises an advisory flag, not an error.</t>
        </is>
      </c>
    </row>
    <row r="7" ht="32" customHeight="1">
      <c r="A7" s="13" t="inlineStr">
        <is>
          <t>CO2E_FACTOR</t>
        </is>
      </c>
      <c r="B7" s="14" t="n">
        <v>3.67</v>
      </c>
      <c r="C7" s="2" t="inlineStr">
        <is>
          <t>Multiply kg C by this to report CO₂ equivalents.</t>
        </is>
      </c>
    </row>
    <row r="8" ht="32" customHeight="1">
      <c r="A8" s="13" t="inlineStr">
        <is>
          <t>REFERENCE_DEPTH_CM</t>
        </is>
      </c>
      <c r="B8" s="14" t="n">
        <v>100</v>
      </c>
      <c r="C8" s="2" t="inlineStr">
        <is>
          <t>The fixed depth reported alongside the full profile, so cores of different depths stay comparable. 100 cm is the coastal-carbon convention; 30, 50 and 200 cm are also used.</t>
        </is>
      </c>
    </row>
    <row r="9" ht="32" customHeight="1">
      <c r="A9" s="13" t="inlineStr">
        <is>
          <t>PEATLAND_MIN_DEPTH_CM</t>
        </is>
      </c>
      <c r="B9" s="14" t="n">
        <v>30</v>
      </c>
      <c r="C9" s="2" t="inlineStr">
        <is>
          <t>Organic horizon depth at or above which the guide classes a site as peatland. Cores shallower than this are flagged for interpretation, not rejected.</t>
        </is>
      </c>
    </row>
    <row r="10" ht="32" customHeight="1">
      <c r="A10" s="13" t="inlineStr">
        <is>
          <t>PLOT_AREA_M2</t>
        </is>
      </c>
      <c r="B10" s="14" t="n">
        <v>100</v>
      </c>
      <c r="C10" s="2" t="inlineStr">
        <is>
          <t>Area each plot represents. The peat guide works in 10 × 10 m plots with one coring site per plot.</t>
        </is>
      </c>
    </row>
    <row r="11" ht="32" customHeight="1">
      <c r="A11" s="13" t="inlineStr">
        <is>
          <t>TARGET_MARGIN</t>
        </is>
      </c>
      <c r="B11" s="14" t="n">
        <v>0.2</v>
      </c>
      <c r="C11" s="2" t="inlineStr">
        <is>
          <t>Precision target set in Part 2, Step 4. ±20% of the mean by default.</t>
        </is>
      </c>
    </row>
    <row r="12" ht="32" customHeight="1">
      <c r="A12" s="13" t="inlineStr">
        <is>
          <t>TARGET_CONFIDENCE</t>
        </is>
      </c>
      <c r="B12" s="14" t="n">
        <v>0.9</v>
      </c>
      <c r="C12" s="2" t="inlineStr">
        <is>
          <t>Confidence level for the target and for all reported intervals.</t>
        </is>
      </c>
    </row>
    <row r="13" ht="32" customHeight="1">
      <c r="A13" s="13" t="inlineStr">
        <is>
          <t>QC_BD_MIN</t>
        </is>
      </c>
      <c r="B13" s="14" t="n">
        <v>0.02</v>
      </c>
      <c r="C13" s="2" t="inlineStr">
        <is>
          <t>Minimum plausible bulk density, g/cm³. Set LOW deliberately: surface Sphagnum peat runs 0.02–0.05, and a mineral-soil threshold would reject most real peat.</t>
        </is>
      </c>
    </row>
    <row r="14" ht="32" customHeight="1">
      <c r="A14" s="13" t="inlineStr">
        <is>
          <t>QC_BD_MAX</t>
        </is>
      </c>
      <c r="B14" s="14" t="n">
        <v>1.2</v>
      </c>
      <c r="C14" s="2" t="inlineStr">
        <is>
          <t>Maximum plausible bulk density for peat, g/cm³. Values above this usually mean the mineral contact has been passed.</t>
        </is>
      </c>
    </row>
    <row r="15" ht="32" customHeight="1">
      <c r="A15" s="13" t="inlineStr">
        <is>
          <t>QC_CARBON_PCT_MAX</t>
        </is>
      </c>
      <c r="B15" s="14" t="n">
        <v>60</v>
      </c>
      <c r="C15" s="2" t="inlineStr">
        <is>
          <t>Flag carbon above this per cent. Peat runs roughly 45–55%; higher usually means organic matter has been entered instead of carbon.</t>
        </is>
      </c>
    </row>
    <row r="16" ht="32" customHeight="1">
      <c r="A16" s="13" t="inlineStr">
        <is>
          <t>QC_RECOVERY_MIN</t>
        </is>
      </c>
      <c r="B16" s="14" t="n">
        <v>0.9</v>
      </c>
      <c r="C16" s="2" t="inlineStr">
        <is>
          <t>Minimum acceptable ratio of core length recovered to bore depth. Below this, the corer chamber probably did not fill completely.</t>
        </is>
      </c>
    </row>
    <row r="17" ht="32" customHeight="1">
      <c r="A17" s="13" t="inlineStr">
        <is>
          <t>LORCA_MIN</t>
        </is>
      </c>
      <c r="B17" s="14" t="n">
        <v>4</v>
      </c>
      <c r="C17" s="2" t="inlineStr">
        <is>
          <t>Lower sanity bound for long-term accumulation, g C/m²/yr. Published peatland values run roughly 4.6–85.8, mean ~20.</t>
        </is>
      </c>
    </row>
    <row r="18" ht="32" customHeight="1">
      <c r="A18" s="13" t="inlineStr">
        <is>
          <t>LORCA_MAX</t>
        </is>
      </c>
      <c r="B18" s="14" t="n">
        <v>90</v>
      </c>
      <c r="C18" s="2" t="inlineStr">
        <is>
          <t>Upper sanity bound for long-term accumulation, g C/m²/yr.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84" customWidth="1" min="3" max="3"/>
  </cols>
  <sheetData>
    <row r="1">
      <c r="A1" s="10" t="inlineStr">
        <is>
          <t>REFERENCE TABLES</t>
        </is>
      </c>
    </row>
    <row r="3">
      <c r="A3" s="4" t="inlineStr">
        <is>
          <t>VON POST HUMIFICATION SCALE</t>
        </is>
      </c>
    </row>
    <row r="4" ht="28" customHeight="1">
      <c r="A4" s="15" t="inlineStr">
        <is>
          <t>Squeeze a handful of wet peat and watch what comes out between your fingers. Subjective, rapid, and the standard field descriptor of how decomposed peat is. Stanek &amp; Silc (1977); Malterer et al. (1992).</t>
        </is>
      </c>
    </row>
    <row r="5" ht="42" customHeight="1">
      <c r="A5" s="16" t="inlineStr">
        <is>
          <t>Class</t>
        </is>
      </c>
      <c r="B5" s="16" t="inlineStr">
        <is>
          <t>Degree of decomposition</t>
        </is>
      </c>
      <c r="C5" s="16" t="inlineStr">
        <is>
          <t>What you see when you squeeze it</t>
        </is>
      </c>
    </row>
    <row r="6">
      <c r="A6" s="17" t="inlineStr">
        <is>
          <t>H1</t>
        </is>
      </c>
      <c r="B6" s="17" t="inlineStr">
        <is>
          <t>Completely undecomposed</t>
        </is>
      </c>
      <c r="C6" s="17" t="inlineStr">
        <is>
          <t>Clear, colourless water squeezes out. Plant remains easily identifiable.</t>
        </is>
      </c>
    </row>
    <row r="7">
      <c r="A7" s="17" t="inlineStr">
        <is>
          <t>H2</t>
        </is>
      </c>
      <c r="B7" s="17" t="inlineStr">
        <is>
          <t>Almost undecomposed</t>
        </is>
      </c>
      <c r="C7" s="17" t="inlineStr">
        <is>
          <t>Clear, yellowish water. Plant remains still identifiable.</t>
        </is>
      </c>
    </row>
    <row r="8">
      <c r="A8" s="17" t="inlineStr">
        <is>
          <t>H3</t>
        </is>
      </c>
      <c r="B8" s="17" t="inlineStr">
        <is>
          <t>Very weakly decomposed</t>
        </is>
      </c>
      <c r="C8" s="17" t="inlineStr">
        <is>
          <t>Slightly turbid brown water. No peat escapes between the fingers.</t>
        </is>
      </c>
    </row>
    <row r="9">
      <c r="A9" s="17" t="inlineStr">
        <is>
          <t>H4</t>
        </is>
      </c>
      <c r="B9" s="17" t="inlineStr">
        <is>
          <t>Weakly decomposed</t>
        </is>
      </c>
      <c r="C9" s="17" t="inlineStr">
        <is>
          <t>Strongly turbid brown water. No peat escapes. Residue mushy.</t>
        </is>
      </c>
    </row>
    <row r="10">
      <c r="A10" s="17" t="inlineStr">
        <is>
          <t>H5</t>
        </is>
      </c>
      <c r="B10" s="17" t="inlineStr">
        <is>
          <t>Moderately decomposed</t>
        </is>
      </c>
      <c r="C10" s="17" t="inlineStr">
        <is>
          <t>Very turbid water with a little peat escaping. Plant structure evident but indistinct.</t>
        </is>
      </c>
    </row>
    <row r="11">
      <c r="A11" s="17" t="inlineStr">
        <is>
          <t>H6</t>
        </is>
      </c>
      <c r="B11" s="17" t="inlineStr">
        <is>
          <t>Fairly well decomposed</t>
        </is>
      </c>
      <c r="C11" s="17" t="inlineStr">
        <is>
          <t>About one third of the peat escapes between the fingers. Residue very mushy.</t>
        </is>
      </c>
    </row>
    <row r="12">
      <c r="A12" s="17" t="inlineStr">
        <is>
          <t>H7</t>
        </is>
      </c>
      <c r="B12" s="17" t="inlineStr">
        <is>
          <t>Strongly decomposed</t>
        </is>
      </c>
      <c r="C12" s="17" t="inlineStr">
        <is>
          <t>About half escapes. Plant structure barely discernible.</t>
        </is>
      </c>
    </row>
    <row r="13">
      <c r="A13" s="17" t="inlineStr">
        <is>
          <t>H8</t>
        </is>
      </c>
      <c r="B13" s="17" t="inlineStr">
        <is>
          <t>Very strongly decomposed</t>
        </is>
      </c>
      <c r="C13" s="17" t="inlineStr">
        <is>
          <t>About two thirds escapes. Only resistant remains, such as roots and fibres, left.</t>
        </is>
      </c>
    </row>
    <row r="14">
      <c r="A14" s="17" t="inlineStr">
        <is>
          <t>H9</t>
        </is>
      </c>
      <c r="B14" s="17" t="inlineStr">
        <is>
          <t>Almost completely decomposed</t>
        </is>
      </c>
      <c r="C14" s="17" t="inlineStr">
        <is>
          <t>Nearly all escapes as a fairly uniform paste.</t>
        </is>
      </c>
    </row>
    <row r="15">
      <c r="A15" s="17" t="inlineStr">
        <is>
          <t>H10</t>
        </is>
      </c>
      <c r="B15" s="17" t="inlineStr">
        <is>
          <t>Completely decomposed</t>
        </is>
      </c>
      <c r="C15" s="17" t="inlineStr">
        <is>
          <t>All the peat escapes between the fingers. No free water visible.</t>
        </is>
      </c>
    </row>
    <row r="16" ht="26" customHeight="1">
      <c r="A16" s="15" t="inlineStr">
        <is>
          <t>H1–H3 is fibric peat (Oi); H4–H6 hemic, or mucky peat (Oe); H7–H10 sapric, or muck (Oa). Carbon content per unit mass falls as decomposition advances, while bulk density rises.</t>
        </is>
      </c>
    </row>
    <row r="19">
      <c r="A19" s="4" t="inlineStr">
        <is>
          <t>WETLAND TYPES</t>
        </is>
      </c>
    </row>
    <row r="20" ht="42" customHeight="1">
      <c r="A20" s="16" t="inlineStr">
        <is>
          <t>Type</t>
        </is>
      </c>
      <c r="B20" s="16" t="inlineStr">
        <is>
          <t>Water source</t>
        </is>
      </c>
      <c r="C20" s="16" t="inlineStr">
        <is>
          <t>Notes</t>
        </is>
      </c>
    </row>
    <row r="21">
      <c r="A21" s="17" t="inlineStr">
        <is>
          <t>Bog</t>
        </is>
      </c>
      <c r="B21" s="17" t="inlineStr">
        <is>
          <t>Ombrotrophic — rain and snow only</t>
        </is>
      </c>
      <c r="C21" s="17" t="inlineStr">
        <is>
          <t>Acidic, nutrient-poor. Sphagnum, ericaceous shrubs, stunted black spruce.</t>
        </is>
      </c>
    </row>
    <row r="22">
      <c r="A22" s="17" t="inlineStr">
        <is>
          <t>Fen</t>
        </is>
      </c>
      <c r="B22" s="17" t="inlineStr">
        <is>
          <t>Minerotrophic — groundwater carrying minerals</t>
        </is>
      </c>
      <c r="C22" s="17" t="inlineStr">
        <is>
          <t>Less acidic. Sedges, brown mosses, tamarack.</t>
        </is>
      </c>
    </row>
    <row r="23">
      <c r="A23" s="17" t="inlineStr">
        <is>
          <t>Swamp</t>
        </is>
      </c>
      <c r="B23" s="17" t="inlineStr">
        <is>
          <t>Variable; standing or moving water</t>
        </is>
      </c>
      <c r="C23" s="17" t="inlineStr">
        <is>
          <t>At least 25% tree cover. Organic depth shallow to very deep. Measure trees too.</t>
        </is>
      </c>
    </row>
    <row r="24">
      <c r="A24" s="17" t="inlineStr">
        <is>
          <t>Marsh</t>
        </is>
      </c>
      <c r="B24" s="17" t="inlineStr">
        <is>
          <t>Standing or slowly moving surface water</t>
        </is>
      </c>
      <c r="C24" s="17" t="inlineStr">
        <is>
          <t>Emergent herbaceous vegetation. Often mineral, not peat.</t>
        </is>
      </c>
    </row>
    <row r="25">
      <c r="A25" s="17" t="inlineStr">
        <is>
          <t>Other</t>
        </is>
      </c>
      <c r="B25" s="17" t="inlineStr"/>
      <c r="C25" s="17" t="inlineStr">
        <is>
          <t>Describe it in the notes.</t>
        </is>
      </c>
    </row>
    <row r="28">
      <c r="A28" s="4" t="inlineStr">
        <is>
          <t>PUBLISHED ORGANIC-MATTER → CARBON CONVERSION FACTORS</t>
        </is>
      </c>
    </row>
    <row r="29" ht="40" customHeight="1">
      <c r="A29" s="15" t="inlineStr">
        <is>
          <t>The factor is NOT universal. Bansal et al. (2023) recommend determining a local SOM:SOC ratio on a subset of samples run through BOTH loss-on-ignition and a CHN elemental analyser, and publishing the relationship. The workbook's default is the peat guide's 0.5; change it on '7. Settings' once you have your own.</t>
        </is>
      </c>
    </row>
    <row r="30" ht="42" customHeight="1">
      <c r="A30" s="16" t="inlineStr">
        <is>
          <t>Factor</t>
        </is>
      </c>
      <c r="B30" s="16" t="inlineStr">
        <is>
          <t>Source</t>
        </is>
      </c>
      <c r="C30" s="16" t="inlineStr">
        <is>
          <t>System</t>
        </is>
      </c>
    </row>
    <row r="31">
      <c r="A31" s="17" t="n">
        <v>0.5</v>
      </c>
      <c r="B31" s="17" t="inlineStr">
        <is>
          <t>This workshop / WWF peat guide</t>
        </is>
      </c>
      <c r="C31" s="17" t="inlineStr">
        <is>
          <t>Peat organic matter taken as 50% carbon. The default here.</t>
        </is>
      </c>
    </row>
    <row r="32">
      <c r="A32" s="17" t="n">
        <v>0.58</v>
      </c>
      <c r="B32" s="17" t="inlineStr">
        <is>
          <t>van Bemmelen (historical)</t>
        </is>
      </c>
      <c r="C32" s="17" t="inlineStr">
        <is>
          <t>Long-standing general factor. Pribyl (2010) considers it too high for many soils.</t>
        </is>
      </c>
    </row>
    <row r="33">
      <c r="A33" s="17" t="n">
        <v>0.53</v>
      </c>
      <c r="B33" s="17" t="inlineStr">
        <is>
          <t>Braun et al. (2020)</t>
        </is>
      </c>
      <c r="C33" s="17" t="inlineStr">
        <is>
          <t>Freshwater coastal wetlands, Lake Michigan.</t>
        </is>
      </c>
    </row>
    <row r="34">
      <c r="A34" s="17" t="n">
        <v>0.52</v>
      </c>
      <c r="B34" s="17" t="inlineStr">
        <is>
          <t>Ouyang &amp; Lee (2020)</t>
        </is>
      </c>
      <c r="C34" s="17" t="inlineStr">
        <is>
          <t>Salt marsh.</t>
        </is>
      </c>
    </row>
    <row r="35">
      <c r="A35" s="17" t="n">
        <v>0.47</v>
      </c>
      <c r="B35" s="17" t="inlineStr">
        <is>
          <t>Baustian et al. (2017)</t>
        </is>
      </c>
      <c r="C35" s="17" t="inlineStr">
        <is>
          <t>All Louisiana soils.</t>
        </is>
      </c>
    </row>
    <row r="36">
      <c r="A36" s="17" t="n">
        <v>0.43</v>
      </c>
      <c r="B36" s="17" t="inlineStr">
        <is>
          <t>Fourqurean et al. (2012)</t>
        </is>
      </c>
      <c r="C36" s="17" t="inlineStr">
        <is>
          <t>Global seagrass sediments.</t>
        </is>
      </c>
    </row>
    <row r="37">
      <c r="A37" s="17" t="n">
        <v>0.21</v>
      </c>
      <c r="B37" s="17" t="inlineStr">
        <is>
          <t>Ouyang &amp; Lee (2020)</t>
        </is>
      </c>
      <c r="C37" s="17" t="inlineStr">
        <is>
          <t>Mangrove — the low end, and a warning against assuming a universal factor.</t>
        </is>
      </c>
    </row>
    <row r="38">
      <c r="A38" s="17" t="inlineStr">
        <is>
          <t>0.4–0.6</t>
        </is>
      </c>
      <c r="B38" s="17" t="inlineStr">
        <is>
          <t>Craft et al. (1991)</t>
        </is>
      </c>
      <c r="C38" s="17" t="inlineStr">
        <is>
          <t>0.4–0.6 depending on organic matter content and soil age, North Carolina salt marsh.</t>
        </is>
      </c>
    </row>
  </sheetData>
  <mergeCells count="3">
    <mergeCell ref="A29:C29"/>
    <mergeCell ref="A4:C4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2026-09-18T14:51:20Z</dcterms:created>
  <dcterms:modified xsi:type="dcterms:W3CDTF">2026-09-18T14:51:22Z</dcterms:modified>
</cp:coreProperties>
</file>