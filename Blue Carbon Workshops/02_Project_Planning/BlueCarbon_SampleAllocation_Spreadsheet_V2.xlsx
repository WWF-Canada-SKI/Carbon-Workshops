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orldwildlife365-my.sharepoint.com/personal/cdoherty_wwfcanada_org/Documents/Desktop/"/>
    </mc:Choice>
  </mc:AlternateContent>
  <xr:revisionPtr revIDLastSave="20" documentId="11_F274318D149487DB96D14EA9BBFB41B807FBDED4" xr6:coauthVersionLast="47" xr6:coauthVersionMax="47" xr10:uidLastSave="{F4B0B45A-2F5D-455B-BFC9-E6A06D06975A}"/>
  <bookViews>
    <workbookView xWindow="-110" yWindow="-110" windowWidth="19420" windowHeight="10300" activeTab="4" xr2:uid="{00000000-000D-0000-FFFF-FFFF00000000}"/>
  </bookViews>
  <sheets>
    <sheet name="Start Here" sheetId="1" r:id="rId1"/>
    <sheet name="1 Sample Size" sheetId="3" r:id="rId2"/>
    <sheet name="2 Stratified" sheetId="4" r:id="rId3"/>
    <sheet name="3 Priors" sheetId="2" r:id="rId4"/>
    <sheet name="4 Precision Check" sheetId="5" r:id="rId5"/>
    <sheet name="5 Sensitivity" sheetId="6" r:id="rId6"/>
    <sheet name="Notes and 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32" i="5"/>
  <c r="G30" i="5" s="1"/>
  <c r="C14" i="5"/>
  <c r="C12" i="5"/>
  <c r="C27" i="4"/>
  <c r="C30" i="4" s="1"/>
  <c r="C25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F15" i="4"/>
  <c r="F14" i="4"/>
  <c r="C8" i="4"/>
  <c r="C19" i="3" a="1"/>
  <c r="C19" i="3" s="1"/>
  <c r="C20" i="3" s="1"/>
  <c r="C18" i="3" a="1"/>
  <c r="C18" i="3" s="1"/>
  <c r="C12" i="3"/>
  <c r="C7" i="6" s="1"/>
  <c r="C8" i="3"/>
  <c r="C5" i="6" s="1"/>
  <c r="K35" i="2"/>
  <c r="G35" i="2"/>
  <c r="G34" i="2"/>
  <c r="K33" i="2"/>
  <c r="G33" i="2"/>
  <c r="G32" i="2"/>
  <c r="K31" i="2"/>
  <c r="G31" i="2"/>
  <c r="K30" i="2"/>
  <c r="G30" i="2"/>
  <c r="K29" i="2"/>
  <c r="G29" i="2"/>
  <c r="G28" i="2"/>
  <c r="K27" i="2"/>
  <c r="G27" i="2"/>
  <c r="K26" i="2"/>
  <c r="G26" i="2"/>
  <c r="K25" i="2"/>
  <c r="G25" i="2"/>
  <c r="K24" i="2"/>
  <c r="G24" i="2"/>
  <c r="K23" i="2"/>
  <c r="G23" i="2"/>
  <c r="G22" i="2"/>
  <c r="K21" i="2"/>
  <c r="G21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C15" i="5" l="1"/>
  <c r="C16" i="5" s="1"/>
  <c r="H18" i="6"/>
  <c r="F17" i="6"/>
  <c r="D16" i="6"/>
  <c r="H14" i="6"/>
  <c r="F13" i="6"/>
  <c r="D12" i="6"/>
  <c r="G18" i="6"/>
  <c r="E17" i="6"/>
  <c r="C16" i="6"/>
  <c r="G14" i="6"/>
  <c r="E13" i="6"/>
  <c r="C12" i="6"/>
  <c r="F18" i="6"/>
  <c r="D17" i="6"/>
  <c r="H15" i="6"/>
  <c r="F14" i="6"/>
  <c r="D13" i="6"/>
  <c r="H11" i="6"/>
  <c r="E18" i="6"/>
  <c r="C17" i="6"/>
  <c r="G15" i="6"/>
  <c r="E14" i="6"/>
  <c r="C13" i="6"/>
  <c r="G11" i="6"/>
  <c r="D18" i="6"/>
  <c r="H16" i="6"/>
  <c r="F15" i="6"/>
  <c r="D14" i="6"/>
  <c r="H12" i="6"/>
  <c r="F11" i="6"/>
  <c r="C18" i="6"/>
  <c r="G16" i="6"/>
  <c r="E15" i="6"/>
  <c r="C14" i="6"/>
  <c r="G12" i="6"/>
  <c r="E11" i="6"/>
  <c r="H17" i="6"/>
  <c r="F16" i="6"/>
  <c r="D15" i="6"/>
  <c r="H13" i="6"/>
  <c r="F12" i="6"/>
  <c r="D11" i="6"/>
  <c r="G17" i="6"/>
  <c r="E16" i="6"/>
  <c r="C15" i="6"/>
  <c r="G13" i="6"/>
  <c r="E12" i="6"/>
  <c r="C11" i="6"/>
  <c r="G23" i="5"/>
  <c r="C25" i="3"/>
  <c r="G24" i="5"/>
  <c r="C34" i="5"/>
  <c r="G25" i="5"/>
  <c r="G26" i="5"/>
  <c r="C28" i="4"/>
  <c r="G27" i="5"/>
  <c r="C29" i="4"/>
  <c r="C31" i="4" s="1"/>
  <c r="G28" i="5"/>
  <c r="G21" i="5"/>
  <c r="G29" i="5"/>
  <c r="G22" i="5"/>
  <c r="C32" i="4" l="1"/>
  <c r="G15" i="4" s="1"/>
  <c r="C35" i="5"/>
  <c r="C36" i="5" s="1"/>
  <c r="C37" i="5" s="1"/>
  <c r="B28" i="3"/>
  <c r="C26" i="3"/>
  <c r="G14" i="4" l="1"/>
  <c r="G25" i="4" s="1"/>
  <c r="C33" i="4" s="1"/>
</calcChain>
</file>

<file path=xl/sharedStrings.xml><?xml version="1.0" encoding="utf-8"?>
<sst xmlns="http://schemas.openxmlformats.org/spreadsheetml/2006/main" count="285" uniqueCount="219">
  <si>
    <t>Blue Carbon Sample Allocation Calculator — 2026</t>
  </si>
  <si>
    <t>WWF-Canada · Coastal Blue Carbon Hub</t>
  </si>
  <si>
    <t>This workbook turns a study area and a precision target into a number of sediment cores, then checks after fieldwork whether that precision was actually achieved.</t>
  </si>
  <si>
    <t>How to use it</t>
  </si>
  <si>
    <t>Variability priors — Janousek et al. (2025)</t>
  </si>
  <si>
    <t>Sample size — one uniform area</t>
  </si>
  <si>
    <t>Sheet</t>
  </si>
  <si>
    <t>What it does</t>
  </si>
  <si>
    <t>Where it maps in the workshop</t>
  </si>
  <si>
    <t>1 Sample Size</t>
  </si>
  <si>
    <t>One uniform area. Enter area, precision and a prior; get a core count.</t>
  </si>
  <si>
    <t>Workshop Step 4. For a site with two or more strata, use sheet '2 Stratified' instead.</t>
  </si>
  <si>
    <t>Workshop Step 4</t>
  </si>
  <si>
    <t>Sediment organic carbon stocks from 1,285 cores along the Pacific coast of North America. Use these when you have no local pilot data. Select a row's name in the dropdown on sheet 1 or 2.</t>
  </si>
  <si>
    <t>2 Stratified</t>
  </si>
  <si>
    <t>Step 1 — Your study area</t>
  </si>
  <si>
    <t>Two or more strata. Same inputs per stratum; cores allocated by area.</t>
  </si>
  <si>
    <t>Workshop Steps 2 + 5</t>
  </si>
  <si>
    <t>3 Priors</t>
  </si>
  <si>
    <t>Published mean / SD / CV by ecosystem and region. Feeds sheets 1 and 2.</t>
  </si>
  <si>
    <t>Rows are ecosystem × region. 'All regions' pools every core for that ecosystem. Rows with a small core count (n) are shown for completeness — treat CV from fewer than about 20 cores as indicative only.</t>
  </si>
  <si>
    <t>4 Precision Check</t>
  </si>
  <si>
    <t>After fieldwork: did you hit your target margin of error?</t>
  </si>
  <si>
    <t>Appendix A8</t>
  </si>
  <si>
    <t>Study area (m²)</t>
  </si>
  <si>
    <t>Prior name (select this)</t>
  </si>
  <si>
    <t>5 Sensitivity</t>
  </si>
  <si>
    <t>How the core count responds to precision and variability.</t>
  </si>
  <si>
    <t>Appendix A4</t>
  </si>
  <si>
    <t>Notes and Sources</t>
  </si>
  <si>
    <t>Sample size — stratified area</t>
  </si>
  <si>
    <t>Formulas, symbol crosswalk, citations, assumptions.</t>
  </si>
  <si>
    <t>Appendix A2, A3, A6</t>
  </si>
  <si>
    <t>Cell colours</t>
  </si>
  <si>
    <t>Ecosystem</t>
  </si>
  <si>
    <t>Region</t>
  </si>
  <si>
    <t>Mean
30 cm</t>
  </si>
  <si>
    <t>SD
30 cm</t>
  </si>
  <si>
    <t>You type here</t>
  </si>
  <si>
    <t>CV
30 cm</t>
  </si>
  <si>
    <t>cores
(n)</t>
  </si>
  <si>
    <t>Mean
100 cm</t>
  </si>
  <si>
    <t>from your Step 1 boundary</t>
  </si>
  <si>
    <t>Plot size — area each core represents (m²)</t>
  </si>
  <si>
    <t>Sand fill — every input in this workbook looks like this.</t>
  </si>
  <si>
    <t>SD
100 cm</t>
  </si>
  <si>
    <t>100 m² = a 10 × 10 m plot</t>
  </si>
  <si>
    <t>CV
100 cm</t>
  </si>
  <si>
    <t>Calculated</t>
  </si>
  <si>
    <t>Possible plot locations, N</t>
  </si>
  <si>
    <t>Custom — enter my own mean and SD</t>
  </si>
  <si>
    <t>Workshop Steps 2 and 5. Cores are allocated between strata in proportion to area.</t>
  </si>
  <si>
    <t>Teal fill — formulas. Do not overwrite; they will not recalculate if you do.</t>
  </si>
  <si>
    <t>Before you start</t>
  </si>
  <si>
    <t>Settings</t>
  </si>
  <si>
    <t>•  Have your study area in square metres (Workshop Step 1) and your strata areas if you stratified (Step 2).</t>
  </si>
  <si>
    <t>•  Decide your margin of error and confidence level before you look at any numbers, not after.</t>
  </si>
  <si>
    <t>•  Plot size defaults to 100 m² (a 10 × 10 m plot per core), matching the workshop. Change it on each sheet if yours differs.</t>
  </si>
  <si>
    <t>•  The priors in sheet 3 are regional averages. They understate local patchiness — round the SD up.</t>
  </si>
  <si>
    <t>Emergent marsh — Alaska</t>
  </si>
  <si>
    <t>Plot size (m²)</t>
  </si>
  <si>
    <t>Emergent marsh</t>
  </si>
  <si>
    <t>Alaska</t>
  </si>
  <si>
    <t>Version 2026.1  ·  Built for the Blue Carbon Eelgrass Workshop  ·  Priors from Janousek et al. (2025)</t>
  </si>
  <si>
    <t>Confidence level</t>
  </si>
  <si>
    <t>z multiplier</t>
  </si>
  <si>
    <t>area ÷ plot size</t>
  </si>
  <si>
    <t>Step 2 — Your precision target</t>
  </si>
  <si>
    <t>0.90 or 0.95. Enter as a decimal.</t>
  </si>
  <si>
    <t>Emergent marsh — All regions</t>
  </si>
  <si>
    <t>Relative margin of error, E</t>
  </si>
  <si>
    <t>All regions</t>
  </si>
  <si>
    <t>Minimum cores per stratum</t>
  </si>
  <si>
    <t>5 keeps every stratum estimable</t>
  </si>
  <si>
    <t>Emergent marsh — Baja California</t>
  </si>
  <si>
    <t>Your strata</t>
  </si>
  <si>
    <t>Baja California</t>
  </si>
  <si>
    <t>set by the confidence level</t>
  </si>
  <si>
    <t>0.20 = ±20% of the mean</t>
  </si>
  <si>
    <t>Step 3 — Your variability prior</t>
  </si>
  <si>
    <t>Stratum name</t>
  </si>
  <si>
    <t>Emergent marsh — British Columbia</t>
  </si>
  <si>
    <t>British Columbia</t>
  </si>
  <si>
    <t>Area (m²)</t>
  </si>
  <si>
    <t>Expected mean</t>
  </si>
  <si>
    <t>Prior source</t>
  </si>
  <si>
    <t>Expected SD</t>
  </si>
  <si>
    <t>CV</t>
  </si>
  <si>
    <t>Cores allocated</t>
  </si>
  <si>
    <t>Emergent marsh — California</t>
  </si>
  <si>
    <t>California</t>
  </si>
  <si>
    <t>Emergent marsh — Mexico (mainland)</t>
  </si>
  <si>
    <t>Mexico (mainland)</t>
  </si>
  <si>
    <t>Emergent marsh — Oregon</t>
  </si>
  <si>
    <t>Oregon</t>
  </si>
  <si>
    <t>Emergent marsh — Washington</t>
  </si>
  <si>
    <t>Washington</t>
  </si>
  <si>
    <t>Mangrove — All regions</t>
  </si>
  <si>
    <t>Mangrove</t>
  </si>
  <si>
    <t>pick from the list</t>
  </si>
  <si>
    <t>Depth (cm)</t>
  </si>
  <si>
    <t>Mangrove — Baja California</t>
  </si>
  <si>
    <t>30 or 100</t>
  </si>
  <si>
    <t>Mangrove — Mexico (mainland)</t>
  </si>
  <si>
    <t>Expected mean (Mg C ha⁻¹)</t>
  </si>
  <si>
    <t>Seagrass — Alaska</t>
  </si>
  <si>
    <t>Seagrass</t>
  </si>
  <si>
    <t>Seagrass — All regions</t>
  </si>
  <si>
    <t>Seagrass — Baja California</t>
  </si>
  <si>
    <t>Seagrass — British Columbia</t>
  </si>
  <si>
    <t>Expected standard deviation</t>
  </si>
  <si>
    <t>Seagrass — California</t>
  </si>
  <si>
    <t>Seagrass — Oregon</t>
  </si>
  <si>
    <t>Total</t>
  </si>
  <si>
    <t>Seagrass — Washington</t>
  </si>
  <si>
    <t>Tidal swamp — All regions</t>
  </si>
  <si>
    <t>Tidal swamp</t>
  </si>
  <si>
    <t>Tidal swamp — California</t>
  </si>
  <si>
    <t>Coefficient of variation, CV</t>
  </si>
  <si>
    <t>Tidal swamp — Oregon</t>
  </si>
  <si>
    <t>Total area (m²)</t>
  </si>
  <si>
    <t>Tidal swamp — Washington</t>
  </si>
  <si>
    <t>SD ÷ mean — drives the answer</t>
  </si>
  <si>
    <t>Custom mean — used only if 'Custom' is selected</t>
  </si>
  <si>
    <t>Tideflat — All regions</t>
  </si>
  <si>
    <t>Tideflat</t>
  </si>
  <si>
    <t>Custom standard deviation</t>
  </si>
  <si>
    <t>Result</t>
  </si>
  <si>
    <t>Tideflat — British Columbia</t>
  </si>
  <si>
    <t>Cores required (n)</t>
  </si>
  <si>
    <t>Tideflat — California</t>
  </si>
  <si>
    <t>Precision check — after fieldwork</t>
  </si>
  <si>
    <t>Area-weighted overall mean</t>
  </si>
  <si>
    <t>Tideflat — Oregon</t>
  </si>
  <si>
    <t>Appendix A8. Planning used an expected CV; this uses the one you measured.</t>
  </si>
  <si>
    <t>Tideflat — Washington</t>
  </si>
  <si>
    <t>A — One uniform area</t>
  </si>
  <si>
    <t>Pooled variance</t>
  </si>
  <si>
    <t>Seagrass rows are shaded — these are the eelgrass priors for this workshop.</t>
  </si>
  <si>
    <t>Cores actually collected</t>
  </si>
  <si>
    <t>Units: Mg C ha⁻¹. Blank 100 cm cells mean fewer than 3 cores reached that depth.</t>
  </si>
  <si>
    <t>Source: Janousek, C. N., Krause, J. R., Drexler, J. Z., Buffington, K. J., Poppe, K. L., Peck, E., et al. (2025).</t>
  </si>
  <si>
    <t>Sampling fraction</t>
  </si>
  <si>
    <t>Sample mean (Mg C ha⁻¹)</t>
  </si>
  <si>
    <t>Blue carbon stocks along the Pacific coast of North America are mainly driven by local rather than regional factors.</t>
  </si>
  <si>
    <t>Global Biogeochemical Cycles, 39, e2024GB008239.  doi:10.1029/2024GB008239</t>
  </si>
  <si>
    <t>Sample standard deviation</t>
  </si>
  <si>
    <t>V — variance ÷ mean²</t>
  </si>
  <si>
    <t>Computed by WWF-Canada from the published core dataset: mean and sample SD of core-level stocks per ecosystem × region.</t>
  </si>
  <si>
    <t>Target margin of error, E</t>
  </si>
  <si>
    <t>share of all possible plots you will visit</t>
  </si>
  <si>
    <t>Cores required before allocation (n)</t>
  </si>
  <si>
    <t>Check the CV above against your own expectations before trusting this. It is squared in the formula, so it moves the answer more than anything else you entered — see sheet '5 Sensitivity'.</t>
  </si>
  <si>
    <t>Cores after the per-stratum minimum</t>
  </si>
  <si>
    <t>Standard error of the mean</t>
  </si>
  <si>
    <t>The allocated total usually exceeds n. Rounding each stratum up and applying the minimum both add cores — deliberately. A stratum with two cores yields no usable variance estimate.</t>
  </si>
  <si>
    <t>Example values shown are BC eelgrass priors from sheet 3. Overwrite them with your own strata.</t>
  </si>
  <si>
    <t>Achieved relative margin of error</t>
  </si>
  <si>
    <t>Verdict</t>
  </si>
  <si>
    <t>B — Stratified area</t>
  </si>
  <si>
    <t>Sample mean</t>
  </si>
  <si>
    <t>Sample SD</t>
  </si>
  <si>
    <t>Cores collected</t>
  </si>
  <si>
    <t>Variance term</t>
  </si>
  <si>
    <t>Standard error of the stratified mean</t>
  </si>
  <si>
    <t>Part B uses the confidence level and target from part A above.</t>
  </si>
  <si>
    <t>Sensitivity — what drives the core count</t>
  </si>
  <si>
    <t>Notes and sources</t>
  </si>
  <si>
    <t>Appendix A4. Live from sheet 1's study area and confidence level.</t>
  </si>
  <si>
    <t>Formulas used</t>
  </si>
  <si>
    <t>Possible plot locations</t>
  </si>
  <si>
    <t>N = study area ÷ plot size, rounded down</t>
  </si>
  <si>
    <t>NORMINV(1 − (1 − confidence) / 2, 0, 1)</t>
  </si>
  <si>
    <t>Cores required</t>
  </si>
  <si>
    <t>n = z²·N·CV² / ((N−1)·E² + z²·CV²)   — Cochran, finite population</t>
  </si>
  <si>
    <t>Stratified n</t>
  </si>
  <si>
    <t>same formula with V = pooled variance ÷ overall mean², both area-weighted</t>
  </si>
  <si>
    <t>Allocation</t>
  </si>
  <si>
    <t>n_h = n × (stratum area ÷ total area), rounded up, floored at the minimum</t>
  </si>
  <si>
    <t>Achieved precision</t>
  </si>
  <si>
    <t>RME = z × SE ÷ sample mean,  SE = √((1 − n/N) · s² / n)</t>
  </si>
  <si>
    <t>Symbol crosswalk to the UNFCCC A6.4 tool</t>
  </si>
  <si>
    <t>This workbook</t>
  </si>
  <si>
    <t>UNFCCC A6.4</t>
  </si>
  <si>
    <t>Meaning</t>
  </si>
  <si>
    <t>z</t>
  </si>
  <si>
    <t>Z(α/2)</t>
  </si>
  <si>
    <t>multiplier set by confidence level</t>
  </si>
  <si>
    <t>E</t>
  </si>
  <si>
    <t>e_abs</t>
  </si>
  <si>
    <t>target relative precision</t>
  </si>
  <si>
    <t>Cores required, by margin of error and variability</t>
  </si>
  <si>
    <t>s</t>
  </si>
  <si>
    <t>SD</t>
  </si>
  <si>
    <t>standard deviation</t>
  </si>
  <si>
    <t>s ÷ mean</t>
  </si>
  <si>
    <t>N</t>
  </si>
  <si>
    <t>CV  ↓     E  →</t>
  </si>
  <si>
    <t>population size</t>
  </si>
  <si>
    <t>n</t>
  </si>
  <si>
    <t>cores to collect</t>
  </si>
  <si>
    <t>Assumptions worth stating out loud</t>
  </si>
  <si>
    <t>•  Each core represents a plot, not a point. Plot size is an input and defaults to 100 m² (10 × 10 m).</t>
  </si>
  <si>
    <t>•  The planning formula uses z, not Student's t. For campaigns under about 30 cores this makes the interval slightly narrower than a t-based one would; it matches the UNFCCC A6.4 tool.</t>
  </si>
  <si>
    <t>•  Priors are regional averages. Janousek et al. (2025) find stocks are driven mainly by local rather than regional factors, so a regional SD will usually understate local patchiness.</t>
  </si>
  <si>
    <t>•  Sample size assumes simple or stratified random sampling. Convenience sampling invalidates the interval, whatever the core count.</t>
  </si>
  <si>
    <t>•  No allowance is made for lost or damaged cores. The number returned is the number of usable cores required.</t>
  </si>
  <si>
    <t>Sources</t>
  </si>
  <si>
    <t>Janousek, C. N., Krause, J. R., Drexler, J. Z., Buffington, K. J., Poppe, K. L., Peck, E., et al. (2025). Blue carbon stocks along the Pacific coast of North America are mainly driven by local rather than regional factors. Global Biogeochemical Cycles, 39, e2024GB008239.</t>
  </si>
  <si>
    <t>UNFCCC (CDM) Methodological guideline 48 — Sampling and surveys for CDM project activities and programmes of activities.</t>
  </si>
  <si>
    <t>Winrock International (2014). Calculation of the number of sample plots for measurements within A/R CDM project activities.</t>
  </si>
  <si>
    <t>WWF-Canada (2026). Carbon Measurement: Sampling Design.</t>
  </si>
  <si>
    <t>Cochran, W. G. (1977). Sampling Techniques, 3rd ed. Wiley.</t>
  </si>
  <si>
    <t>Version 2026.1 · Replaces SampleDesign_SampleAllocationCalculator_WithStrata.xlsx</t>
  </si>
  <si>
    <t>Changelog: corrected the margin-of-error / confidence-level swap; exposed plot size as an input; added priors, precision check and sensitivity sheets.</t>
  </si>
  <si>
    <t>Shaded cell is roughly the BC eelgrass case: CV 0.6 at ±20%.</t>
  </si>
  <si>
    <t>Read across a row and down a column. E and CV are both squared in the formula, so they move the answer far more steeply than the confidence level does. Halving E roughly quadruples the cores in a large area — less in a small one, where the finite-population correction pulls it back.</t>
  </si>
  <si>
    <t>Eelgrass High</t>
  </si>
  <si>
    <t>Eelgrass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</si>
</sst>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0.000000"/>
  </numFmts>
  <fonts count="16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color theme="1"/>
      <name val="Calibri"/>
    </font>
    <font>
      <b/>
      <sz val="10"/>
      <color rgb="FF1A7A8C"/>
      <name val="Arial"/>
    </font>
    <font>
      <sz val="10"/>
      <color rgb="FF1A1A1A"/>
      <name val="Arial"/>
    </font>
    <font>
      <b/>
      <sz val="10"/>
      <color rgb="FFFFFFFF"/>
      <name val="Arial"/>
    </font>
    <font>
      <b/>
      <sz val="10"/>
      <color rgb="FF0F4C5C"/>
      <name val="Arial"/>
    </font>
    <font>
      <b/>
      <sz val="10"/>
      <color rgb="FF1A1A1A"/>
      <name val="Arial"/>
    </font>
    <font>
      <i/>
      <sz val="9"/>
      <color rgb="FF6B7B80"/>
      <name val="Arial"/>
    </font>
    <font>
      <b/>
      <sz val="9"/>
      <color rgb="FFFFFFFF"/>
      <name val="Arial"/>
    </font>
    <font>
      <b/>
      <sz val="10"/>
      <color rgb="FF8A5A00"/>
      <name val="Arial"/>
    </font>
    <font>
      <sz val="11"/>
      <name val="Calibri"/>
    </font>
    <font>
      <b/>
      <sz val="12"/>
      <color rgb="FF0F4C5C"/>
      <name val="Arial"/>
    </font>
    <font>
      <sz val="9"/>
      <color rgb="FF1A1A1A"/>
      <name val="Arial"/>
    </font>
    <font>
      <b/>
      <sz val="11"/>
      <color rgb="FF0F4C5C"/>
      <name val="Arial"/>
    </font>
    <font>
      <b/>
      <sz val="9"/>
      <color rgb="FF0F4C5C"/>
      <name val="Arial"/>
    </font>
  </fonts>
  <fills count="7">
    <fill>
      <patternFill patternType="none"/>
    </fill>
    <fill>
      <patternFill patternType="gray125"/>
    </fill>
    <fill>
      <patternFill patternType="solid">
        <fgColor rgb="FF0F4C5C"/>
        <bgColor rgb="FF0F4C5C"/>
      </patternFill>
    </fill>
    <fill>
      <patternFill patternType="solid">
        <fgColor rgb="FF1A7A8C"/>
        <bgColor rgb="FF1A7A8C"/>
      </patternFill>
    </fill>
    <fill>
      <patternFill patternType="solid">
        <fgColor rgb="FFFBF1DC"/>
        <bgColor rgb="FFFBF1DC"/>
      </patternFill>
    </fill>
    <fill>
      <patternFill patternType="solid">
        <fgColor rgb="FFDCEDF2"/>
        <bgColor rgb="FFDCEDF2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8C7CC"/>
      </left>
      <right style="thin">
        <color rgb="FFB8C7CC"/>
      </right>
      <top style="thin">
        <color rgb="FFB8C7CC"/>
      </top>
      <bottom style="thin">
        <color rgb="FFB8C7CC"/>
      </bottom>
      <diagonal/>
    </border>
    <border>
      <left style="thin">
        <color rgb="FFB8C7CC"/>
      </left>
      <right/>
      <top style="thin">
        <color rgb="FFB8C7CC"/>
      </top>
      <bottom style="thin">
        <color rgb="FFB8C7CC"/>
      </bottom>
      <diagonal/>
    </border>
    <border>
      <left/>
      <right/>
      <top style="thin">
        <color rgb="FFB8C7CC"/>
      </top>
      <bottom style="thin">
        <color rgb="FFB8C7CC"/>
      </bottom>
      <diagonal/>
    </border>
    <border>
      <left/>
      <right style="thin">
        <color rgb="FFB8C7CC"/>
      </right>
      <top style="thin">
        <color rgb="FFB8C7CC"/>
      </top>
      <bottom style="thin">
        <color rgb="FFB8C7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5" fillId="3" borderId="1" xfId="0" applyFont="1" applyFill="1" applyBorder="1"/>
    <xf numFmtId="0" fontId="2" fillId="3" borderId="1" xfId="0" applyFont="1" applyFill="1" applyBorder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4" fillId="0" borderId="0" xfId="0" applyFont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0" fillId="4" borderId="2" xfId="0" applyFont="1" applyFill="1" applyBorder="1"/>
    <xf numFmtId="0" fontId="7" fillId="0" borderId="0" xfId="0" applyFont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6" fillId="5" borderId="2" xfId="0" applyNumberFormat="1" applyFont="1" applyFill="1" applyBorder="1" applyAlignment="1">
      <alignment horizontal="center"/>
    </xf>
    <xf numFmtId="165" fontId="6" fillId="5" borderId="2" xfId="0" applyNumberFormat="1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164" fontId="7" fillId="4" borderId="2" xfId="0" applyNumberFormat="1" applyFont="1" applyFill="1" applyBorder="1" applyAlignment="1">
      <alignment horizontal="center"/>
    </xf>
    <xf numFmtId="2" fontId="6" fillId="5" borderId="2" xfId="0" applyNumberFormat="1" applyFont="1" applyFill="1" applyBorder="1" applyAlignment="1">
      <alignment horizontal="center"/>
    </xf>
    <xf numFmtId="1" fontId="6" fillId="5" borderId="2" xfId="0" applyNumberFormat="1" applyFont="1" applyFill="1" applyBorder="1" applyAlignment="1">
      <alignment horizontal="center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" fontId="12" fillId="5" borderId="2" xfId="0" applyNumberFormat="1" applyFont="1" applyFill="1" applyBorder="1" applyAlignment="1">
      <alignment horizontal="center"/>
    </xf>
    <xf numFmtId="0" fontId="13" fillId="0" borderId="0" xfId="0" applyFont="1"/>
    <xf numFmtId="166" fontId="6" fillId="5" borderId="2" xfId="0" applyNumberFormat="1" applyFont="1" applyFill="1" applyBorder="1" applyAlignment="1">
      <alignment horizontal="center"/>
    </xf>
    <xf numFmtId="167" fontId="6" fillId="5" borderId="2" xfId="0" applyNumberFormat="1" applyFont="1" applyFill="1" applyBorder="1" applyAlignment="1">
      <alignment horizontal="center"/>
    </xf>
    <xf numFmtId="9" fontId="6" fillId="5" borderId="2" xfId="0" applyNumberFormat="1" applyFont="1" applyFill="1" applyBorder="1" applyAlignment="1">
      <alignment horizontal="center"/>
    </xf>
    <xf numFmtId="0" fontId="15" fillId="0" borderId="0" xfId="0" applyFont="1"/>
    <xf numFmtId="9" fontId="9" fillId="3" borderId="2" xfId="0" applyNumberFormat="1" applyFont="1" applyFill="1" applyBorder="1" applyAlignment="1">
      <alignment horizontal="center"/>
    </xf>
    <xf numFmtId="2" fontId="9" fillId="3" borderId="2" xfId="0" applyNumberFormat="1" applyFont="1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  <xf numFmtId="0" fontId="6" fillId="0" borderId="0" xfId="0" applyFont="1"/>
    <xf numFmtId="0" fontId="4" fillId="0" borderId="0" xfId="0" applyFont="1"/>
    <xf numFmtId="0" fontId="8" fillId="0" borderId="0" xfId="0" applyFont="1"/>
    <xf numFmtId="0" fontId="7" fillId="4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4" fillId="0" borderId="0" xfId="0" applyFont="1"/>
    <xf numFmtId="0" fontId="8" fillId="0" borderId="0" xfId="0" applyFont="1" applyAlignment="1">
      <alignment vertical="top" wrapText="1"/>
    </xf>
    <xf numFmtId="0" fontId="6" fillId="5" borderId="3" xfId="0" applyFont="1" applyFill="1" applyBorder="1" applyAlignment="1">
      <alignment horizontal="center"/>
    </xf>
    <xf numFmtId="0" fontId="7" fillId="0" borderId="0" xfId="0" applyFont="1"/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00"/>
  <sheetViews>
    <sheetView showGridLines="0" topLeftCell="A4" workbookViewId="0">
      <selection activeCell="B16" sqref="B16"/>
    </sheetView>
  </sheetViews>
  <sheetFormatPr defaultColWidth="14.453125" defaultRowHeight="15" customHeight="1" x14ac:dyDescent="0.35"/>
  <cols>
    <col min="1" max="1" width="2" customWidth="1"/>
    <col min="2" max="2" width="42" customWidth="1"/>
    <col min="3" max="7" width="17" customWidth="1"/>
    <col min="8" max="26" width="8.7265625" customWidth="1"/>
  </cols>
  <sheetData>
    <row r="2" spans="2:7" ht="25.5" customHeight="1" x14ac:dyDescent="0.4">
      <c r="B2" s="1" t="s">
        <v>0</v>
      </c>
      <c r="C2" s="2"/>
      <c r="D2" s="2"/>
      <c r="E2" s="2"/>
      <c r="F2" s="2"/>
      <c r="G2" s="2"/>
    </row>
    <row r="4" spans="2:7" ht="14.5" x14ac:dyDescent="0.35">
      <c r="B4" s="3" t="s">
        <v>1</v>
      </c>
    </row>
    <row r="6" spans="2:7" ht="15" customHeight="1" x14ac:dyDescent="0.35">
      <c r="B6" s="47" t="s">
        <v>2</v>
      </c>
      <c r="C6" s="48"/>
      <c r="D6" s="48"/>
      <c r="E6" s="48"/>
      <c r="F6" s="48"/>
      <c r="G6" s="48"/>
    </row>
    <row r="7" spans="2:7" ht="15" customHeight="1" x14ac:dyDescent="0.35">
      <c r="B7" s="48"/>
      <c r="C7" s="48"/>
      <c r="D7" s="48"/>
      <c r="E7" s="48"/>
      <c r="F7" s="48"/>
      <c r="G7" s="48"/>
    </row>
    <row r="9" spans="2:7" ht="14.5" x14ac:dyDescent="0.35">
      <c r="B9" s="4" t="s">
        <v>3</v>
      </c>
      <c r="C9" s="5"/>
      <c r="D9" s="5"/>
      <c r="E9" s="5"/>
      <c r="F9" s="5"/>
      <c r="G9" s="5"/>
    </row>
    <row r="10" spans="2:7" ht="14.5" x14ac:dyDescent="0.35">
      <c r="B10" s="6" t="s">
        <v>6</v>
      </c>
      <c r="C10" s="49" t="s">
        <v>7</v>
      </c>
      <c r="D10" s="48"/>
      <c r="E10" s="48"/>
      <c r="F10" s="6" t="s">
        <v>8</v>
      </c>
    </row>
    <row r="11" spans="2:7" ht="14.5" x14ac:dyDescent="0.35">
      <c r="B11" s="7" t="s">
        <v>9</v>
      </c>
      <c r="C11" s="50" t="s">
        <v>10</v>
      </c>
      <c r="D11" s="48"/>
      <c r="E11" s="48"/>
      <c r="F11" s="51" t="s">
        <v>12</v>
      </c>
      <c r="G11" s="48"/>
    </row>
    <row r="12" spans="2:7" ht="14.5" x14ac:dyDescent="0.35">
      <c r="B12" s="7" t="s">
        <v>14</v>
      </c>
      <c r="C12" s="50" t="s">
        <v>16</v>
      </c>
      <c r="D12" s="48"/>
      <c r="E12" s="48"/>
      <c r="F12" s="51" t="s">
        <v>17</v>
      </c>
      <c r="G12" s="48"/>
    </row>
    <row r="13" spans="2:7" ht="14.5" x14ac:dyDescent="0.35">
      <c r="B13" s="7" t="s">
        <v>18</v>
      </c>
      <c r="C13" s="50" t="s">
        <v>19</v>
      </c>
      <c r="D13" s="48"/>
      <c r="E13" s="48"/>
      <c r="F13" s="51" t="s">
        <v>12</v>
      </c>
      <c r="G13" s="48"/>
    </row>
    <row r="14" spans="2:7" ht="14.5" x14ac:dyDescent="0.35">
      <c r="B14" s="7" t="s">
        <v>21</v>
      </c>
      <c r="C14" s="50" t="s">
        <v>22</v>
      </c>
      <c r="D14" s="48"/>
      <c r="E14" s="48"/>
      <c r="F14" s="51" t="s">
        <v>23</v>
      </c>
      <c r="G14" s="48"/>
    </row>
    <row r="15" spans="2:7" ht="14.5" x14ac:dyDescent="0.35">
      <c r="B15" s="7" t="s">
        <v>26</v>
      </c>
      <c r="C15" s="50" t="s">
        <v>27</v>
      </c>
      <c r="D15" s="48"/>
      <c r="E15" s="48"/>
      <c r="F15" s="51" t="s">
        <v>28</v>
      </c>
      <c r="G15" s="48"/>
    </row>
    <row r="16" spans="2:7" ht="14.5" x14ac:dyDescent="0.35">
      <c r="B16" s="7" t="s">
        <v>29</v>
      </c>
      <c r="C16" s="50" t="s">
        <v>31</v>
      </c>
      <c r="D16" s="48"/>
      <c r="E16" s="48"/>
      <c r="F16" s="51" t="s">
        <v>32</v>
      </c>
      <c r="G16" s="48"/>
    </row>
    <row r="18" spans="2:7" ht="14.5" x14ac:dyDescent="0.35">
      <c r="B18" s="4" t="s">
        <v>33</v>
      </c>
      <c r="C18" s="5"/>
      <c r="D18" s="5"/>
      <c r="E18" s="5"/>
      <c r="F18" s="5"/>
      <c r="G18" s="5"/>
    </row>
    <row r="19" spans="2:7" ht="14.5" x14ac:dyDescent="0.35">
      <c r="B19" s="13" t="s">
        <v>38</v>
      </c>
      <c r="C19" s="8" t="s">
        <v>44</v>
      </c>
    </row>
    <row r="20" spans="2:7" ht="14.5" x14ac:dyDescent="0.35">
      <c r="B20" s="14" t="s">
        <v>48</v>
      </c>
      <c r="C20" s="8" t="s">
        <v>52</v>
      </c>
    </row>
    <row r="21" spans="2:7" ht="15.75" customHeight="1" x14ac:dyDescent="0.35"/>
    <row r="22" spans="2:7" ht="15.75" customHeight="1" x14ac:dyDescent="0.35">
      <c r="B22" s="4" t="s">
        <v>53</v>
      </c>
      <c r="C22" s="5"/>
      <c r="D22" s="5"/>
      <c r="E22" s="5"/>
      <c r="F22" s="5"/>
      <c r="G22" s="5"/>
    </row>
    <row r="23" spans="2:7" ht="15.75" customHeight="1" x14ac:dyDescent="0.35">
      <c r="B23" s="50" t="s">
        <v>55</v>
      </c>
      <c r="C23" s="48"/>
      <c r="D23" s="48"/>
      <c r="E23" s="48"/>
      <c r="F23" s="48"/>
      <c r="G23" s="48"/>
    </row>
    <row r="24" spans="2:7" ht="15.75" customHeight="1" x14ac:dyDescent="0.35">
      <c r="B24" s="50" t="s">
        <v>56</v>
      </c>
      <c r="C24" s="48"/>
      <c r="D24" s="48"/>
      <c r="E24" s="48"/>
      <c r="F24" s="48"/>
      <c r="G24" s="48"/>
    </row>
    <row r="25" spans="2:7" ht="15.75" customHeight="1" x14ac:dyDescent="0.35">
      <c r="B25" s="50" t="s">
        <v>57</v>
      </c>
      <c r="C25" s="48"/>
      <c r="D25" s="48"/>
      <c r="E25" s="48"/>
      <c r="F25" s="48"/>
      <c r="G25" s="48"/>
    </row>
    <row r="26" spans="2:7" ht="15.75" customHeight="1" x14ac:dyDescent="0.35">
      <c r="B26" s="50" t="s">
        <v>58</v>
      </c>
      <c r="C26" s="48"/>
      <c r="D26" s="48"/>
      <c r="E26" s="48"/>
      <c r="F26" s="48"/>
      <c r="G26" s="48"/>
    </row>
    <row r="27" spans="2:7" ht="15.75" customHeight="1" x14ac:dyDescent="0.35"/>
    <row r="28" spans="2:7" ht="15.75" customHeight="1" x14ac:dyDescent="0.35"/>
    <row r="29" spans="2:7" ht="15.75" customHeight="1" x14ac:dyDescent="0.35">
      <c r="B29" s="9" t="s">
        <v>63</v>
      </c>
    </row>
    <row r="30" spans="2:7" ht="15.75" customHeight="1" x14ac:dyDescent="0.35"/>
    <row r="31" spans="2:7" ht="15.75" customHeight="1" x14ac:dyDescent="0.35"/>
    <row r="32" spans="2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F13:G13"/>
    <mergeCell ref="B23:G23"/>
    <mergeCell ref="B24:G24"/>
    <mergeCell ref="B25:G25"/>
    <mergeCell ref="B26:G26"/>
    <mergeCell ref="C13:E13"/>
    <mergeCell ref="C14:E14"/>
    <mergeCell ref="F14:G14"/>
    <mergeCell ref="C15:E15"/>
    <mergeCell ref="F15:G15"/>
    <mergeCell ref="C16:E16"/>
    <mergeCell ref="F16:G16"/>
    <mergeCell ref="B6:G7"/>
    <mergeCell ref="C10:E10"/>
    <mergeCell ref="C11:E11"/>
    <mergeCell ref="F11:G11"/>
    <mergeCell ref="C12:E12"/>
    <mergeCell ref="F12:G1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000"/>
  <sheetViews>
    <sheetView showGridLines="0" topLeftCell="A4" workbookViewId="0">
      <selection activeCell="E23" sqref="E23"/>
    </sheetView>
  </sheetViews>
  <sheetFormatPr defaultColWidth="14.453125" defaultRowHeight="15" customHeight="1" x14ac:dyDescent="0.35"/>
  <cols>
    <col min="1" max="1" width="2" customWidth="1"/>
    <col min="2" max="2" width="44" customWidth="1"/>
    <col min="3" max="7" width="15" customWidth="1"/>
    <col min="8" max="26" width="8.7265625" customWidth="1"/>
  </cols>
  <sheetData>
    <row r="2" spans="2:7" ht="25.5" customHeight="1" x14ac:dyDescent="0.4">
      <c r="B2" s="1" t="s">
        <v>5</v>
      </c>
      <c r="C2" s="2"/>
      <c r="D2" s="2"/>
      <c r="E2" s="2"/>
      <c r="F2" s="2"/>
      <c r="G2" s="2"/>
    </row>
    <row r="3" spans="2:7" ht="14.5" x14ac:dyDescent="0.35">
      <c r="B3" s="9" t="s">
        <v>11</v>
      </c>
    </row>
    <row r="5" spans="2:7" ht="14.5" x14ac:dyDescent="0.35">
      <c r="B5" s="4" t="s">
        <v>15</v>
      </c>
      <c r="C5" s="5"/>
      <c r="D5" s="5"/>
      <c r="E5" s="5"/>
      <c r="F5" s="5"/>
      <c r="G5" s="5"/>
    </row>
    <row r="6" spans="2:7" ht="14.5" x14ac:dyDescent="0.35">
      <c r="B6" s="10" t="s">
        <v>24</v>
      </c>
      <c r="C6" s="12">
        <v>10000</v>
      </c>
      <c r="D6" s="9" t="s">
        <v>42</v>
      </c>
    </row>
    <row r="7" spans="2:7" ht="14.5" x14ac:dyDescent="0.35">
      <c r="B7" s="10" t="s">
        <v>43</v>
      </c>
      <c r="C7" s="12">
        <v>100</v>
      </c>
      <c r="D7" s="9" t="s">
        <v>46</v>
      </c>
    </row>
    <row r="8" spans="2:7" ht="14.5" x14ac:dyDescent="0.35">
      <c r="B8" s="16" t="s">
        <v>49</v>
      </c>
      <c r="C8" s="23">
        <f>IFERROR(ROUNDDOWN(C6/C7,0),"")</f>
        <v>100</v>
      </c>
      <c r="D8" s="9" t="s">
        <v>66</v>
      </c>
    </row>
    <row r="10" spans="2:7" ht="14.5" x14ac:dyDescent="0.35">
      <c r="B10" s="4" t="s">
        <v>67</v>
      </c>
      <c r="C10" s="5"/>
      <c r="D10" s="5"/>
      <c r="E10" s="5"/>
      <c r="F10" s="5"/>
      <c r="G10" s="5"/>
    </row>
    <row r="11" spans="2:7" ht="14.5" x14ac:dyDescent="0.35">
      <c r="B11" s="10" t="s">
        <v>64</v>
      </c>
      <c r="C11" s="20">
        <v>0.95</v>
      </c>
      <c r="D11" s="9" t="s">
        <v>68</v>
      </c>
    </row>
    <row r="12" spans="2:7" ht="14.5" x14ac:dyDescent="0.35">
      <c r="B12" s="10" t="s">
        <v>65</v>
      </c>
      <c r="C12" s="24">
        <f>NORMINV(1-(1-C11)/2,0,1)</f>
        <v>1.9599639845400536</v>
      </c>
      <c r="D12" s="9" t="s">
        <v>77</v>
      </c>
    </row>
    <row r="13" spans="2:7" ht="14.5" x14ac:dyDescent="0.35">
      <c r="B13" s="10" t="s">
        <v>70</v>
      </c>
      <c r="C13" s="20">
        <v>0.1</v>
      </c>
      <c r="D13" s="9" t="s">
        <v>78</v>
      </c>
    </row>
    <row r="15" spans="2:7" ht="14.5" x14ac:dyDescent="0.35">
      <c r="B15" s="4" t="s">
        <v>79</v>
      </c>
      <c r="C15" s="5"/>
      <c r="D15" s="5"/>
      <c r="E15" s="5"/>
      <c r="F15" s="5"/>
      <c r="G15" s="5"/>
    </row>
    <row r="16" spans="2:7" ht="14.5" x14ac:dyDescent="0.35">
      <c r="B16" s="10" t="s">
        <v>85</v>
      </c>
      <c r="C16" s="52" t="s">
        <v>81</v>
      </c>
      <c r="D16" s="53"/>
      <c r="E16" s="54"/>
      <c r="F16" s="9" t="s">
        <v>99</v>
      </c>
    </row>
    <row r="17" spans="2:7" ht="14.5" x14ac:dyDescent="0.35">
      <c r="B17" s="10" t="s">
        <v>100</v>
      </c>
      <c r="C17" s="25">
        <v>100</v>
      </c>
      <c r="D17" s="9" t="s">
        <v>102</v>
      </c>
    </row>
    <row r="18" spans="2:7" ht="14.5" x14ac:dyDescent="0.35">
      <c r="B18" s="10" t="s">
        <v>104</v>
      </c>
      <c r="C18" s="34">
        <f t="array" ref="C18">IF($C$16="Custom — enter my own mean and SD",$C$21,IF($C$17=100,INDEX('3 Priors'!$I$8:$I$35,MATCH($C$16,'3 Priors'!$B$8:$B$35,0)),INDEX('3 Priors'!$E$8:$E$35,MATCH($C$16,'3 Priors'!$B$8:$B$35,0))))</f>
        <v>232.7</v>
      </c>
    </row>
    <row r="19" spans="2:7" ht="14.5" x14ac:dyDescent="0.35">
      <c r="B19" s="35" t="s">
        <v>110</v>
      </c>
      <c r="C19" s="34">
        <f t="array" ref="C19">IF($C$16="Custom — enter my own mean and SD",$C$22,IF($C$17=100,INDEX('3 Priors'!$J$8:$J$35,MATCH($C$16,'3 Priors'!$B$8:$B$35,0)),INDEX('3 Priors'!$F$8:$F$35,MATCH($C$16,'3 Priors'!$B$8:$B$35,0))))</f>
        <v>96.9</v>
      </c>
    </row>
    <row r="20" spans="2:7" ht="14.5" x14ac:dyDescent="0.35">
      <c r="B20" s="16" t="s">
        <v>118</v>
      </c>
      <c r="C20" s="28">
        <f>IFERROR(C19/C18,"")</f>
        <v>0.41641598624838855</v>
      </c>
      <c r="D20" s="9" t="s">
        <v>122</v>
      </c>
    </row>
    <row r="21" spans="2:7" ht="15.75" customHeight="1" x14ac:dyDescent="0.35">
      <c r="B21" s="10" t="s">
        <v>123</v>
      </c>
      <c r="C21" s="27"/>
    </row>
    <row r="22" spans="2:7" ht="15.75" customHeight="1" x14ac:dyDescent="0.35">
      <c r="B22" s="10" t="s">
        <v>126</v>
      </c>
      <c r="C22" s="27"/>
    </row>
    <row r="23" spans="2:7" ht="15.75" customHeight="1" x14ac:dyDescent="0.35"/>
    <row r="24" spans="2:7" ht="15.75" customHeight="1" x14ac:dyDescent="0.35">
      <c r="B24" s="4" t="s">
        <v>127</v>
      </c>
      <c r="C24" s="5"/>
      <c r="D24" s="5"/>
      <c r="E24" s="5"/>
      <c r="F24" s="5"/>
      <c r="G24" s="5"/>
    </row>
    <row r="25" spans="2:7" ht="21.75" customHeight="1" x14ac:dyDescent="0.35">
      <c r="B25" s="16" t="s">
        <v>129</v>
      </c>
      <c r="C25" s="37">
        <f>IFERROR(ROUNDUP((C12^2*C8*C20^2)/((C8-1)*C13^2+C12^2*C20^2),0),"")</f>
        <v>41</v>
      </c>
    </row>
    <row r="26" spans="2:7" ht="15.75" customHeight="1" x14ac:dyDescent="0.35">
      <c r="B26" s="10" t="s">
        <v>142</v>
      </c>
      <c r="C26" s="39">
        <f>IFERROR(C25/C8,"")</f>
        <v>0.41</v>
      </c>
      <c r="D26" s="9" t="s">
        <v>150</v>
      </c>
    </row>
    <row r="27" spans="2:7" ht="15.75" customHeight="1" x14ac:dyDescent="0.35"/>
    <row r="28" spans="2:7" ht="15.75" customHeight="1" x14ac:dyDescent="0.35">
      <c r="B28" s="55" t="str">
        <f>"Collect "&amp;C25&amp;" cores to estimate mean sediment carbon within ±"&amp;TEXT(C13,"0%")&amp;" at "&amp;TEXT(C11,"0%")&amp;" confidence."</f>
        <v>Collect 41 cores to estimate mean sediment carbon within ±10% at 95% confidence.</v>
      </c>
      <c r="C28" s="48"/>
      <c r="D28" s="48"/>
      <c r="E28" s="48"/>
      <c r="F28" s="48"/>
      <c r="G28" s="48"/>
    </row>
    <row r="29" spans="2:7" ht="15.75" customHeight="1" x14ac:dyDescent="0.35"/>
    <row r="30" spans="2:7" ht="15" customHeight="1" x14ac:dyDescent="0.35">
      <c r="B30" s="56" t="s">
        <v>152</v>
      </c>
      <c r="C30" s="48"/>
      <c r="D30" s="48"/>
      <c r="E30" s="48"/>
      <c r="F30" s="48"/>
      <c r="G30" s="48"/>
    </row>
    <row r="31" spans="2:7" ht="15.75" customHeight="1" x14ac:dyDescent="0.35">
      <c r="B31" s="48"/>
      <c r="C31" s="48"/>
      <c r="D31" s="48"/>
      <c r="E31" s="48"/>
      <c r="F31" s="48"/>
      <c r="G31" s="48"/>
    </row>
    <row r="32" spans="2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C16:E16"/>
    <mergeCell ref="B28:G28"/>
    <mergeCell ref="B30:G31"/>
  </mergeCells>
  <dataValidations count="1">
    <dataValidation type="list" allowBlank="1" sqref="C17" xr:uid="{00000000-0002-0000-0200-000000000000}">
      <formula1>"30,100"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1000000}">
          <x14:formula1>
            <xm:f>'3 Priors'!$B$8:$B$35</xm:f>
          </x14:formula1>
          <xm:sqref>C16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000"/>
  <sheetViews>
    <sheetView showGridLines="0" topLeftCell="A2" workbookViewId="0">
      <selection activeCell="C6" sqref="C6:C10"/>
    </sheetView>
  </sheetViews>
  <sheetFormatPr defaultColWidth="14.453125" defaultRowHeight="15" customHeight="1" x14ac:dyDescent="0.35"/>
  <cols>
    <col min="1" max="1" width="2" customWidth="1"/>
    <col min="2" max="2" width="30" customWidth="1"/>
    <col min="3" max="8" width="16" customWidth="1"/>
    <col min="9" max="26" width="8.7265625" customWidth="1"/>
  </cols>
  <sheetData>
    <row r="2" spans="2:8" ht="25.5" customHeight="1" x14ac:dyDescent="0.4">
      <c r="B2" s="1" t="s">
        <v>30</v>
      </c>
      <c r="C2" s="2"/>
      <c r="D2" s="2"/>
      <c r="E2" s="2"/>
      <c r="F2" s="2"/>
      <c r="G2" s="2"/>
      <c r="H2" s="2"/>
    </row>
    <row r="3" spans="2:8" ht="14.5" x14ac:dyDescent="0.35">
      <c r="B3" s="9" t="s">
        <v>51</v>
      </c>
    </row>
    <row r="5" spans="2:8" ht="14.5" x14ac:dyDescent="0.35">
      <c r="B5" s="4" t="s">
        <v>54</v>
      </c>
      <c r="C5" s="5"/>
      <c r="D5" s="5"/>
      <c r="E5" s="5"/>
      <c r="F5" s="5"/>
      <c r="G5" s="5"/>
      <c r="H5" s="5"/>
    </row>
    <row r="6" spans="2:8" ht="14.5" x14ac:dyDescent="0.35">
      <c r="B6" s="10" t="s">
        <v>60</v>
      </c>
      <c r="C6" s="12">
        <v>100</v>
      </c>
    </row>
    <row r="7" spans="2:8" ht="14.5" x14ac:dyDescent="0.35">
      <c r="B7" s="10" t="s">
        <v>64</v>
      </c>
      <c r="C7" s="20">
        <v>0.9</v>
      </c>
    </row>
    <row r="8" spans="2:8" ht="14.5" x14ac:dyDescent="0.35">
      <c r="B8" s="10" t="s">
        <v>65</v>
      </c>
      <c r="C8" s="24">
        <f>NORMINV(1-(1-C7)/2,0,1)</f>
        <v>1.6448536269514715</v>
      </c>
    </row>
    <row r="9" spans="2:8" ht="14.5" x14ac:dyDescent="0.35">
      <c r="B9" s="10" t="s">
        <v>70</v>
      </c>
      <c r="C9" s="20">
        <v>0.2</v>
      </c>
    </row>
    <row r="10" spans="2:8" ht="14.5" x14ac:dyDescent="0.35">
      <c r="B10" s="10" t="s">
        <v>72</v>
      </c>
      <c r="C10" s="25">
        <v>5</v>
      </c>
      <c r="D10" s="9" t="s">
        <v>73</v>
      </c>
    </row>
    <row r="12" spans="2:8" ht="14.5" x14ac:dyDescent="0.35">
      <c r="B12" s="4" t="s">
        <v>75</v>
      </c>
      <c r="C12" s="5"/>
      <c r="D12" s="5"/>
      <c r="E12" s="5"/>
      <c r="F12" s="5"/>
      <c r="G12" s="5"/>
      <c r="H12" s="5"/>
    </row>
    <row r="13" spans="2:8" ht="14.5" x14ac:dyDescent="0.35">
      <c r="B13" s="26" t="s">
        <v>80</v>
      </c>
      <c r="C13" s="26" t="s">
        <v>83</v>
      </c>
      <c r="D13" s="26" t="s">
        <v>84</v>
      </c>
      <c r="E13" s="26" t="s">
        <v>86</v>
      </c>
      <c r="F13" s="26" t="s">
        <v>87</v>
      </c>
      <c r="G13" s="26" t="s">
        <v>88</v>
      </c>
    </row>
    <row r="14" spans="2:8" ht="14.5" x14ac:dyDescent="0.35">
      <c r="B14" s="13" t="s">
        <v>217</v>
      </c>
      <c r="C14" s="12">
        <v>250000</v>
      </c>
      <c r="D14" s="27">
        <v>20.6</v>
      </c>
      <c r="E14" s="27">
        <v>11.9</v>
      </c>
      <c r="F14" s="28">
        <f t="shared" ref="F14:F23" si="0">IFERROR(E14/D14,"")</f>
        <v>0.57766990291262132</v>
      </c>
      <c r="G14" s="29">
        <f t="shared" ref="G14:G23" si="1">IF(C14="","",MAX(CEILING($C$32*C14/$C$27,1),$C$10))</f>
        <v>9</v>
      </c>
    </row>
    <row r="15" spans="2:8" ht="14.5" x14ac:dyDescent="0.35">
      <c r="B15" s="13" t="s">
        <v>218</v>
      </c>
      <c r="C15" s="12">
        <v>250000</v>
      </c>
      <c r="D15" s="27">
        <v>17.100000000000001</v>
      </c>
      <c r="E15" s="27">
        <v>6.9</v>
      </c>
      <c r="F15" s="28">
        <f t="shared" si="0"/>
        <v>0.40350877192982454</v>
      </c>
      <c r="G15" s="29">
        <f t="shared" si="1"/>
        <v>9</v>
      </c>
    </row>
    <row r="16" spans="2:8" ht="14.5" x14ac:dyDescent="0.35">
      <c r="B16" s="13"/>
      <c r="C16" s="12"/>
      <c r="D16" s="27"/>
      <c r="E16" s="27"/>
      <c r="F16" s="28" t="str">
        <f t="shared" si="0"/>
        <v/>
      </c>
      <c r="G16" s="29" t="str">
        <f t="shared" si="1"/>
        <v/>
      </c>
    </row>
    <row r="17" spans="2:8" ht="14.5" x14ac:dyDescent="0.35">
      <c r="B17" s="13"/>
      <c r="C17" s="12"/>
      <c r="D17" s="27"/>
      <c r="E17" s="27"/>
      <c r="F17" s="28" t="str">
        <f t="shared" si="0"/>
        <v/>
      </c>
      <c r="G17" s="29" t="str">
        <f t="shared" si="1"/>
        <v/>
      </c>
    </row>
    <row r="18" spans="2:8" ht="14.5" x14ac:dyDescent="0.35">
      <c r="B18" s="13"/>
      <c r="C18" s="12"/>
      <c r="D18" s="27"/>
      <c r="E18" s="27"/>
      <c r="F18" s="28" t="str">
        <f t="shared" si="0"/>
        <v/>
      </c>
      <c r="G18" s="29" t="str">
        <f t="shared" si="1"/>
        <v/>
      </c>
    </row>
    <row r="19" spans="2:8" ht="14.5" x14ac:dyDescent="0.35">
      <c r="B19" s="13"/>
      <c r="C19" s="12"/>
      <c r="D19" s="27"/>
      <c r="E19" s="27"/>
      <c r="F19" s="28" t="str">
        <f t="shared" si="0"/>
        <v/>
      </c>
      <c r="G19" s="29" t="str">
        <f t="shared" si="1"/>
        <v/>
      </c>
    </row>
    <row r="20" spans="2:8" ht="14.5" x14ac:dyDescent="0.35">
      <c r="B20" s="13"/>
      <c r="C20" s="12"/>
      <c r="D20" s="27"/>
      <c r="E20" s="27"/>
      <c r="F20" s="28" t="str">
        <f t="shared" si="0"/>
        <v/>
      </c>
      <c r="G20" s="29" t="str">
        <f t="shared" si="1"/>
        <v/>
      </c>
    </row>
    <row r="21" spans="2:8" ht="15.75" customHeight="1" x14ac:dyDescent="0.35">
      <c r="B21" s="13"/>
      <c r="C21" s="12"/>
      <c r="D21" s="27"/>
      <c r="E21" s="27"/>
      <c r="F21" s="28" t="str">
        <f t="shared" si="0"/>
        <v/>
      </c>
      <c r="G21" s="29" t="str">
        <f t="shared" si="1"/>
        <v/>
      </c>
    </row>
    <row r="22" spans="2:8" ht="15.75" customHeight="1" x14ac:dyDescent="0.35">
      <c r="B22" s="13"/>
      <c r="C22" s="12"/>
      <c r="D22" s="27"/>
      <c r="E22" s="27"/>
      <c r="F22" s="28" t="str">
        <f t="shared" si="0"/>
        <v/>
      </c>
      <c r="G22" s="29" t="str">
        <f t="shared" si="1"/>
        <v/>
      </c>
    </row>
    <row r="23" spans="2:8" ht="15.75" customHeight="1" x14ac:dyDescent="0.35">
      <c r="B23" s="13"/>
      <c r="C23" s="12"/>
      <c r="D23" s="27"/>
      <c r="E23" s="27"/>
      <c r="F23" s="28" t="str">
        <f t="shared" si="0"/>
        <v/>
      </c>
      <c r="G23" s="29" t="str">
        <f t="shared" si="1"/>
        <v/>
      </c>
    </row>
    <row r="24" spans="2:8" ht="15.75" customHeight="1" x14ac:dyDescent="0.35"/>
    <row r="25" spans="2:8" ht="15.75" customHeight="1" x14ac:dyDescent="0.35">
      <c r="B25" s="7" t="s">
        <v>113</v>
      </c>
      <c r="C25" s="23">
        <f>SUM(C14:C23)</f>
        <v>500000</v>
      </c>
      <c r="G25" s="29">
        <f>SUM(G14:G23)</f>
        <v>18</v>
      </c>
    </row>
    <row r="26" spans="2:8" ht="15.75" customHeight="1" x14ac:dyDescent="0.35"/>
    <row r="27" spans="2:8" ht="15.75" customHeight="1" x14ac:dyDescent="0.35">
      <c r="B27" s="36" t="s">
        <v>120</v>
      </c>
      <c r="C27" s="23">
        <f>SUM(C14:C23)</f>
        <v>500000</v>
      </c>
      <c r="D27" s="5"/>
      <c r="E27" s="5"/>
      <c r="F27" s="5"/>
      <c r="G27" s="5"/>
      <c r="H27" s="5"/>
    </row>
    <row r="28" spans="2:8" ht="15.75" customHeight="1" x14ac:dyDescent="0.35">
      <c r="B28" s="10" t="s">
        <v>49</v>
      </c>
      <c r="C28" s="23">
        <f>IFERROR(ROUNDDOWN(C27/C6,0),"")</f>
        <v>5000</v>
      </c>
    </row>
    <row r="29" spans="2:8" ht="15.75" customHeight="1" x14ac:dyDescent="0.35">
      <c r="B29" s="10" t="s">
        <v>132</v>
      </c>
      <c r="C29" s="34">
        <f>IFERROR(SUMPRODUCT(C14:C23,D14:D23)/C27,"")</f>
        <v>18.850000000000001</v>
      </c>
    </row>
    <row r="30" spans="2:8" ht="15.75" customHeight="1" x14ac:dyDescent="0.35">
      <c r="B30" s="10" t="s">
        <v>137</v>
      </c>
      <c r="C30" s="28">
        <f>IFERROR(SUMPRODUCT(C14:C23,(E14:E23)^2)/C27,"")</f>
        <v>94.61</v>
      </c>
    </row>
    <row r="31" spans="2:8" ht="15.75" customHeight="1" x14ac:dyDescent="0.35">
      <c r="B31" s="10" t="s">
        <v>147</v>
      </c>
      <c r="C31" s="24">
        <f>IFERROR(C30/C29^2,"")</f>
        <v>0.26626515348732488</v>
      </c>
    </row>
    <row r="32" spans="2:8" ht="15.75" customHeight="1" x14ac:dyDescent="0.35">
      <c r="B32" s="16" t="s">
        <v>151</v>
      </c>
      <c r="C32" s="29">
        <f>IFERROR(ROUNDUP((C8^2*C28*C31)/((C28-1)*C9^2+C8^2*C31),0),"")</f>
        <v>18</v>
      </c>
    </row>
    <row r="33" spans="2:8" ht="15.75" customHeight="1" x14ac:dyDescent="0.35">
      <c r="B33" s="16" t="s">
        <v>153</v>
      </c>
      <c r="C33" s="37">
        <f>G25</f>
        <v>18</v>
      </c>
    </row>
    <row r="34" spans="2:8" ht="15.75" customHeight="1" x14ac:dyDescent="0.35"/>
    <row r="35" spans="2:8" ht="15" customHeight="1" x14ac:dyDescent="0.35">
      <c r="B35" s="56" t="s">
        <v>155</v>
      </c>
      <c r="C35" s="48"/>
      <c r="D35" s="48"/>
      <c r="E35" s="48"/>
      <c r="F35" s="48"/>
      <c r="G35" s="48"/>
      <c r="H35" s="48"/>
    </row>
    <row r="36" spans="2:8" ht="15.75" customHeight="1" x14ac:dyDescent="0.35">
      <c r="B36" s="48"/>
      <c r="C36" s="48"/>
      <c r="D36" s="48"/>
      <c r="E36" s="48"/>
      <c r="F36" s="48"/>
      <c r="G36" s="48"/>
      <c r="H36" s="48"/>
    </row>
    <row r="37" spans="2:8" ht="15.75" customHeight="1" x14ac:dyDescent="0.35"/>
    <row r="38" spans="2:8" ht="15.75" customHeight="1" x14ac:dyDescent="0.35">
      <c r="B38" s="9" t="s">
        <v>156</v>
      </c>
    </row>
    <row r="39" spans="2:8" ht="15.75" customHeight="1" x14ac:dyDescent="0.35"/>
    <row r="40" spans="2:8" ht="15.75" customHeight="1" x14ac:dyDescent="0.35"/>
    <row r="41" spans="2:8" ht="15.75" customHeight="1" x14ac:dyDescent="0.35"/>
    <row r="42" spans="2:8" ht="15.75" customHeight="1" x14ac:dyDescent="0.35"/>
    <row r="43" spans="2:8" ht="15.75" customHeight="1" x14ac:dyDescent="0.35"/>
    <row r="44" spans="2:8" ht="15.75" customHeight="1" x14ac:dyDescent="0.35"/>
    <row r="45" spans="2:8" ht="15.75" customHeight="1" x14ac:dyDescent="0.35"/>
    <row r="46" spans="2:8" ht="15.75" customHeight="1" x14ac:dyDescent="0.35"/>
    <row r="47" spans="2:8" ht="15.75" customHeight="1" x14ac:dyDescent="0.35"/>
    <row r="48" spans="2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35:H36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000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53125" defaultRowHeight="15" customHeight="1" x14ac:dyDescent="0.35"/>
  <cols>
    <col min="1" max="1" width="2" customWidth="1"/>
    <col min="2" max="2" width="40" customWidth="1"/>
    <col min="3" max="3" width="17" customWidth="1"/>
    <col min="4" max="4" width="18" customWidth="1"/>
    <col min="5" max="12" width="11" customWidth="1"/>
    <col min="13" max="26" width="8.7265625" customWidth="1"/>
  </cols>
  <sheetData>
    <row r="2" spans="2:12" ht="25.5" customHeight="1" x14ac:dyDescent="0.4">
      <c r="B2" s="1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ht="15" customHeight="1" x14ac:dyDescent="0.35">
      <c r="B4" s="47" t="s">
        <v>13</v>
      </c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2:12" ht="15" customHeight="1" x14ac:dyDescent="0.3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2:12" ht="14.5" x14ac:dyDescent="0.35">
      <c r="B6" s="51" t="s">
        <v>20</v>
      </c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2:12" ht="31.5" customHeight="1" x14ac:dyDescent="0.35">
      <c r="B7" s="11" t="s">
        <v>25</v>
      </c>
      <c r="C7" s="11" t="s">
        <v>34</v>
      </c>
      <c r="D7" s="11" t="s">
        <v>35</v>
      </c>
      <c r="E7" s="11" t="s">
        <v>36</v>
      </c>
      <c r="F7" s="11" t="s">
        <v>37</v>
      </c>
      <c r="G7" s="11" t="s">
        <v>39</v>
      </c>
      <c r="H7" s="11" t="s">
        <v>40</v>
      </c>
      <c r="I7" s="11" t="s">
        <v>41</v>
      </c>
      <c r="J7" s="11" t="s">
        <v>45</v>
      </c>
      <c r="K7" s="11" t="s">
        <v>47</v>
      </c>
      <c r="L7" s="11" t="s">
        <v>40</v>
      </c>
    </row>
    <row r="8" spans="2:12" ht="14.5" x14ac:dyDescent="0.35">
      <c r="B8" s="15" t="s">
        <v>50</v>
      </c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2:12" ht="14.5" x14ac:dyDescent="0.35">
      <c r="B9" s="18" t="s">
        <v>59</v>
      </c>
      <c r="C9" s="18" t="s">
        <v>61</v>
      </c>
      <c r="D9" s="18" t="s">
        <v>62</v>
      </c>
      <c r="E9" s="19">
        <v>85.7</v>
      </c>
      <c r="F9" s="19">
        <v>34</v>
      </c>
      <c r="G9" s="21">
        <f t="shared" ref="G9:G35" si="0">IFERROR(F9/E9,"")</f>
        <v>0.39673278879813301</v>
      </c>
      <c r="H9" s="22">
        <v>19</v>
      </c>
      <c r="I9" s="19">
        <v>319</v>
      </c>
      <c r="J9" s="19">
        <v>67.8</v>
      </c>
      <c r="K9" s="21">
        <f t="shared" ref="K9:K19" si="1">IFERROR(J9/I9,"")</f>
        <v>0.21253918495297805</v>
      </c>
      <c r="L9" s="22">
        <v>4</v>
      </c>
    </row>
    <row r="10" spans="2:12" ht="14.5" x14ac:dyDescent="0.35">
      <c r="B10" s="18" t="s">
        <v>69</v>
      </c>
      <c r="C10" s="18" t="s">
        <v>61</v>
      </c>
      <c r="D10" s="18" t="s">
        <v>71</v>
      </c>
      <c r="E10" s="19">
        <v>85.5</v>
      </c>
      <c r="F10" s="19">
        <v>35</v>
      </c>
      <c r="G10" s="21">
        <f t="shared" si="0"/>
        <v>0.40935672514619881</v>
      </c>
      <c r="H10" s="22">
        <v>696</v>
      </c>
      <c r="I10" s="19">
        <v>244.5</v>
      </c>
      <c r="J10" s="19">
        <v>100.3</v>
      </c>
      <c r="K10" s="21">
        <f t="shared" si="1"/>
        <v>0.41022494887525562</v>
      </c>
      <c r="L10" s="22">
        <v>357</v>
      </c>
    </row>
    <row r="11" spans="2:12" ht="14.5" x14ac:dyDescent="0.35">
      <c r="B11" s="18" t="s">
        <v>74</v>
      </c>
      <c r="C11" s="18" t="s">
        <v>61</v>
      </c>
      <c r="D11" s="18" t="s">
        <v>76</v>
      </c>
      <c r="E11" s="19">
        <v>75.7</v>
      </c>
      <c r="F11" s="19">
        <v>43</v>
      </c>
      <c r="G11" s="21">
        <f t="shared" si="0"/>
        <v>0.56803170409511228</v>
      </c>
      <c r="H11" s="22">
        <v>40</v>
      </c>
      <c r="I11" s="19">
        <v>195.9</v>
      </c>
      <c r="J11" s="19">
        <v>104.3</v>
      </c>
      <c r="K11" s="21">
        <f t="shared" si="1"/>
        <v>0.53241449719244505</v>
      </c>
      <c r="L11" s="22">
        <v>6</v>
      </c>
    </row>
    <row r="12" spans="2:12" ht="14.5" x14ac:dyDescent="0.35">
      <c r="B12" s="18" t="s">
        <v>81</v>
      </c>
      <c r="C12" s="18" t="s">
        <v>61</v>
      </c>
      <c r="D12" s="18" t="s">
        <v>82</v>
      </c>
      <c r="E12" s="19">
        <v>84.9</v>
      </c>
      <c r="F12" s="19">
        <v>37.299999999999997</v>
      </c>
      <c r="G12" s="21">
        <f t="shared" si="0"/>
        <v>0.43934040047114248</v>
      </c>
      <c r="H12" s="22">
        <v>75</v>
      </c>
      <c r="I12" s="19">
        <v>232.7</v>
      </c>
      <c r="J12" s="19">
        <v>96.9</v>
      </c>
      <c r="K12" s="21">
        <f t="shared" si="1"/>
        <v>0.41641598624838855</v>
      </c>
      <c r="L12" s="22">
        <v>33</v>
      </c>
    </row>
    <row r="13" spans="2:12" ht="14.5" x14ac:dyDescent="0.35">
      <c r="B13" s="18" t="s">
        <v>89</v>
      </c>
      <c r="C13" s="18" t="s">
        <v>61</v>
      </c>
      <c r="D13" s="18" t="s">
        <v>90</v>
      </c>
      <c r="E13" s="19">
        <v>83.8</v>
      </c>
      <c r="F13" s="19">
        <v>31.1</v>
      </c>
      <c r="G13" s="21">
        <f t="shared" si="0"/>
        <v>0.37112171837708835</v>
      </c>
      <c r="H13" s="22">
        <v>299</v>
      </c>
      <c r="I13" s="19">
        <v>257.2</v>
      </c>
      <c r="J13" s="19">
        <v>107</v>
      </c>
      <c r="K13" s="21">
        <f t="shared" si="1"/>
        <v>0.41601866251944014</v>
      </c>
      <c r="L13" s="22">
        <v>188</v>
      </c>
    </row>
    <row r="14" spans="2:12" ht="14.5" x14ac:dyDescent="0.35">
      <c r="B14" s="18" t="s">
        <v>91</v>
      </c>
      <c r="C14" s="18" t="s">
        <v>61</v>
      </c>
      <c r="D14" s="18" t="s">
        <v>92</v>
      </c>
      <c r="E14" s="19">
        <v>67.3</v>
      </c>
      <c r="F14" s="19">
        <v>32.6</v>
      </c>
      <c r="G14" s="21">
        <f t="shared" si="0"/>
        <v>0.48439821693907881</v>
      </c>
      <c r="H14" s="22">
        <v>6</v>
      </c>
      <c r="I14" s="19">
        <v>293.60000000000002</v>
      </c>
      <c r="J14" s="19">
        <v>95.3</v>
      </c>
      <c r="K14" s="21">
        <f t="shared" si="1"/>
        <v>0.32459128065395093</v>
      </c>
      <c r="L14" s="22">
        <v>6</v>
      </c>
    </row>
    <row r="15" spans="2:12" ht="14.5" x14ac:dyDescent="0.35">
      <c r="B15" s="18" t="s">
        <v>93</v>
      </c>
      <c r="C15" s="18" t="s">
        <v>61</v>
      </c>
      <c r="D15" s="18" t="s">
        <v>94</v>
      </c>
      <c r="E15" s="19">
        <v>101.2</v>
      </c>
      <c r="F15" s="19">
        <v>33.200000000000003</v>
      </c>
      <c r="G15" s="21">
        <f t="shared" si="0"/>
        <v>0.32806324110671936</v>
      </c>
      <c r="H15" s="22">
        <v>152</v>
      </c>
      <c r="I15" s="19">
        <v>252.8</v>
      </c>
      <c r="J15" s="19">
        <v>76</v>
      </c>
      <c r="K15" s="21">
        <f t="shared" si="1"/>
        <v>0.30063291139240506</v>
      </c>
      <c r="L15" s="22">
        <v>59</v>
      </c>
    </row>
    <row r="16" spans="2:12" ht="14.5" x14ac:dyDescent="0.35">
      <c r="B16" s="18" t="s">
        <v>95</v>
      </c>
      <c r="C16" s="18" t="s">
        <v>61</v>
      </c>
      <c r="D16" s="18" t="s">
        <v>96</v>
      </c>
      <c r="E16" s="19">
        <v>73</v>
      </c>
      <c r="F16" s="19">
        <v>36</v>
      </c>
      <c r="G16" s="21">
        <f t="shared" si="0"/>
        <v>0.49315068493150682</v>
      </c>
      <c r="H16" s="22">
        <v>105</v>
      </c>
      <c r="I16" s="19">
        <v>199</v>
      </c>
      <c r="J16" s="19">
        <v>89.2</v>
      </c>
      <c r="K16" s="21">
        <f t="shared" si="1"/>
        <v>0.44824120603015077</v>
      </c>
      <c r="L16" s="22">
        <v>61</v>
      </c>
    </row>
    <row r="17" spans="2:12" ht="14.5" x14ac:dyDescent="0.35">
      <c r="B17" s="18" t="s">
        <v>97</v>
      </c>
      <c r="C17" s="18" t="s">
        <v>98</v>
      </c>
      <c r="D17" s="18" t="s">
        <v>71</v>
      </c>
      <c r="E17" s="19">
        <v>107.5</v>
      </c>
      <c r="F17" s="19">
        <v>83.6</v>
      </c>
      <c r="G17" s="21">
        <f t="shared" si="0"/>
        <v>0.77767441860465114</v>
      </c>
      <c r="H17" s="22">
        <v>181</v>
      </c>
      <c r="I17" s="19">
        <v>356.5</v>
      </c>
      <c r="J17" s="19">
        <v>229.7</v>
      </c>
      <c r="K17" s="21">
        <f t="shared" si="1"/>
        <v>0.6443197755960729</v>
      </c>
      <c r="L17" s="22">
        <v>90</v>
      </c>
    </row>
    <row r="18" spans="2:12" ht="14.5" x14ac:dyDescent="0.35">
      <c r="B18" s="18" t="s">
        <v>101</v>
      </c>
      <c r="C18" s="18" t="s">
        <v>98</v>
      </c>
      <c r="D18" s="18" t="s">
        <v>76</v>
      </c>
      <c r="E18" s="19">
        <v>104.9</v>
      </c>
      <c r="F18" s="19">
        <v>99.5</v>
      </c>
      <c r="G18" s="21">
        <f t="shared" si="0"/>
        <v>0.9485224022878932</v>
      </c>
      <c r="H18" s="22">
        <v>109</v>
      </c>
      <c r="I18" s="19">
        <v>341.6</v>
      </c>
      <c r="J18" s="19">
        <v>296.2</v>
      </c>
      <c r="K18" s="21">
        <f t="shared" si="1"/>
        <v>0.86709601873536291</v>
      </c>
      <c r="L18" s="22">
        <v>39</v>
      </c>
    </row>
    <row r="19" spans="2:12" ht="14.5" x14ac:dyDescent="0.35">
      <c r="B19" s="18" t="s">
        <v>103</v>
      </c>
      <c r="C19" s="18" t="s">
        <v>98</v>
      </c>
      <c r="D19" s="18" t="s">
        <v>92</v>
      </c>
      <c r="E19" s="19">
        <v>111.3</v>
      </c>
      <c r="F19" s="19">
        <v>51.6</v>
      </c>
      <c r="G19" s="21">
        <f t="shared" si="0"/>
        <v>0.46361185983827496</v>
      </c>
      <c r="H19" s="22">
        <v>72</v>
      </c>
      <c r="I19" s="19">
        <v>367.9</v>
      </c>
      <c r="J19" s="19">
        <v>164.1</v>
      </c>
      <c r="K19" s="21">
        <f t="shared" si="1"/>
        <v>0.44604512095678173</v>
      </c>
      <c r="L19" s="22">
        <v>51</v>
      </c>
    </row>
    <row r="20" spans="2:12" ht="14.5" x14ac:dyDescent="0.35">
      <c r="B20" s="30" t="s">
        <v>105</v>
      </c>
      <c r="C20" s="30" t="s">
        <v>106</v>
      </c>
      <c r="D20" s="30" t="s">
        <v>62</v>
      </c>
      <c r="E20" s="31">
        <v>45.3</v>
      </c>
      <c r="F20" s="31">
        <v>28.7</v>
      </c>
      <c r="G20" s="32">
        <f t="shared" si="0"/>
        <v>0.63355408388520973</v>
      </c>
      <c r="H20" s="33">
        <v>20</v>
      </c>
      <c r="I20" s="33"/>
      <c r="J20" s="33"/>
      <c r="K20" s="33"/>
      <c r="L20" s="33">
        <v>0</v>
      </c>
    </row>
    <row r="21" spans="2:12" ht="15.75" customHeight="1" x14ac:dyDescent="0.35">
      <c r="B21" s="30" t="s">
        <v>107</v>
      </c>
      <c r="C21" s="30" t="s">
        <v>106</v>
      </c>
      <c r="D21" s="30" t="s">
        <v>71</v>
      </c>
      <c r="E21" s="31">
        <v>23.8</v>
      </c>
      <c r="F21" s="31">
        <v>18.399999999999999</v>
      </c>
      <c r="G21" s="32">
        <f t="shared" si="0"/>
        <v>0.77310924369747891</v>
      </c>
      <c r="H21" s="33">
        <v>256</v>
      </c>
      <c r="I21" s="31">
        <v>68.3</v>
      </c>
      <c r="J21" s="31">
        <v>42.5</v>
      </c>
      <c r="K21" s="32">
        <f>IFERROR(J21/I21,"")</f>
        <v>0.62225475841874089</v>
      </c>
      <c r="L21" s="33">
        <v>78</v>
      </c>
    </row>
    <row r="22" spans="2:12" ht="15.75" customHeight="1" x14ac:dyDescent="0.35">
      <c r="B22" s="30" t="s">
        <v>108</v>
      </c>
      <c r="C22" s="30" t="s">
        <v>106</v>
      </c>
      <c r="D22" s="30" t="s">
        <v>76</v>
      </c>
      <c r="E22" s="31">
        <v>22</v>
      </c>
      <c r="F22" s="31">
        <v>8.1</v>
      </c>
      <c r="G22" s="32">
        <f t="shared" si="0"/>
        <v>0.36818181818181817</v>
      </c>
      <c r="H22" s="33">
        <v>10</v>
      </c>
      <c r="I22" s="33"/>
      <c r="J22" s="33"/>
      <c r="K22" s="33"/>
      <c r="L22" s="33">
        <v>2</v>
      </c>
    </row>
    <row r="23" spans="2:12" ht="15.75" customHeight="1" x14ac:dyDescent="0.35">
      <c r="B23" s="30" t="s">
        <v>109</v>
      </c>
      <c r="C23" s="30" t="s">
        <v>106</v>
      </c>
      <c r="D23" s="30" t="s">
        <v>82</v>
      </c>
      <c r="E23" s="31">
        <v>20.6</v>
      </c>
      <c r="F23" s="31">
        <v>11.9</v>
      </c>
      <c r="G23" s="32">
        <f t="shared" si="0"/>
        <v>0.57766990291262132</v>
      </c>
      <c r="H23" s="33">
        <v>79</v>
      </c>
      <c r="I23" s="31">
        <v>60.9</v>
      </c>
      <c r="J23" s="31">
        <v>57.8</v>
      </c>
      <c r="K23" s="32">
        <f t="shared" ref="K23:K27" si="2">IFERROR(J23/I23,"")</f>
        <v>0.94909688013136284</v>
      </c>
      <c r="L23" s="33">
        <v>3</v>
      </c>
    </row>
    <row r="24" spans="2:12" ht="15.75" customHeight="1" x14ac:dyDescent="0.35">
      <c r="B24" s="30" t="s">
        <v>111</v>
      </c>
      <c r="C24" s="30" t="s">
        <v>106</v>
      </c>
      <c r="D24" s="30" t="s">
        <v>90</v>
      </c>
      <c r="E24" s="31">
        <v>21.8</v>
      </c>
      <c r="F24" s="31">
        <v>22.8</v>
      </c>
      <c r="G24" s="32">
        <f t="shared" si="0"/>
        <v>1.0458715596330275</v>
      </c>
      <c r="H24" s="33">
        <v>71</v>
      </c>
      <c r="I24" s="31">
        <v>48.5</v>
      </c>
      <c r="J24" s="31">
        <v>33.4</v>
      </c>
      <c r="K24" s="32">
        <f t="shared" si="2"/>
        <v>0.68865979381443299</v>
      </c>
      <c r="L24" s="33">
        <v>34</v>
      </c>
    </row>
    <row r="25" spans="2:12" ht="15.75" customHeight="1" x14ac:dyDescent="0.35">
      <c r="B25" s="30" t="s">
        <v>112</v>
      </c>
      <c r="C25" s="30" t="s">
        <v>106</v>
      </c>
      <c r="D25" s="30" t="s">
        <v>94</v>
      </c>
      <c r="E25" s="31">
        <v>35.799999999999997</v>
      </c>
      <c r="F25" s="31">
        <v>12.7</v>
      </c>
      <c r="G25" s="32">
        <f t="shared" si="0"/>
        <v>0.35474860335195529</v>
      </c>
      <c r="H25" s="33">
        <v>27</v>
      </c>
      <c r="I25" s="31">
        <v>113.5</v>
      </c>
      <c r="J25" s="31">
        <v>29.8</v>
      </c>
      <c r="K25" s="32">
        <f t="shared" si="2"/>
        <v>0.26255506607929519</v>
      </c>
      <c r="L25" s="33">
        <v>24</v>
      </c>
    </row>
    <row r="26" spans="2:12" ht="15.75" customHeight="1" x14ac:dyDescent="0.35">
      <c r="B26" s="30" t="s">
        <v>114</v>
      </c>
      <c r="C26" s="30" t="s">
        <v>106</v>
      </c>
      <c r="D26" s="30" t="s">
        <v>96</v>
      </c>
      <c r="E26" s="31">
        <v>17.100000000000001</v>
      </c>
      <c r="F26" s="31">
        <v>6.9</v>
      </c>
      <c r="G26" s="32">
        <f t="shared" si="0"/>
        <v>0.40350877192982454</v>
      </c>
      <c r="H26" s="33">
        <v>49</v>
      </c>
      <c r="I26" s="31">
        <v>48.3</v>
      </c>
      <c r="J26" s="31">
        <v>14</v>
      </c>
      <c r="K26" s="32">
        <f t="shared" si="2"/>
        <v>0.28985507246376813</v>
      </c>
      <c r="L26" s="33">
        <v>15</v>
      </c>
    </row>
    <row r="27" spans="2:12" ht="15.75" customHeight="1" x14ac:dyDescent="0.35">
      <c r="B27" s="18" t="s">
        <v>115</v>
      </c>
      <c r="C27" s="18" t="s">
        <v>116</v>
      </c>
      <c r="D27" s="18" t="s">
        <v>71</v>
      </c>
      <c r="E27" s="19">
        <v>113.4</v>
      </c>
      <c r="F27" s="19">
        <v>38.299999999999997</v>
      </c>
      <c r="G27" s="21">
        <f t="shared" si="0"/>
        <v>0.33774250440917103</v>
      </c>
      <c r="H27" s="22">
        <v>67</v>
      </c>
      <c r="I27" s="19">
        <v>354.7</v>
      </c>
      <c r="J27" s="19">
        <v>103.9</v>
      </c>
      <c r="K27" s="21">
        <f t="shared" si="2"/>
        <v>0.29292359740625884</v>
      </c>
      <c r="L27" s="22">
        <v>41</v>
      </c>
    </row>
    <row r="28" spans="2:12" ht="15.75" customHeight="1" x14ac:dyDescent="0.35">
      <c r="B28" s="18" t="s">
        <v>117</v>
      </c>
      <c r="C28" s="18" t="s">
        <v>116</v>
      </c>
      <c r="D28" s="18" t="s">
        <v>90</v>
      </c>
      <c r="E28" s="19">
        <v>124.2</v>
      </c>
      <c r="F28" s="19">
        <v>23</v>
      </c>
      <c r="G28" s="21">
        <f t="shared" si="0"/>
        <v>0.18518518518518517</v>
      </c>
      <c r="H28" s="22">
        <v>5</v>
      </c>
      <c r="I28" s="22"/>
      <c r="J28" s="22"/>
      <c r="K28" s="22"/>
      <c r="L28" s="22">
        <v>2</v>
      </c>
    </row>
    <row r="29" spans="2:12" ht="15.75" customHeight="1" x14ac:dyDescent="0.35">
      <c r="B29" s="18" t="s">
        <v>119</v>
      </c>
      <c r="C29" s="18" t="s">
        <v>116</v>
      </c>
      <c r="D29" s="18" t="s">
        <v>94</v>
      </c>
      <c r="E29" s="19">
        <v>137</v>
      </c>
      <c r="F29" s="19">
        <v>46.1</v>
      </c>
      <c r="G29" s="21">
        <f t="shared" si="0"/>
        <v>0.3364963503649635</v>
      </c>
      <c r="H29" s="22">
        <v>20</v>
      </c>
      <c r="I29" s="19">
        <v>381.7</v>
      </c>
      <c r="J29" s="19">
        <v>76.400000000000006</v>
      </c>
      <c r="K29" s="21">
        <f t="shared" ref="K29:K31" si="3">IFERROR(J29/I29,"")</f>
        <v>0.20015719151165839</v>
      </c>
      <c r="L29" s="22">
        <v>12</v>
      </c>
    </row>
    <row r="30" spans="2:12" ht="15.75" customHeight="1" x14ac:dyDescent="0.35">
      <c r="B30" s="18" t="s">
        <v>121</v>
      </c>
      <c r="C30" s="18" t="s">
        <v>116</v>
      </c>
      <c r="D30" s="18" t="s">
        <v>96</v>
      </c>
      <c r="E30" s="19">
        <v>100.8</v>
      </c>
      <c r="F30" s="19">
        <v>29.7</v>
      </c>
      <c r="G30" s="21">
        <f t="shared" si="0"/>
        <v>0.29464285714285715</v>
      </c>
      <c r="H30" s="22">
        <v>42</v>
      </c>
      <c r="I30" s="19">
        <v>346</v>
      </c>
      <c r="J30" s="19">
        <v>114.9</v>
      </c>
      <c r="K30" s="21">
        <f t="shared" si="3"/>
        <v>0.33208092485549134</v>
      </c>
      <c r="L30" s="22">
        <v>27</v>
      </c>
    </row>
    <row r="31" spans="2:12" ht="15.75" customHeight="1" x14ac:dyDescent="0.35">
      <c r="B31" s="18" t="s">
        <v>124</v>
      </c>
      <c r="C31" s="18" t="s">
        <v>125</v>
      </c>
      <c r="D31" s="18" t="s">
        <v>71</v>
      </c>
      <c r="E31" s="19">
        <v>33.1</v>
      </c>
      <c r="F31" s="19">
        <v>21.5</v>
      </c>
      <c r="G31" s="21">
        <f t="shared" si="0"/>
        <v>0.64954682779456185</v>
      </c>
      <c r="H31" s="22">
        <v>84</v>
      </c>
      <c r="I31" s="19">
        <v>148.19999999999999</v>
      </c>
      <c r="J31" s="19">
        <v>93.2</v>
      </c>
      <c r="K31" s="21">
        <f t="shared" si="3"/>
        <v>0.62887989203778683</v>
      </c>
      <c r="L31" s="22">
        <v>26</v>
      </c>
    </row>
    <row r="32" spans="2:12" ht="15.75" customHeight="1" x14ac:dyDescent="0.35">
      <c r="B32" s="18" t="s">
        <v>128</v>
      </c>
      <c r="C32" s="18" t="s">
        <v>125</v>
      </c>
      <c r="D32" s="18" t="s">
        <v>82</v>
      </c>
      <c r="E32" s="19">
        <v>20.3</v>
      </c>
      <c r="F32" s="19">
        <v>10.4</v>
      </c>
      <c r="G32" s="21">
        <f t="shared" si="0"/>
        <v>0.51231527093596063</v>
      </c>
      <c r="H32" s="22">
        <v>29</v>
      </c>
      <c r="I32" s="22"/>
      <c r="J32" s="22"/>
      <c r="K32" s="22"/>
      <c r="L32" s="22">
        <v>0</v>
      </c>
    </row>
    <row r="33" spans="2:12" ht="15.75" customHeight="1" x14ac:dyDescent="0.35">
      <c r="B33" s="18" t="s">
        <v>130</v>
      </c>
      <c r="C33" s="18" t="s">
        <v>125</v>
      </c>
      <c r="D33" s="18" t="s">
        <v>90</v>
      </c>
      <c r="E33" s="19">
        <v>46.3</v>
      </c>
      <c r="F33" s="19">
        <v>27</v>
      </c>
      <c r="G33" s="21">
        <f t="shared" si="0"/>
        <v>0.58315334773218142</v>
      </c>
      <c r="H33" s="22">
        <v>29</v>
      </c>
      <c r="I33" s="19">
        <v>181.4</v>
      </c>
      <c r="J33" s="19">
        <v>98.2</v>
      </c>
      <c r="K33" s="21">
        <f>IFERROR(J33/I33,"")</f>
        <v>0.54134509371554573</v>
      </c>
      <c r="L33" s="22">
        <v>17</v>
      </c>
    </row>
    <row r="34" spans="2:12" ht="15.75" customHeight="1" x14ac:dyDescent="0.35">
      <c r="B34" s="18" t="s">
        <v>133</v>
      </c>
      <c r="C34" s="18" t="s">
        <v>125</v>
      </c>
      <c r="D34" s="18" t="s">
        <v>94</v>
      </c>
      <c r="E34" s="19">
        <v>42.5</v>
      </c>
      <c r="F34" s="19">
        <v>13.2</v>
      </c>
      <c r="G34" s="21">
        <f t="shared" si="0"/>
        <v>0.31058823529411761</v>
      </c>
      <c r="H34" s="22">
        <v>13</v>
      </c>
      <c r="I34" s="22"/>
      <c r="J34" s="22"/>
      <c r="K34" s="22"/>
      <c r="L34" s="22">
        <v>2</v>
      </c>
    </row>
    <row r="35" spans="2:12" ht="15.75" customHeight="1" x14ac:dyDescent="0.35">
      <c r="B35" s="18" t="s">
        <v>135</v>
      </c>
      <c r="C35" s="18" t="s">
        <v>125</v>
      </c>
      <c r="D35" s="18" t="s">
        <v>96</v>
      </c>
      <c r="E35" s="19">
        <v>22.7</v>
      </c>
      <c r="F35" s="19">
        <v>6.8</v>
      </c>
      <c r="G35" s="21">
        <f t="shared" si="0"/>
        <v>0.29955947136563876</v>
      </c>
      <c r="H35" s="22">
        <v>13</v>
      </c>
      <c r="I35" s="19">
        <v>71.5</v>
      </c>
      <c r="J35" s="19">
        <v>12.4</v>
      </c>
      <c r="K35" s="21">
        <f>IFERROR(J35/I35,"")</f>
        <v>0.17342657342657344</v>
      </c>
      <c r="L35" s="22">
        <v>7</v>
      </c>
    </row>
    <row r="36" spans="2:12" ht="15.75" customHeight="1" x14ac:dyDescent="0.35"/>
    <row r="37" spans="2:12" ht="15.75" customHeight="1" x14ac:dyDescent="0.35">
      <c r="B37" s="9" t="s">
        <v>138</v>
      </c>
    </row>
    <row r="38" spans="2:12" ht="15.75" customHeight="1" x14ac:dyDescent="0.35">
      <c r="B38" s="9" t="s">
        <v>140</v>
      </c>
    </row>
    <row r="39" spans="2:12" ht="15.75" customHeight="1" x14ac:dyDescent="0.35"/>
    <row r="40" spans="2:12" ht="15.75" customHeight="1" x14ac:dyDescent="0.35">
      <c r="B40" s="38" t="s">
        <v>141</v>
      </c>
    </row>
    <row r="41" spans="2:12" ht="15.75" customHeight="1" x14ac:dyDescent="0.35">
      <c r="B41" s="38" t="s">
        <v>144</v>
      </c>
    </row>
    <row r="42" spans="2:12" ht="15.75" customHeight="1" x14ac:dyDescent="0.35">
      <c r="B42" s="38" t="s">
        <v>145</v>
      </c>
    </row>
    <row r="43" spans="2:12" ht="15.75" customHeight="1" x14ac:dyDescent="0.35">
      <c r="B43" s="9" t="s">
        <v>148</v>
      </c>
    </row>
    <row r="44" spans="2:12" ht="15.75" customHeight="1" x14ac:dyDescent="0.35"/>
    <row r="45" spans="2:12" ht="15.75" customHeight="1" x14ac:dyDescent="0.35"/>
    <row r="46" spans="2:12" ht="15.75" customHeight="1" x14ac:dyDescent="0.35"/>
    <row r="47" spans="2:12" ht="15.75" customHeight="1" x14ac:dyDescent="0.35"/>
    <row r="48" spans="2:1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B4:L5"/>
    <mergeCell ref="B6:L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000"/>
  <sheetViews>
    <sheetView showGridLines="0" tabSelected="1" workbookViewId="0">
      <selection activeCell="C8" sqref="C8"/>
    </sheetView>
  </sheetViews>
  <sheetFormatPr defaultColWidth="14.453125" defaultRowHeight="15" customHeight="1" x14ac:dyDescent="0.35"/>
  <cols>
    <col min="1" max="1" width="2" customWidth="1"/>
    <col min="2" max="2" width="38" customWidth="1"/>
    <col min="3" max="8" width="16" customWidth="1"/>
    <col min="9" max="26" width="8.7265625" customWidth="1"/>
  </cols>
  <sheetData>
    <row r="2" spans="2:8" ht="25.5" customHeight="1" x14ac:dyDescent="0.4">
      <c r="B2" s="1" t="s">
        <v>131</v>
      </c>
      <c r="C2" s="2"/>
      <c r="D2" s="2"/>
      <c r="E2" s="2"/>
      <c r="F2" s="2"/>
      <c r="G2" s="2"/>
      <c r="H2" s="2"/>
    </row>
    <row r="3" spans="2:8" ht="14.5" x14ac:dyDescent="0.35">
      <c r="B3" s="9" t="s">
        <v>134</v>
      </c>
    </row>
    <row r="5" spans="2:8" ht="14.5" x14ac:dyDescent="0.35">
      <c r="B5" s="4" t="s">
        <v>136</v>
      </c>
      <c r="C5" s="5"/>
      <c r="D5" s="5"/>
      <c r="E5" s="5"/>
      <c r="F5" s="5"/>
      <c r="G5" s="5"/>
      <c r="H5" s="5"/>
    </row>
    <row r="6" spans="2:8" ht="14.5" x14ac:dyDescent="0.35">
      <c r="B6" s="10" t="s">
        <v>49</v>
      </c>
      <c r="C6" s="12">
        <v>500</v>
      </c>
    </row>
    <row r="7" spans="2:8" ht="14.5" x14ac:dyDescent="0.35">
      <c r="B7" s="10" t="s">
        <v>139</v>
      </c>
      <c r="C7" s="25">
        <v>30</v>
      </c>
    </row>
    <row r="8" spans="2:8" ht="14.5" x14ac:dyDescent="0.35">
      <c r="B8" s="10" t="s">
        <v>143</v>
      </c>
      <c r="C8" s="27">
        <v>21.4</v>
      </c>
    </row>
    <row r="9" spans="2:8" ht="14.5" x14ac:dyDescent="0.35">
      <c r="B9" s="10" t="s">
        <v>146</v>
      </c>
      <c r="C9" s="27">
        <v>12.8</v>
      </c>
    </row>
    <row r="10" spans="2:8" ht="14.5" x14ac:dyDescent="0.35">
      <c r="B10" s="10" t="s">
        <v>64</v>
      </c>
      <c r="C10" s="20">
        <v>0.9</v>
      </c>
    </row>
    <row r="11" spans="2:8" ht="14.5" x14ac:dyDescent="0.35">
      <c r="B11" s="10" t="s">
        <v>149</v>
      </c>
      <c r="C11" s="20">
        <v>0.2</v>
      </c>
    </row>
    <row r="12" spans="2:8" ht="14.5" x14ac:dyDescent="0.35">
      <c r="B12" s="10" t="s">
        <v>65</v>
      </c>
      <c r="C12" s="24">
        <f>NORMINV(1-(1-C10)/2,0,1)</f>
        <v>1.6448536269514715</v>
      </c>
    </row>
    <row r="14" spans="2:8" ht="14.5" x14ac:dyDescent="0.35">
      <c r="B14" s="10" t="s">
        <v>154</v>
      </c>
      <c r="C14" s="24">
        <f>IFERROR(SQRT((1-C7/C6)*C9^2/C7),"")</f>
        <v>2.265756680081366</v>
      </c>
    </row>
    <row r="15" spans="2:8" ht="14.5" x14ac:dyDescent="0.35">
      <c r="B15" s="16" t="s">
        <v>157</v>
      </c>
      <c r="C15" s="39">
        <f>IFERROR(C12*C14/C8,"")</f>
        <v>0.17415131275800749</v>
      </c>
    </row>
    <row r="16" spans="2:8" ht="14.5" x14ac:dyDescent="0.35">
      <c r="B16" s="16" t="s">
        <v>158</v>
      </c>
      <c r="C16" s="57" t="str">
        <f>IF(C15="","",IF(C15&lt;=C11,"PASS — target met","MISS — see Appendix A8"))</f>
        <v>PASS — target met</v>
      </c>
      <c r="D16" s="53"/>
      <c r="E16" s="54"/>
    </row>
    <row r="19" spans="2:8" ht="14.5" x14ac:dyDescent="0.35">
      <c r="B19" s="4" t="s">
        <v>159</v>
      </c>
      <c r="C19" s="5"/>
      <c r="D19" s="5"/>
      <c r="E19" s="5"/>
      <c r="F19" s="5"/>
      <c r="G19" s="5"/>
      <c r="H19" s="5"/>
    </row>
    <row r="20" spans="2:8" ht="14.5" x14ac:dyDescent="0.35">
      <c r="B20" s="26" t="s">
        <v>80</v>
      </c>
      <c r="C20" s="26" t="s">
        <v>83</v>
      </c>
      <c r="D20" s="26" t="s">
        <v>160</v>
      </c>
      <c r="E20" s="26" t="s">
        <v>161</v>
      </c>
      <c r="F20" s="26" t="s">
        <v>162</v>
      </c>
      <c r="G20" s="26" t="s">
        <v>163</v>
      </c>
    </row>
    <row r="21" spans="2:8" ht="15.75" customHeight="1" x14ac:dyDescent="0.35">
      <c r="B21" s="13"/>
      <c r="C21" s="12"/>
      <c r="D21" s="27"/>
      <c r="E21" s="27"/>
      <c r="F21" s="25"/>
      <c r="G21" s="40" t="str">
        <f t="shared" ref="G21:G30" si="0">IFERROR((C21/$C$32)^2*(1-F21/(C21/$C$33))*E21^2/F21,"")</f>
        <v/>
      </c>
    </row>
    <row r="22" spans="2:8" ht="15.75" customHeight="1" x14ac:dyDescent="0.35">
      <c r="B22" s="13"/>
      <c r="C22" s="12"/>
      <c r="D22" s="27"/>
      <c r="E22" s="27"/>
      <c r="F22" s="25"/>
      <c r="G22" s="40" t="str">
        <f t="shared" si="0"/>
        <v/>
      </c>
    </row>
    <row r="23" spans="2:8" ht="15.75" customHeight="1" x14ac:dyDescent="0.35">
      <c r="B23" s="13"/>
      <c r="C23" s="12"/>
      <c r="D23" s="27"/>
      <c r="E23" s="27"/>
      <c r="F23" s="25"/>
      <c r="G23" s="40" t="str">
        <f t="shared" si="0"/>
        <v/>
      </c>
    </row>
    <row r="24" spans="2:8" ht="15.75" customHeight="1" x14ac:dyDescent="0.35">
      <c r="B24" s="13"/>
      <c r="C24" s="12"/>
      <c r="D24" s="27"/>
      <c r="E24" s="27"/>
      <c r="F24" s="25"/>
      <c r="G24" s="40" t="str">
        <f t="shared" si="0"/>
        <v/>
      </c>
    </row>
    <row r="25" spans="2:8" ht="15.75" customHeight="1" x14ac:dyDescent="0.35">
      <c r="B25" s="13"/>
      <c r="C25" s="12"/>
      <c r="D25" s="27"/>
      <c r="E25" s="27"/>
      <c r="F25" s="25"/>
      <c r="G25" s="40" t="str">
        <f t="shared" si="0"/>
        <v/>
      </c>
    </row>
    <row r="26" spans="2:8" ht="15.75" customHeight="1" x14ac:dyDescent="0.35">
      <c r="B26" s="13"/>
      <c r="C26" s="12"/>
      <c r="D26" s="27"/>
      <c r="E26" s="27"/>
      <c r="F26" s="25"/>
      <c r="G26" s="40" t="str">
        <f t="shared" si="0"/>
        <v/>
      </c>
    </row>
    <row r="27" spans="2:8" ht="15.75" customHeight="1" x14ac:dyDescent="0.35">
      <c r="B27" s="13"/>
      <c r="C27" s="12"/>
      <c r="D27" s="27"/>
      <c r="E27" s="27"/>
      <c r="F27" s="25"/>
      <c r="G27" s="40" t="str">
        <f t="shared" si="0"/>
        <v/>
      </c>
    </row>
    <row r="28" spans="2:8" ht="15.75" customHeight="1" x14ac:dyDescent="0.35">
      <c r="B28" s="13"/>
      <c r="C28" s="12"/>
      <c r="D28" s="27"/>
      <c r="E28" s="27"/>
      <c r="F28" s="25"/>
      <c r="G28" s="40" t="str">
        <f t="shared" si="0"/>
        <v/>
      </c>
    </row>
    <row r="29" spans="2:8" ht="15.75" customHeight="1" x14ac:dyDescent="0.35">
      <c r="B29" s="13"/>
      <c r="C29" s="12"/>
      <c r="D29" s="27"/>
      <c r="E29" s="27"/>
      <c r="F29" s="25"/>
      <c r="G29" s="40" t="str">
        <f t="shared" si="0"/>
        <v/>
      </c>
    </row>
    <row r="30" spans="2:8" ht="15.75" customHeight="1" x14ac:dyDescent="0.35">
      <c r="B30" s="13"/>
      <c r="C30" s="12"/>
      <c r="D30" s="27"/>
      <c r="E30" s="27"/>
      <c r="F30" s="25"/>
      <c r="G30" s="40" t="str">
        <f t="shared" si="0"/>
        <v/>
      </c>
    </row>
    <row r="31" spans="2:8" ht="15.75" customHeight="1" x14ac:dyDescent="0.35"/>
    <row r="32" spans="2:8" ht="15.75" customHeight="1" x14ac:dyDescent="0.35">
      <c r="B32" s="10" t="s">
        <v>120</v>
      </c>
      <c r="C32" s="23">
        <f>SUM(C21:C30)</f>
        <v>0</v>
      </c>
    </row>
    <row r="33" spans="2:5" ht="15.75" customHeight="1" x14ac:dyDescent="0.35">
      <c r="B33" s="10" t="s">
        <v>60</v>
      </c>
      <c r="C33" s="12">
        <v>100</v>
      </c>
    </row>
    <row r="34" spans="2:5" ht="15.75" customHeight="1" x14ac:dyDescent="0.35">
      <c r="B34" s="10" t="s">
        <v>132</v>
      </c>
      <c r="C34" s="34" t="str">
        <f>IFERROR(SUMPRODUCT(C21:C30,D21:D30)/C32,"")</f>
        <v/>
      </c>
    </row>
    <row r="35" spans="2:5" ht="15.75" customHeight="1" x14ac:dyDescent="0.35">
      <c r="B35" s="10" t="s">
        <v>164</v>
      </c>
      <c r="C35" s="24">
        <f>IFERROR(SQRT(SUM(G21:G30)),"")</f>
        <v>0</v>
      </c>
    </row>
    <row r="36" spans="2:5" ht="15.75" customHeight="1" x14ac:dyDescent="0.35">
      <c r="B36" s="16" t="s">
        <v>157</v>
      </c>
      <c r="C36" s="39" t="str">
        <f>IFERROR(C12*C35/C34,"")</f>
        <v/>
      </c>
    </row>
    <row r="37" spans="2:5" ht="15.75" customHeight="1" x14ac:dyDescent="0.35">
      <c r="B37" s="16" t="s">
        <v>158</v>
      </c>
      <c r="C37" s="57" t="str">
        <f>IF(C36="","",IF(C36&lt;=C11,"PASS — target met","MISS — see Appendix A8"))</f>
        <v/>
      </c>
      <c r="D37" s="53"/>
      <c r="E37" s="54"/>
    </row>
    <row r="38" spans="2:5" ht="15.75" customHeight="1" x14ac:dyDescent="0.35"/>
    <row r="39" spans="2:5" ht="15.75" customHeight="1" x14ac:dyDescent="0.35">
      <c r="B39" s="9" t="s">
        <v>165</v>
      </c>
    </row>
    <row r="40" spans="2:5" ht="15.75" customHeight="1" x14ac:dyDescent="0.35"/>
    <row r="41" spans="2:5" ht="15.75" customHeight="1" x14ac:dyDescent="0.35"/>
    <row r="42" spans="2:5" ht="15.75" customHeight="1" x14ac:dyDescent="0.35"/>
    <row r="43" spans="2:5" ht="15.75" customHeight="1" x14ac:dyDescent="0.35"/>
    <row r="44" spans="2:5" ht="15.75" customHeight="1" x14ac:dyDescent="0.35"/>
    <row r="45" spans="2:5" ht="15.75" customHeight="1" x14ac:dyDescent="0.35"/>
    <row r="46" spans="2:5" ht="15.75" customHeight="1" x14ac:dyDescent="0.35"/>
    <row r="47" spans="2:5" ht="15.75" customHeight="1" x14ac:dyDescent="0.35"/>
    <row r="48" spans="2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C16:E16"/>
    <mergeCell ref="C37:E37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000"/>
  <sheetViews>
    <sheetView showGridLines="0" workbookViewId="0"/>
  </sheetViews>
  <sheetFormatPr defaultColWidth="14.453125" defaultRowHeight="15" customHeight="1" x14ac:dyDescent="0.35"/>
  <cols>
    <col min="1" max="1" width="2" customWidth="1"/>
    <col min="2" max="2" width="26" customWidth="1"/>
    <col min="3" max="8" width="13" customWidth="1"/>
    <col min="9" max="26" width="8.7265625" customWidth="1"/>
  </cols>
  <sheetData>
    <row r="2" spans="2:8" ht="25.5" customHeight="1" x14ac:dyDescent="0.4">
      <c r="B2" s="1" t="s">
        <v>166</v>
      </c>
      <c r="C2" s="2"/>
      <c r="D2" s="2"/>
      <c r="E2" s="2"/>
      <c r="F2" s="2"/>
      <c r="G2" s="2"/>
      <c r="H2" s="2"/>
    </row>
    <row r="3" spans="2:8" ht="14.5" x14ac:dyDescent="0.35">
      <c r="B3" s="9" t="s">
        <v>168</v>
      </c>
    </row>
    <row r="5" spans="2:8" ht="14.5" x14ac:dyDescent="0.35">
      <c r="B5" s="10" t="s">
        <v>49</v>
      </c>
      <c r="C5" s="23">
        <f>'1 Sample Size'!C8</f>
        <v>100</v>
      </c>
    </row>
    <row r="6" spans="2:8" ht="14.5" x14ac:dyDescent="0.35">
      <c r="B6" s="10" t="s">
        <v>64</v>
      </c>
      <c r="C6" s="41">
        <f>'1 Sample Size'!C11</f>
        <v>0.95</v>
      </c>
    </row>
    <row r="7" spans="2:8" ht="14.5" x14ac:dyDescent="0.35">
      <c r="B7" s="10" t="s">
        <v>65</v>
      </c>
      <c r="C7" s="24">
        <f>'1 Sample Size'!C12</f>
        <v>1.9599639845400536</v>
      </c>
    </row>
    <row r="9" spans="2:8" ht="14.5" x14ac:dyDescent="0.35">
      <c r="B9" s="4" t="s">
        <v>191</v>
      </c>
      <c r="C9" s="5"/>
      <c r="D9" s="5"/>
      <c r="E9" s="5"/>
      <c r="F9" s="5"/>
      <c r="G9" s="5"/>
      <c r="H9" s="5"/>
    </row>
    <row r="10" spans="2:8" ht="14.5" x14ac:dyDescent="0.35">
      <c r="B10" s="42" t="s">
        <v>197</v>
      </c>
      <c r="C10" s="43">
        <v>0.05</v>
      </c>
      <c r="D10" s="43">
        <v>0.1</v>
      </c>
      <c r="E10" s="43">
        <v>0.15</v>
      </c>
      <c r="F10" s="43">
        <v>0.2</v>
      </c>
      <c r="G10" s="43">
        <v>0.25</v>
      </c>
      <c r="H10" s="43">
        <v>0.3</v>
      </c>
    </row>
    <row r="11" spans="2:8" ht="14.5" x14ac:dyDescent="0.35">
      <c r="B11" s="44">
        <v>0.3</v>
      </c>
      <c r="C11" s="45">
        <f t="shared" ref="C11:H11" si="0">IFERROR(ROUNDUP(($C$7^2*$C$5*$B11^2)/(($C$5-1)*C$10^2+$C$7^2*$B11^2),0),"")</f>
        <v>59</v>
      </c>
      <c r="D11" s="45">
        <f t="shared" si="0"/>
        <v>26</v>
      </c>
      <c r="E11" s="45">
        <f t="shared" si="0"/>
        <v>14</v>
      </c>
      <c r="F11" s="45">
        <f t="shared" si="0"/>
        <v>9</v>
      </c>
      <c r="G11" s="45">
        <f t="shared" si="0"/>
        <v>6</v>
      </c>
      <c r="H11" s="45">
        <f t="shared" si="0"/>
        <v>4</v>
      </c>
    </row>
    <row r="12" spans="2:8" ht="14.5" x14ac:dyDescent="0.35">
      <c r="B12" s="44">
        <v>0.4</v>
      </c>
      <c r="C12" s="45">
        <f t="shared" ref="C12:H12" si="1">IFERROR(ROUNDUP(($C$7^2*$C$5*$B12^2)/(($C$5-1)*C$10^2+$C$7^2*$B12^2),0),"")</f>
        <v>72</v>
      </c>
      <c r="D12" s="45">
        <f t="shared" si="1"/>
        <v>39</v>
      </c>
      <c r="E12" s="45">
        <f t="shared" si="1"/>
        <v>22</v>
      </c>
      <c r="F12" s="45">
        <f t="shared" si="1"/>
        <v>14</v>
      </c>
      <c r="G12" s="45">
        <f t="shared" si="1"/>
        <v>10</v>
      </c>
      <c r="H12" s="45">
        <f t="shared" si="1"/>
        <v>7</v>
      </c>
    </row>
    <row r="13" spans="2:8" ht="14.5" x14ac:dyDescent="0.35">
      <c r="B13" s="44">
        <v>0.5</v>
      </c>
      <c r="C13" s="45">
        <f t="shared" ref="C13:H13" si="2">IFERROR(ROUNDUP(($C$7^2*$C$5*$B13^2)/(($C$5-1)*C$10^2+$C$7^2*$B13^2),0),"")</f>
        <v>80</v>
      </c>
      <c r="D13" s="45">
        <f t="shared" si="2"/>
        <v>50</v>
      </c>
      <c r="E13" s="45">
        <f t="shared" si="2"/>
        <v>31</v>
      </c>
      <c r="F13" s="45">
        <f t="shared" si="2"/>
        <v>20</v>
      </c>
      <c r="G13" s="45">
        <f t="shared" si="2"/>
        <v>14</v>
      </c>
      <c r="H13" s="45">
        <f t="shared" si="2"/>
        <v>10</v>
      </c>
    </row>
    <row r="14" spans="2:8" ht="14.5" x14ac:dyDescent="0.35">
      <c r="B14" s="44">
        <v>0.6</v>
      </c>
      <c r="C14" s="45">
        <f t="shared" ref="C14:H14" si="3">IFERROR(ROUNDUP(($C$7^2*$C$5*$B14^2)/(($C$5-1)*C$10^2+$C$7^2*$B14^2),0),"")</f>
        <v>85</v>
      </c>
      <c r="D14" s="45">
        <f t="shared" si="3"/>
        <v>59</v>
      </c>
      <c r="E14" s="45">
        <f t="shared" si="3"/>
        <v>39</v>
      </c>
      <c r="F14" s="46">
        <f t="shared" si="3"/>
        <v>26</v>
      </c>
      <c r="G14" s="45">
        <f t="shared" si="3"/>
        <v>19</v>
      </c>
      <c r="H14" s="45">
        <f t="shared" si="3"/>
        <v>14</v>
      </c>
    </row>
    <row r="15" spans="2:8" ht="14.5" x14ac:dyDescent="0.35">
      <c r="B15" s="44">
        <v>0.7</v>
      </c>
      <c r="C15" s="45">
        <f t="shared" ref="C15:H15" si="4">IFERROR(ROUNDUP(($C$7^2*$C$5*$B15^2)/(($C$5-1)*C$10^2+$C$7^2*$B15^2),0),"")</f>
        <v>89</v>
      </c>
      <c r="D15" s="45">
        <f t="shared" si="4"/>
        <v>66</v>
      </c>
      <c r="E15" s="45">
        <f t="shared" si="4"/>
        <v>46</v>
      </c>
      <c r="F15" s="45">
        <f t="shared" si="4"/>
        <v>33</v>
      </c>
      <c r="G15" s="45">
        <f t="shared" si="4"/>
        <v>24</v>
      </c>
      <c r="H15" s="45">
        <f t="shared" si="4"/>
        <v>18</v>
      </c>
    </row>
    <row r="16" spans="2:8" ht="14.5" x14ac:dyDescent="0.35">
      <c r="B16" s="44">
        <v>0.8</v>
      </c>
      <c r="C16" s="45">
        <f t="shared" ref="C16:H16" si="5">IFERROR(ROUNDUP(($C$7^2*$C$5*$B16^2)/(($C$5-1)*C$10^2+$C$7^2*$B16^2),0),"")</f>
        <v>91</v>
      </c>
      <c r="D16" s="45">
        <f t="shared" si="5"/>
        <v>72</v>
      </c>
      <c r="E16" s="45">
        <f t="shared" si="5"/>
        <v>53</v>
      </c>
      <c r="F16" s="45">
        <f t="shared" si="5"/>
        <v>39</v>
      </c>
      <c r="G16" s="45">
        <f t="shared" si="5"/>
        <v>29</v>
      </c>
      <c r="H16" s="45">
        <f t="shared" si="5"/>
        <v>22</v>
      </c>
    </row>
    <row r="17" spans="2:8" ht="14.5" x14ac:dyDescent="0.35">
      <c r="B17" s="44">
        <v>0.9</v>
      </c>
      <c r="C17" s="45">
        <f t="shared" ref="C17:H17" si="6">IFERROR(ROUNDUP(($C$7^2*$C$5*$B17^2)/(($C$5-1)*C$10^2+$C$7^2*$B17^2),0),"")</f>
        <v>93</v>
      </c>
      <c r="D17" s="45">
        <f t="shared" si="6"/>
        <v>76</v>
      </c>
      <c r="E17" s="45">
        <f t="shared" si="6"/>
        <v>59</v>
      </c>
      <c r="F17" s="45">
        <f t="shared" si="6"/>
        <v>45</v>
      </c>
      <c r="G17" s="45">
        <f t="shared" si="6"/>
        <v>34</v>
      </c>
      <c r="H17" s="45">
        <f t="shared" si="6"/>
        <v>26</v>
      </c>
    </row>
    <row r="18" spans="2:8" ht="14.5" x14ac:dyDescent="0.35">
      <c r="B18" s="44">
        <v>1</v>
      </c>
      <c r="C18" s="45">
        <f t="shared" ref="C18:H18" si="7">IFERROR(ROUNDUP(($C$7^2*$C$5*$B18^2)/(($C$5-1)*C$10^2+$C$7^2*$B18^2),0),"")</f>
        <v>94</v>
      </c>
      <c r="D18" s="45">
        <f t="shared" si="7"/>
        <v>80</v>
      </c>
      <c r="E18" s="45">
        <f t="shared" si="7"/>
        <v>64</v>
      </c>
      <c r="F18" s="45">
        <f t="shared" si="7"/>
        <v>50</v>
      </c>
      <c r="G18" s="45">
        <f t="shared" si="7"/>
        <v>39</v>
      </c>
      <c r="H18" s="45">
        <f t="shared" si="7"/>
        <v>31</v>
      </c>
    </row>
    <row r="20" spans="2:8" ht="14.5" x14ac:dyDescent="0.35">
      <c r="B20" s="9" t="s">
        <v>215</v>
      </c>
    </row>
    <row r="21" spans="2:8" ht="15.75" customHeight="1" x14ac:dyDescent="0.35"/>
    <row r="22" spans="2:8" ht="15" customHeight="1" x14ac:dyDescent="0.35">
      <c r="B22" s="56" t="s">
        <v>216</v>
      </c>
      <c r="C22" s="48"/>
      <c r="D22" s="48"/>
      <c r="E22" s="48"/>
      <c r="F22" s="48"/>
      <c r="G22" s="48"/>
      <c r="H22" s="48"/>
    </row>
    <row r="23" spans="2:8" ht="15.75" customHeight="1" x14ac:dyDescent="0.35">
      <c r="B23" s="48"/>
      <c r="C23" s="48"/>
      <c r="D23" s="48"/>
      <c r="E23" s="48"/>
      <c r="F23" s="48"/>
      <c r="G23" s="48"/>
      <c r="H23" s="48"/>
    </row>
    <row r="24" spans="2:8" ht="15.75" customHeight="1" x14ac:dyDescent="0.35">
      <c r="B24" s="48"/>
      <c r="C24" s="48"/>
      <c r="D24" s="48"/>
      <c r="E24" s="48"/>
      <c r="F24" s="48"/>
      <c r="G24" s="48"/>
      <c r="H24" s="48"/>
    </row>
    <row r="25" spans="2:8" ht="15.75" customHeight="1" x14ac:dyDescent="0.35"/>
    <row r="26" spans="2:8" ht="15.75" customHeight="1" x14ac:dyDescent="0.35"/>
    <row r="27" spans="2:8" ht="15.75" customHeight="1" x14ac:dyDescent="0.35"/>
    <row r="28" spans="2:8" ht="15.75" customHeight="1" x14ac:dyDescent="0.35"/>
    <row r="29" spans="2:8" ht="15.75" customHeight="1" x14ac:dyDescent="0.35"/>
    <row r="30" spans="2:8" ht="15.75" customHeight="1" x14ac:dyDescent="0.35"/>
    <row r="31" spans="2:8" ht="15.75" customHeight="1" x14ac:dyDescent="0.35"/>
    <row r="32" spans="2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22:H24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000"/>
  <sheetViews>
    <sheetView showGridLines="0" workbookViewId="0"/>
  </sheetViews>
  <sheetFormatPr defaultColWidth="14.453125" defaultRowHeight="15" customHeight="1" x14ac:dyDescent="0.35"/>
  <cols>
    <col min="1" max="1" width="2" customWidth="1"/>
    <col min="2" max="2" width="30" customWidth="1"/>
    <col min="3" max="7" width="20" customWidth="1"/>
    <col min="8" max="26" width="8.7265625" customWidth="1"/>
  </cols>
  <sheetData>
    <row r="2" spans="2:7" ht="25.5" customHeight="1" x14ac:dyDescent="0.4">
      <c r="B2" s="1" t="s">
        <v>167</v>
      </c>
      <c r="C2" s="2"/>
      <c r="D2" s="2"/>
      <c r="E2" s="2"/>
      <c r="F2" s="2"/>
      <c r="G2" s="2"/>
    </row>
    <row r="4" spans="2:7" ht="14.5" x14ac:dyDescent="0.35">
      <c r="B4" s="4" t="s">
        <v>169</v>
      </c>
      <c r="C4" s="5"/>
      <c r="D4" s="5"/>
      <c r="E4" s="5"/>
      <c r="F4" s="5"/>
      <c r="G4" s="5"/>
    </row>
    <row r="5" spans="2:7" ht="14.5" x14ac:dyDescent="0.35">
      <c r="B5" s="7" t="s">
        <v>170</v>
      </c>
      <c r="C5" s="50" t="s">
        <v>171</v>
      </c>
      <c r="D5" s="48"/>
      <c r="E5" s="48"/>
      <c r="F5" s="48"/>
      <c r="G5" s="48"/>
    </row>
    <row r="6" spans="2:7" ht="14.5" x14ac:dyDescent="0.35">
      <c r="B6" s="7" t="s">
        <v>65</v>
      </c>
      <c r="C6" s="50" t="s">
        <v>172</v>
      </c>
      <c r="D6" s="48"/>
      <c r="E6" s="48"/>
      <c r="F6" s="48"/>
      <c r="G6" s="48"/>
    </row>
    <row r="7" spans="2:7" ht="14.5" x14ac:dyDescent="0.35">
      <c r="B7" s="7" t="s">
        <v>173</v>
      </c>
      <c r="C7" s="50" t="s">
        <v>174</v>
      </c>
      <c r="D7" s="48"/>
      <c r="E7" s="48"/>
      <c r="F7" s="48"/>
      <c r="G7" s="48"/>
    </row>
    <row r="8" spans="2:7" ht="14.5" x14ac:dyDescent="0.35">
      <c r="B8" s="7" t="s">
        <v>175</v>
      </c>
      <c r="C8" s="50" t="s">
        <v>176</v>
      </c>
      <c r="D8" s="48"/>
      <c r="E8" s="48"/>
      <c r="F8" s="48"/>
      <c r="G8" s="48"/>
    </row>
    <row r="9" spans="2:7" ht="14.5" x14ac:dyDescent="0.35">
      <c r="B9" s="7" t="s">
        <v>177</v>
      </c>
      <c r="C9" s="50" t="s">
        <v>178</v>
      </c>
      <c r="D9" s="48"/>
      <c r="E9" s="48"/>
      <c r="F9" s="48"/>
      <c r="G9" s="48"/>
    </row>
    <row r="10" spans="2:7" ht="14.5" x14ac:dyDescent="0.35">
      <c r="B10" s="7" t="s">
        <v>179</v>
      </c>
      <c r="C10" s="50" t="s">
        <v>180</v>
      </c>
      <c r="D10" s="48"/>
      <c r="E10" s="48"/>
      <c r="F10" s="48"/>
      <c r="G10" s="48"/>
    </row>
    <row r="13" spans="2:7" ht="14.5" x14ac:dyDescent="0.35">
      <c r="B13" s="4" t="s">
        <v>181</v>
      </c>
      <c r="C13" s="5"/>
      <c r="D13" s="5"/>
      <c r="E13" s="5"/>
      <c r="F13" s="5"/>
      <c r="G13" s="5"/>
    </row>
    <row r="14" spans="2:7" ht="14.5" x14ac:dyDescent="0.35">
      <c r="B14" s="7" t="s">
        <v>182</v>
      </c>
      <c r="C14" s="7" t="s">
        <v>183</v>
      </c>
      <c r="D14" s="58" t="s">
        <v>184</v>
      </c>
      <c r="E14" s="48"/>
      <c r="F14" s="48"/>
      <c r="G14" s="48"/>
    </row>
    <row r="15" spans="2:7" ht="14.5" x14ac:dyDescent="0.35">
      <c r="B15" s="8" t="s">
        <v>185</v>
      </c>
      <c r="C15" s="8" t="s">
        <v>186</v>
      </c>
      <c r="D15" s="50" t="s">
        <v>187</v>
      </c>
      <c r="E15" s="48"/>
      <c r="F15" s="48"/>
      <c r="G15" s="48"/>
    </row>
    <row r="16" spans="2:7" ht="14.5" x14ac:dyDescent="0.35">
      <c r="B16" s="8" t="s">
        <v>188</v>
      </c>
      <c r="C16" s="8" t="s">
        <v>189</v>
      </c>
      <c r="D16" s="50" t="s">
        <v>190</v>
      </c>
      <c r="E16" s="48"/>
      <c r="F16" s="48"/>
      <c r="G16" s="48"/>
    </row>
    <row r="17" spans="2:7" ht="14.5" x14ac:dyDescent="0.35">
      <c r="B17" s="8" t="s">
        <v>192</v>
      </c>
      <c r="C17" s="8" t="s">
        <v>193</v>
      </c>
      <c r="D17" s="50" t="s">
        <v>194</v>
      </c>
      <c r="E17" s="48"/>
      <c r="F17" s="48"/>
      <c r="G17" s="48"/>
    </row>
    <row r="18" spans="2:7" ht="14.5" x14ac:dyDescent="0.35">
      <c r="B18" s="8" t="s">
        <v>87</v>
      </c>
      <c r="C18" s="8" t="s">
        <v>87</v>
      </c>
      <c r="D18" s="50" t="s">
        <v>195</v>
      </c>
      <c r="E18" s="48"/>
      <c r="F18" s="48"/>
      <c r="G18" s="48"/>
    </row>
    <row r="19" spans="2:7" ht="14.5" x14ac:dyDescent="0.35">
      <c r="B19" s="8" t="s">
        <v>196</v>
      </c>
      <c r="C19" s="8" t="s">
        <v>196</v>
      </c>
      <c r="D19" s="50" t="s">
        <v>198</v>
      </c>
      <c r="E19" s="48"/>
      <c r="F19" s="48"/>
      <c r="G19" s="48"/>
    </row>
    <row r="20" spans="2:7" ht="14.5" x14ac:dyDescent="0.35">
      <c r="B20" s="8" t="s">
        <v>199</v>
      </c>
      <c r="C20" s="8" t="s">
        <v>199</v>
      </c>
      <c r="D20" s="50" t="s">
        <v>200</v>
      </c>
      <c r="E20" s="48"/>
      <c r="F20" s="48"/>
      <c r="G20" s="48"/>
    </row>
    <row r="21" spans="2:7" ht="15.75" customHeight="1" x14ac:dyDescent="0.35"/>
    <row r="22" spans="2:7" ht="15.75" customHeight="1" x14ac:dyDescent="0.35"/>
    <row r="23" spans="2:7" ht="15.75" customHeight="1" x14ac:dyDescent="0.35">
      <c r="B23" s="4" t="s">
        <v>201</v>
      </c>
      <c r="C23" s="5"/>
      <c r="D23" s="5"/>
      <c r="E23" s="5"/>
      <c r="F23" s="5"/>
      <c r="G23" s="5"/>
    </row>
    <row r="24" spans="2:7" ht="27.75" customHeight="1" x14ac:dyDescent="0.35">
      <c r="B24" s="47" t="s">
        <v>202</v>
      </c>
      <c r="C24" s="48"/>
      <c r="D24" s="48"/>
      <c r="E24" s="48"/>
      <c r="F24" s="48"/>
      <c r="G24" s="48"/>
    </row>
    <row r="25" spans="2:7" ht="27.75" customHeight="1" x14ac:dyDescent="0.35">
      <c r="B25" s="47" t="s">
        <v>203</v>
      </c>
      <c r="C25" s="48"/>
      <c r="D25" s="48"/>
      <c r="E25" s="48"/>
      <c r="F25" s="48"/>
      <c r="G25" s="48"/>
    </row>
    <row r="26" spans="2:7" ht="27.75" customHeight="1" x14ac:dyDescent="0.35">
      <c r="B26" s="47" t="s">
        <v>204</v>
      </c>
      <c r="C26" s="48"/>
      <c r="D26" s="48"/>
      <c r="E26" s="48"/>
      <c r="F26" s="48"/>
      <c r="G26" s="48"/>
    </row>
    <row r="27" spans="2:7" ht="27.75" customHeight="1" x14ac:dyDescent="0.35">
      <c r="B27" s="47" t="s">
        <v>205</v>
      </c>
      <c r="C27" s="48"/>
      <c r="D27" s="48"/>
      <c r="E27" s="48"/>
      <c r="F27" s="48"/>
      <c r="G27" s="48"/>
    </row>
    <row r="28" spans="2:7" ht="27.75" customHeight="1" x14ac:dyDescent="0.35">
      <c r="B28" s="47" t="s">
        <v>206</v>
      </c>
      <c r="C28" s="48"/>
      <c r="D28" s="48"/>
      <c r="E28" s="48"/>
      <c r="F28" s="48"/>
      <c r="G28" s="48"/>
    </row>
    <row r="29" spans="2:7" ht="15.75" customHeight="1" x14ac:dyDescent="0.35"/>
    <row r="30" spans="2:7" ht="15.75" customHeight="1" x14ac:dyDescent="0.35"/>
    <row r="31" spans="2:7" ht="15.75" customHeight="1" x14ac:dyDescent="0.35">
      <c r="B31" s="4" t="s">
        <v>207</v>
      </c>
      <c r="C31" s="5"/>
      <c r="D31" s="5"/>
      <c r="E31" s="5"/>
      <c r="F31" s="5"/>
      <c r="G31" s="5"/>
    </row>
    <row r="32" spans="2:7" ht="25.5" customHeight="1" x14ac:dyDescent="0.35">
      <c r="B32" s="59" t="s">
        <v>208</v>
      </c>
      <c r="C32" s="48"/>
      <c r="D32" s="48"/>
      <c r="E32" s="48"/>
      <c r="F32" s="48"/>
      <c r="G32" s="48"/>
    </row>
    <row r="33" spans="2:7" ht="25.5" customHeight="1" x14ac:dyDescent="0.35">
      <c r="B33" s="59" t="s">
        <v>209</v>
      </c>
      <c r="C33" s="48"/>
      <c r="D33" s="48"/>
      <c r="E33" s="48"/>
      <c r="F33" s="48"/>
      <c r="G33" s="48"/>
    </row>
    <row r="34" spans="2:7" ht="25.5" customHeight="1" x14ac:dyDescent="0.35">
      <c r="B34" s="59" t="s">
        <v>210</v>
      </c>
      <c r="C34" s="48"/>
      <c r="D34" s="48"/>
      <c r="E34" s="48"/>
      <c r="F34" s="48"/>
      <c r="G34" s="48"/>
    </row>
    <row r="35" spans="2:7" ht="25.5" customHeight="1" x14ac:dyDescent="0.35">
      <c r="B35" s="59" t="s">
        <v>211</v>
      </c>
      <c r="C35" s="48"/>
      <c r="D35" s="48"/>
      <c r="E35" s="48"/>
      <c r="F35" s="48"/>
      <c r="G35" s="48"/>
    </row>
    <row r="36" spans="2:7" ht="25.5" customHeight="1" x14ac:dyDescent="0.35">
      <c r="B36" s="59" t="s">
        <v>212</v>
      </c>
      <c r="C36" s="48"/>
      <c r="D36" s="48"/>
      <c r="E36" s="48"/>
      <c r="F36" s="48"/>
      <c r="G36" s="48"/>
    </row>
    <row r="37" spans="2:7" ht="15.75" customHeight="1" x14ac:dyDescent="0.35"/>
    <row r="38" spans="2:7" ht="15.75" customHeight="1" x14ac:dyDescent="0.35"/>
    <row r="39" spans="2:7" ht="15.75" customHeight="1" x14ac:dyDescent="0.35">
      <c r="B39" s="9" t="s">
        <v>213</v>
      </c>
    </row>
    <row r="40" spans="2:7" ht="15.75" customHeight="1" x14ac:dyDescent="0.35">
      <c r="B40" s="9" t="s">
        <v>214</v>
      </c>
    </row>
    <row r="41" spans="2:7" ht="15.75" customHeight="1" x14ac:dyDescent="0.35"/>
    <row r="42" spans="2:7" ht="15.75" customHeight="1" x14ac:dyDescent="0.35"/>
    <row r="43" spans="2:7" ht="15.75" customHeight="1" x14ac:dyDescent="0.35"/>
    <row r="44" spans="2:7" ht="15.75" customHeight="1" x14ac:dyDescent="0.35"/>
    <row r="45" spans="2:7" ht="15.75" customHeight="1" x14ac:dyDescent="0.35"/>
    <row r="46" spans="2:7" ht="15.75" customHeight="1" x14ac:dyDescent="0.35"/>
    <row r="47" spans="2:7" ht="15.75" customHeight="1" x14ac:dyDescent="0.35"/>
    <row r="48" spans="2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3">
    <mergeCell ref="B36:G36"/>
    <mergeCell ref="B25:G25"/>
    <mergeCell ref="B26:G26"/>
    <mergeCell ref="B27:G27"/>
    <mergeCell ref="B28:G28"/>
    <mergeCell ref="B32:G32"/>
    <mergeCell ref="B33:G33"/>
    <mergeCell ref="B34:G34"/>
    <mergeCell ref="D18:G18"/>
    <mergeCell ref="D19:G19"/>
    <mergeCell ref="D20:G20"/>
    <mergeCell ref="B24:G24"/>
    <mergeCell ref="B35:G35"/>
    <mergeCell ref="C10:G10"/>
    <mergeCell ref="D14:G14"/>
    <mergeCell ref="D15:G15"/>
    <mergeCell ref="D16:G16"/>
    <mergeCell ref="D17:G17"/>
    <mergeCell ref="C5:G5"/>
    <mergeCell ref="C6:G6"/>
    <mergeCell ref="C7:G7"/>
    <mergeCell ref="C8:G8"/>
    <mergeCell ref="C9:G9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1 Sample Size</vt:lpstr>
      <vt:lpstr>2 Stratified</vt:lpstr>
      <vt:lpstr>3 Priors</vt:lpstr>
      <vt:lpstr>4 Precision Check</vt:lpstr>
      <vt:lpstr>5 Sensitivity</vt:lpstr>
      <vt:lpstr>Notes and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Cathal Doherty</cp:lastModifiedBy>
  <dcterms:modified xsi:type="dcterms:W3CDTF">2026-08-27T20:36:26Z</dcterms:modified>
</cp:coreProperties>
</file>